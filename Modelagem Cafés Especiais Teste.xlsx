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uario\TCC\"/>
    </mc:Choice>
  </mc:AlternateContent>
  <xr:revisionPtr revIDLastSave="0" documentId="13_ncr:1_{5F7F0DC6-068C-477D-B0C8-6B1EC1B124CE}" xr6:coauthVersionLast="47" xr6:coauthVersionMax="47" xr10:uidLastSave="{00000000-0000-0000-0000-000000000000}"/>
  <bookViews>
    <workbookView xWindow="-120" yWindow="-120" windowWidth="29040" windowHeight="15840" firstSheet="1" activeTab="8" xr2:uid="{00000000-000D-0000-FFFF-FFFF00000000}"/>
  </bookViews>
  <sheets>
    <sheet name="3 Demonstrações" sheetId="1" r:id="rId1"/>
    <sheet name="Fontes" sheetId="3" r:id="rId2"/>
    <sheet name="Simulação Empréstimo" sheetId="6" r:id="rId3"/>
    <sheet name="Investimento Inicial" sheetId="7" r:id="rId4"/>
    <sheet name="Precificação" sheetId="4" r:id="rId5"/>
    <sheet name="Fluxo de Caixa" sheetId="10" r:id="rId6"/>
    <sheet name="Tabela Simples" sheetId="12" r:id="rId7"/>
    <sheet name="Ponto de Equilíbrio" sheetId="13" r:id="rId8"/>
    <sheet name="Distribuições" sheetId="14" r:id="rId9"/>
  </sheets>
  <definedNames>
    <definedName name="solver_adj" localSheetId="5" hidden="1">'Fluxo de Caixa'!$A$14</definedName>
    <definedName name="solver_cvg" localSheetId="5" hidden="1">0.0001</definedName>
    <definedName name="solver_drv" localSheetId="5" hidden="1">1</definedName>
    <definedName name="solver_eng" localSheetId="5" hidden="1">3</definedName>
    <definedName name="solver_est" localSheetId="5" hidden="1">1</definedName>
    <definedName name="solver_itr" localSheetId="5" hidden="1">2147483647</definedName>
    <definedName name="solver_lhs1" localSheetId="5" hidden="1">'Fluxo de Caixa'!$A$14</definedName>
    <definedName name="solver_lhs2" localSheetId="5" hidden="1">'Fluxo de Caixa'!$A$14</definedName>
    <definedName name="solver_lhs3" localSheetId="5" hidden="1">'Fluxo de Caixa'!$A$14</definedName>
    <definedName name="solver_mip" localSheetId="5" hidden="1">2147483647</definedName>
    <definedName name="solver_mni" localSheetId="5" hidden="1">30</definedName>
    <definedName name="solver_mrt" localSheetId="5" hidden="1">0.075</definedName>
    <definedName name="solver_msl" localSheetId="5" hidden="1">2</definedName>
    <definedName name="solver_neg" localSheetId="5" hidden="1">1</definedName>
    <definedName name="solver_nod" localSheetId="5" hidden="1">2147483647</definedName>
    <definedName name="solver_num" localSheetId="5" hidden="1">2</definedName>
    <definedName name="solver_nwt" localSheetId="5" hidden="1">1</definedName>
    <definedName name="solver_opt" localSheetId="5" hidden="1">'Fluxo de Caixa'!$C$38</definedName>
    <definedName name="solver_pre" localSheetId="5" hidden="1">0.000001</definedName>
    <definedName name="solver_rbv" localSheetId="5" hidden="1">2</definedName>
    <definedName name="solver_rel1" localSheetId="5" hidden="1">1</definedName>
    <definedName name="solver_rel2" localSheetId="5" hidden="1">4</definedName>
    <definedName name="solver_rel3" localSheetId="5" hidden="1">3</definedName>
    <definedName name="solver_rhs1" localSheetId="5" hidden="1">72</definedName>
    <definedName name="solver_rhs2" localSheetId="5" hidden="1">"número inteiro"</definedName>
    <definedName name="solver_rhs3" localSheetId="5" hidden="1">1.1</definedName>
    <definedName name="solver_rlx" localSheetId="5" hidden="1">2</definedName>
    <definedName name="solver_rsd" localSheetId="5" hidden="1">0</definedName>
    <definedName name="solver_scl" localSheetId="5" hidden="1">2</definedName>
    <definedName name="solver_sho" localSheetId="5" hidden="1">2</definedName>
    <definedName name="solver_ssz" localSheetId="5" hidden="1">0</definedName>
    <definedName name="solver_tim" localSheetId="5" hidden="1">2147483647</definedName>
    <definedName name="solver_tol" localSheetId="5" hidden="1">0.01</definedName>
    <definedName name="solver_typ" localSheetId="5" hidden="1">1</definedName>
    <definedName name="solver_val" localSheetId="5" hidden="1">0</definedName>
    <definedName name="solver_ver" localSheetId="5" hidden="1">3</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5" i="14" l="1"/>
  <c r="L4" i="14" s="1"/>
  <c r="P5" i="14"/>
  <c r="T5" i="14"/>
  <c r="X5" i="14"/>
  <c r="X4" i="14" s="1"/>
  <c r="X29" i="14" s="1"/>
  <c r="AB5" i="14"/>
  <c r="AF5" i="14"/>
  <c r="AJ5" i="14"/>
  <c r="AN5" i="14"/>
  <c r="AR5" i="14"/>
  <c r="AV5" i="14"/>
  <c r="AZ5" i="14"/>
  <c r="BD5" i="14"/>
  <c r="BH5" i="14"/>
  <c r="BH4" i="14" s="1"/>
  <c r="BL5" i="14"/>
  <c r="BP5" i="14"/>
  <c r="BT5" i="14"/>
  <c r="BT4" i="14" s="1"/>
  <c r="BT29" i="14" s="1"/>
  <c r="BX5" i="14"/>
  <c r="CB5" i="14"/>
  <c r="CF5" i="14"/>
  <c r="CJ5" i="14"/>
  <c r="CN5" i="14"/>
  <c r="CR5" i="14"/>
  <c r="CV5" i="14"/>
  <c r="CZ5" i="14"/>
  <c r="DD5" i="14"/>
  <c r="DD4" i="14" s="1"/>
  <c r="DH5" i="14"/>
  <c r="DL5" i="14"/>
  <c r="DP5" i="14"/>
  <c r="DP4" i="14" s="1"/>
  <c r="DP29" i="14" s="1"/>
  <c r="DT5" i="14"/>
  <c r="DX5" i="14"/>
  <c r="EB5" i="14"/>
  <c r="EF5" i="14"/>
  <c r="EJ5" i="14"/>
  <c r="EN5" i="14"/>
  <c r="ER5" i="14"/>
  <c r="EV5" i="14"/>
  <c r="EZ5" i="14"/>
  <c r="EZ4" i="14" s="1"/>
  <c r="FD5" i="14"/>
  <c r="FH5" i="14"/>
  <c r="FL5" i="14"/>
  <c r="FL4" i="14" s="1"/>
  <c r="FL29" i="14" s="1"/>
  <c r="FP5" i="14"/>
  <c r="FT5" i="14"/>
  <c r="FX5" i="14"/>
  <c r="GB5" i="14"/>
  <c r="GF5" i="14"/>
  <c r="GJ5" i="14"/>
  <c r="GN5" i="14"/>
  <c r="GR5" i="14"/>
  <c r="GV5" i="14"/>
  <c r="GV4" i="14" s="1"/>
  <c r="GZ5" i="14"/>
  <c r="HD5" i="14"/>
  <c r="HH5" i="14"/>
  <c r="HH4" i="14" s="1"/>
  <c r="HH29" i="14" s="1"/>
  <c r="HL5" i="14"/>
  <c r="HP5" i="14"/>
  <c r="HT5" i="14"/>
  <c r="HX5" i="14"/>
  <c r="IB5" i="14"/>
  <c r="IB4" i="14" s="1"/>
  <c r="IF5" i="14"/>
  <c r="IF4" i="14" s="1"/>
  <c r="IJ5" i="14"/>
  <c r="IN5" i="14"/>
  <c r="IN4" i="14" s="1"/>
  <c r="IR5" i="14"/>
  <c r="IR4" i="14" s="1"/>
  <c r="IV5" i="14"/>
  <c r="IV4" i="14" s="1"/>
  <c r="IZ5" i="14"/>
  <c r="JD5" i="14"/>
  <c r="JD4" i="14" s="1"/>
  <c r="JD29" i="14" s="1"/>
  <c r="JH5" i="14"/>
  <c r="JL5" i="14"/>
  <c r="JP5" i="14"/>
  <c r="JT5" i="14"/>
  <c r="JX5" i="14"/>
  <c r="JX4" i="14" s="1"/>
  <c r="KB5" i="14"/>
  <c r="KB4" i="14" s="1"/>
  <c r="L6" i="14"/>
  <c r="P6" i="14"/>
  <c r="T6" i="14"/>
  <c r="X6" i="14"/>
  <c r="AB6" i="14"/>
  <c r="AF6" i="14"/>
  <c r="AJ6" i="14"/>
  <c r="AJ4" i="14" s="1"/>
  <c r="AJ8" i="14" s="1"/>
  <c r="AN6" i="14"/>
  <c r="AR6" i="14"/>
  <c r="AV6" i="14"/>
  <c r="AZ6" i="14"/>
  <c r="BD6" i="14"/>
  <c r="BH6" i="14"/>
  <c r="BL6" i="14"/>
  <c r="BP6" i="14"/>
  <c r="BT6" i="14"/>
  <c r="BX6" i="14"/>
  <c r="CB6" i="14"/>
  <c r="CF6" i="14"/>
  <c r="CF4" i="14" s="1"/>
  <c r="CF8" i="14" s="1"/>
  <c r="CJ6" i="14"/>
  <c r="CN6" i="14"/>
  <c r="CR6" i="14"/>
  <c r="CV6" i="14"/>
  <c r="CZ6" i="14"/>
  <c r="DD6" i="14"/>
  <c r="DH6" i="14"/>
  <c r="DL6" i="14"/>
  <c r="DP6" i="14"/>
  <c r="DT6" i="14"/>
  <c r="DX6" i="14"/>
  <c r="EB6" i="14"/>
  <c r="EB4" i="14" s="1"/>
  <c r="EB8" i="14" s="1"/>
  <c r="EF6" i="14"/>
  <c r="EJ6" i="14"/>
  <c r="EN6" i="14"/>
  <c r="ER6" i="14"/>
  <c r="EV6" i="14"/>
  <c r="EZ6" i="14"/>
  <c r="FD6" i="14"/>
  <c r="FH6" i="14"/>
  <c r="FL6" i="14"/>
  <c r="FP6" i="14"/>
  <c r="FT6" i="14"/>
  <c r="FX6" i="14"/>
  <c r="FX4" i="14" s="1"/>
  <c r="FX8" i="14" s="1"/>
  <c r="GB6" i="14"/>
  <c r="GF6" i="14"/>
  <c r="GJ6" i="14"/>
  <c r="GN6" i="14"/>
  <c r="GR6" i="14"/>
  <c r="GV6" i="14"/>
  <c r="GZ6" i="14"/>
  <c r="HD6" i="14"/>
  <c r="HH6" i="14"/>
  <c r="HL6" i="14"/>
  <c r="HP6" i="14"/>
  <c r="HT6" i="14"/>
  <c r="HT4" i="14" s="1"/>
  <c r="HT8" i="14" s="1"/>
  <c r="HX6" i="14"/>
  <c r="IB6" i="14"/>
  <c r="IF6" i="14"/>
  <c r="IJ6" i="14"/>
  <c r="IN6" i="14"/>
  <c r="IR6" i="14"/>
  <c r="IV6" i="14"/>
  <c r="IZ6" i="14"/>
  <c r="JD6" i="14"/>
  <c r="JH6" i="14"/>
  <c r="JL6" i="14"/>
  <c r="JP6" i="14"/>
  <c r="JP4" i="14" s="1"/>
  <c r="JP8" i="14" s="1"/>
  <c r="JT6" i="14"/>
  <c r="JX6" i="14"/>
  <c r="KB6" i="14"/>
  <c r="M13" i="14"/>
  <c r="N13" i="14"/>
  <c r="Q13" i="14"/>
  <c r="R13" i="14"/>
  <c r="U13" i="14"/>
  <c r="V13" i="14"/>
  <c r="Y13" i="14"/>
  <c r="Z13" i="14"/>
  <c r="AC13" i="14"/>
  <c r="AD13" i="14"/>
  <c r="AG13" i="14"/>
  <c r="AH13" i="14"/>
  <c r="AK13" i="14"/>
  <c r="AL13" i="14"/>
  <c r="AO13" i="14"/>
  <c r="AP13" i="14"/>
  <c r="AS13" i="14"/>
  <c r="AT13" i="14"/>
  <c r="AW13" i="14"/>
  <c r="AX13" i="14"/>
  <c r="BA13" i="14"/>
  <c r="BB13" i="14"/>
  <c r="BE13" i="14"/>
  <c r="BF13" i="14"/>
  <c r="BI13" i="14"/>
  <c r="BJ13" i="14"/>
  <c r="BM13" i="14"/>
  <c r="BN13" i="14"/>
  <c r="BQ13" i="14"/>
  <c r="BR13" i="14"/>
  <c r="BU13" i="14"/>
  <c r="BV13" i="14"/>
  <c r="BY13" i="14"/>
  <c r="BZ13" i="14"/>
  <c r="CC13" i="14"/>
  <c r="CD13" i="14"/>
  <c r="CG13" i="14"/>
  <c r="CH13" i="14"/>
  <c r="CK13" i="14"/>
  <c r="CL13" i="14"/>
  <c r="CO13" i="14"/>
  <c r="CP13" i="14"/>
  <c r="CS13" i="14"/>
  <c r="CT13" i="14"/>
  <c r="CW13" i="14"/>
  <c r="CX13" i="14"/>
  <c r="DA13" i="14"/>
  <c r="DB13" i="14"/>
  <c r="DE13" i="14"/>
  <c r="DF13" i="14"/>
  <c r="DI13" i="14"/>
  <c r="DJ13" i="14"/>
  <c r="DM13" i="14"/>
  <c r="DN13" i="14"/>
  <c r="DQ13" i="14"/>
  <c r="DR13" i="14"/>
  <c r="DU13" i="14"/>
  <c r="DV13" i="14"/>
  <c r="DY13" i="14"/>
  <c r="DZ13" i="14"/>
  <c r="EC13" i="14"/>
  <c r="ED13" i="14"/>
  <c r="EG13" i="14"/>
  <c r="EH13" i="14"/>
  <c r="EK13" i="14"/>
  <c r="EL13" i="14"/>
  <c r="EO13" i="14"/>
  <c r="EP13" i="14"/>
  <c r="ES13" i="14"/>
  <c r="ET13" i="14"/>
  <c r="EW13" i="14"/>
  <c r="EX13" i="14"/>
  <c r="FA13" i="14"/>
  <c r="FB13" i="14"/>
  <c r="FE13" i="14"/>
  <c r="FF13" i="14"/>
  <c r="FI13" i="14"/>
  <c r="FJ13" i="14"/>
  <c r="FM13" i="14"/>
  <c r="FN13" i="14"/>
  <c r="FQ13" i="14"/>
  <c r="FR13" i="14"/>
  <c r="FU13" i="14"/>
  <c r="FV13" i="14"/>
  <c r="FY13" i="14"/>
  <c r="FZ13" i="14"/>
  <c r="GC13" i="14"/>
  <c r="GD13" i="14"/>
  <c r="GG13" i="14"/>
  <c r="GH13" i="14"/>
  <c r="GK13" i="14"/>
  <c r="GL13" i="14"/>
  <c r="GO13" i="14"/>
  <c r="GP13" i="14"/>
  <c r="GS13" i="14"/>
  <c r="GT13" i="14"/>
  <c r="GW13" i="14"/>
  <c r="GX13" i="14"/>
  <c r="HA13" i="14"/>
  <c r="HB13" i="14"/>
  <c r="HE13" i="14"/>
  <c r="HF13" i="14"/>
  <c r="HI13" i="14"/>
  <c r="HJ13" i="14"/>
  <c r="HM13" i="14"/>
  <c r="HN13" i="14"/>
  <c r="HQ13" i="14"/>
  <c r="HR13" i="14"/>
  <c r="HU13" i="14"/>
  <c r="HV13" i="14"/>
  <c r="HY13" i="14"/>
  <c r="HZ13" i="14"/>
  <c r="IC13" i="14"/>
  <c r="ID13" i="14"/>
  <c r="IG13" i="14"/>
  <c r="IH13" i="14"/>
  <c r="IK13" i="14"/>
  <c r="IL13" i="14"/>
  <c r="IO13" i="14"/>
  <c r="IP13" i="14"/>
  <c r="IS13" i="14"/>
  <c r="IT13" i="14"/>
  <c r="IW13" i="14"/>
  <c r="IX13" i="14"/>
  <c r="JA13" i="14"/>
  <c r="JB13" i="14"/>
  <c r="JE13" i="14"/>
  <c r="JF13" i="14"/>
  <c r="JI13" i="14"/>
  <c r="JJ13" i="14"/>
  <c r="JM13" i="14"/>
  <c r="JN13" i="14"/>
  <c r="JQ13" i="14"/>
  <c r="JR13" i="14"/>
  <c r="JU13" i="14"/>
  <c r="JV13" i="14"/>
  <c r="JY13" i="14"/>
  <c r="JZ13" i="14"/>
  <c r="KC13" i="14"/>
  <c r="KD13" i="14"/>
  <c r="L18" i="14"/>
  <c r="P18" i="14"/>
  <c r="T18" i="14"/>
  <c r="X18" i="14"/>
  <c r="AB18" i="14"/>
  <c r="AF18" i="14"/>
  <c r="AJ18" i="14"/>
  <c r="AN18" i="14"/>
  <c r="AR18" i="14"/>
  <c r="AV18" i="14"/>
  <c r="AZ18" i="14"/>
  <c r="BD18" i="14"/>
  <c r="BH18" i="14"/>
  <c r="BL18" i="14"/>
  <c r="BP18" i="14"/>
  <c r="BT18" i="14"/>
  <c r="BX18" i="14"/>
  <c r="CB18" i="14"/>
  <c r="CF18" i="14"/>
  <c r="CJ18" i="14"/>
  <c r="CN18" i="14"/>
  <c r="CR18" i="14"/>
  <c r="CV18" i="14"/>
  <c r="CZ18" i="14"/>
  <c r="DD18" i="14"/>
  <c r="DH18" i="14"/>
  <c r="DL18" i="14"/>
  <c r="DP18" i="14"/>
  <c r="DT18" i="14"/>
  <c r="DX18" i="14"/>
  <c r="EB18" i="14"/>
  <c r="EF18" i="14"/>
  <c r="EJ18" i="14"/>
  <c r="EN18" i="14"/>
  <c r="ER18" i="14"/>
  <c r="EV18" i="14"/>
  <c r="EZ18" i="14"/>
  <c r="FD18" i="14"/>
  <c r="FH18" i="14"/>
  <c r="FL18" i="14"/>
  <c r="FP18" i="14"/>
  <c r="FT18" i="14"/>
  <c r="FX18" i="14"/>
  <c r="GB18" i="14"/>
  <c r="GF18" i="14"/>
  <c r="GJ18" i="14"/>
  <c r="GN18" i="14"/>
  <c r="GR18" i="14"/>
  <c r="GV18" i="14"/>
  <c r="GZ18" i="14"/>
  <c r="HD18" i="14"/>
  <c r="HH18" i="14"/>
  <c r="HL18" i="14"/>
  <c r="HP18" i="14"/>
  <c r="HT18" i="14"/>
  <c r="HX18" i="14"/>
  <c r="IB18" i="14"/>
  <c r="IF18" i="14"/>
  <c r="IJ18" i="14"/>
  <c r="IN18" i="14"/>
  <c r="IR18" i="14"/>
  <c r="IV18" i="14"/>
  <c r="IZ18" i="14"/>
  <c r="JD18" i="14"/>
  <c r="JH18" i="14"/>
  <c r="JL18" i="14"/>
  <c r="JP18" i="14"/>
  <c r="JT18" i="14"/>
  <c r="JX18" i="14"/>
  <c r="KB18" i="14"/>
  <c r="L19" i="14"/>
  <c r="P19" i="14"/>
  <c r="T19" i="14"/>
  <c r="X19" i="14"/>
  <c r="AB19" i="14"/>
  <c r="AF19" i="14"/>
  <c r="AJ19" i="14"/>
  <c r="AN19" i="14"/>
  <c r="AR19" i="14"/>
  <c r="AV19" i="14"/>
  <c r="AZ19" i="14"/>
  <c r="BD19" i="14"/>
  <c r="BH19" i="14"/>
  <c r="BL19" i="14"/>
  <c r="BP19" i="14"/>
  <c r="BT19" i="14"/>
  <c r="BX19" i="14"/>
  <c r="CB19" i="14"/>
  <c r="CF19" i="14"/>
  <c r="CJ19" i="14"/>
  <c r="CN19" i="14"/>
  <c r="CR19" i="14"/>
  <c r="CV19" i="14"/>
  <c r="CZ19" i="14"/>
  <c r="DD19" i="14"/>
  <c r="DH19" i="14"/>
  <c r="DL19" i="14"/>
  <c r="DP19" i="14"/>
  <c r="DT19" i="14"/>
  <c r="DX19" i="14"/>
  <c r="EB19" i="14"/>
  <c r="EF19" i="14"/>
  <c r="EJ19" i="14"/>
  <c r="EN19" i="14"/>
  <c r="ER19" i="14"/>
  <c r="EV19" i="14"/>
  <c r="EZ19" i="14"/>
  <c r="FD19" i="14"/>
  <c r="FH19" i="14"/>
  <c r="FL19" i="14"/>
  <c r="FP19" i="14"/>
  <c r="FT19" i="14"/>
  <c r="FX19" i="14"/>
  <c r="GB19" i="14"/>
  <c r="GF19" i="14"/>
  <c r="GJ19" i="14"/>
  <c r="GN19" i="14"/>
  <c r="GR19" i="14"/>
  <c r="GV19" i="14"/>
  <c r="GZ19" i="14"/>
  <c r="HD19" i="14"/>
  <c r="HH19" i="14"/>
  <c r="HL19" i="14"/>
  <c r="HP19" i="14"/>
  <c r="HT19" i="14"/>
  <c r="HX19" i="14"/>
  <c r="IB19" i="14"/>
  <c r="IF19" i="14"/>
  <c r="IJ19" i="14"/>
  <c r="IN19" i="14"/>
  <c r="IR19" i="14"/>
  <c r="IV19" i="14"/>
  <c r="IZ19" i="14"/>
  <c r="JD19" i="14"/>
  <c r="JH19" i="14"/>
  <c r="JL19" i="14"/>
  <c r="JP19" i="14"/>
  <c r="JT19" i="14"/>
  <c r="JX19" i="14"/>
  <c r="KB19" i="14"/>
  <c r="L20" i="14"/>
  <c r="P20" i="14"/>
  <c r="T20" i="14"/>
  <c r="X20" i="14"/>
  <c r="AB20" i="14"/>
  <c r="AF20" i="14"/>
  <c r="AJ20" i="14"/>
  <c r="AN20" i="14"/>
  <c r="AR20" i="14"/>
  <c r="AV20" i="14"/>
  <c r="AZ20" i="14"/>
  <c r="BD20" i="14"/>
  <c r="BH20" i="14"/>
  <c r="BL20" i="14"/>
  <c r="BP20" i="14"/>
  <c r="BT20" i="14"/>
  <c r="BX20" i="14"/>
  <c r="CB20" i="14"/>
  <c r="CF20" i="14"/>
  <c r="CJ20" i="14"/>
  <c r="CN20" i="14"/>
  <c r="CR20" i="14"/>
  <c r="CV20" i="14"/>
  <c r="CZ20" i="14"/>
  <c r="DD20" i="14"/>
  <c r="DH20" i="14"/>
  <c r="DL20" i="14"/>
  <c r="DP20" i="14"/>
  <c r="DT20" i="14"/>
  <c r="DX20" i="14"/>
  <c r="EB20" i="14"/>
  <c r="EF20" i="14"/>
  <c r="EJ20" i="14"/>
  <c r="EN20" i="14"/>
  <c r="ER20" i="14"/>
  <c r="EV20" i="14"/>
  <c r="EZ20" i="14"/>
  <c r="FD20" i="14"/>
  <c r="FH20" i="14"/>
  <c r="FL20" i="14"/>
  <c r="FP20" i="14"/>
  <c r="FT20" i="14"/>
  <c r="FX20" i="14"/>
  <c r="GB20" i="14"/>
  <c r="GF20" i="14"/>
  <c r="GJ20" i="14"/>
  <c r="GN20" i="14"/>
  <c r="GR20" i="14"/>
  <c r="GV20" i="14"/>
  <c r="GZ20" i="14"/>
  <c r="HD20" i="14"/>
  <c r="HH20" i="14"/>
  <c r="HL20" i="14"/>
  <c r="HP20" i="14"/>
  <c r="HT20" i="14"/>
  <c r="HX20" i="14"/>
  <c r="IB20" i="14"/>
  <c r="IF20" i="14"/>
  <c r="IJ20" i="14"/>
  <c r="IN20" i="14"/>
  <c r="IR20" i="14"/>
  <c r="IV20" i="14"/>
  <c r="IZ20" i="14"/>
  <c r="JD20" i="14"/>
  <c r="JH20" i="14"/>
  <c r="JL20" i="14"/>
  <c r="JP20" i="14"/>
  <c r="JT20" i="14"/>
  <c r="JX20" i="14"/>
  <c r="KB20" i="14"/>
  <c r="L22" i="14"/>
  <c r="P22" i="14"/>
  <c r="T22" i="14"/>
  <c r="X22" i="14"/>
  <c r="AB22" i="14"/>
  <c r="AF22" i="14"/>
  <c r="AJ22" i="14"/>
  <c r="AN22" i="14"/>
  <c r="AR22" i="14"/>
  <c r="AV22" i="14"/>
  <c r="AZ22" i="14"/>
  <c r="BD22" i="14"/>
  <c r="BH22" i="14"/>
  <c r="BL22" i="14"/>
  <c r="BP22" i="14"/>
  <c r="BT22" i="14"/>
  <c r="BX22" i="14"/>
  <c r="CB22" i="14"/>
  <c r="CF22" i="14"/>
  <c r="CJ22" i="14"/>
  <c r="CN22" i="14"/>
  <c r="CR22" i="14"/>
  <c r="CV22" i="14"/>
  <c r="CZ22" i="14"/>
  <c r="DD22" i="14"/>
  <c r="DH22" i="14"/>
  <c r="DL22" i="14"/>
  <c r="DP22" i="14"/>
  <c r="DT22" i="14"/>
  <c r="DX22" i="14"/>
  <c r="EB22" i="14"/>
  <c r="EF22" i="14"/>
  <c r="EJ22" i="14"/>
  <c r="EN22" i="14"/>
  <c r="ER22" i="14"/>
  <c r="EV22" i="14"/>
  <c r="EZ22" i="14"/>
  <c r="FD22" i="14"/>
  <c r="FH22" i="14"/>
  <c r="FL22" i="14"/>
  <c r="FP22" i="14"/>
  <c r="FT22" i="14"/>
  <c r="FX22" i="14"/>
  <c r="GB22" i="14"/>
  <c r="GF22" i="14"/>
  <c r="GJ22" i="14"/>
  <c r="GN22" i="14"/>
  <c r="GR22" i="14"/>
  <c r="GV22" i="14"/>
  <c r="GZ22" i="14"/>
  <c r="HD22" i="14"/>
  <c r="HH22" i="14"/>
  <c r="HL22" i="14"/>
  <c r="HP22" i="14"/>
  <c r="HT22" i="14"/>
  <c r="HX22" i="14"/>
  <c r="IB22" i="14"/>
  <c r="IF22" i="14"/>
  <c r="IJ22" i="14"/>
  <c r="IN22" i="14"/>
  <c r="IR22" i="14"/>
  <c r="IV22" i="14"/>
  <c r="IZ22" i="14"/>
  <c r="JD22" i="14"/>
  <c r="JH22" i="14"/>
  <c r="JL22" i="14"/>
  <c r="JP22" i="14"/>
  <c r="JT22" i="14"/>
  <c r="JX22" i="14"/>
  <c r="KB22" i="14"/>
  <c r="L24" i="14"/>
  <c r="P24" i="14"/>
  <c r="T24" i="14"/>
  <c r="AB24" i="14"/>
  <c r="AF24" i="14"/>
  <c r="AJ24" i="14"/>
  <c r="AN24" i="14"/>
  <c r="AR24" i="14"/>
  <c r="AV24" i="14"/>
  <c r="AZ24" i="14"/>
  <c r="BD24" i="14"/>
  <c r="BH24" i="14"/>
  <c r="BL24" i="14"/>
  <c r="BP24" i="14"/>
  <c r="BX24" i="14"/>
  <c r="CB24" i="14"/>
  <c r="CF24" i="14"/>
  <c r="CJ24" i="14"/>
  <c r="CN24" i="14"/>
  <c r="CR24" i="14"/>
  <c r="CV24" i="14"/>
  <c r="CZ24" i="14"/>
  <c r="DD24" i="14"/>
  <c r="DH24" i="14"/>
  <c r="DL24" i="14"/>
  <c r="DT24" i="14"/>
  <c r="DX24" i="14"/>
  <c r="EB24" i="14"/>
  <c r="EF24" i="14"/>
  <c r="EJ24" i="14"/>
  <c r="EN24" i="14"/>
  <c r="ER24" i="14"/>
  <c r="EV24" i="14"/>
  <c r="EZ24" i="14"/>
  <c r="FD24" i="14"/>
  <c r="FH24" i="14"/>
  <c r="FP24" i="14"/>
  <c r="FT24" i="14"/>
  <c r="FX24" i="14"/>
  <c r="GB24" i="14"/>
  <c r="GF24" i="14"/>
  <c r="GJ24" i="14"/>
  <c r="GN24" i="14"/>
  <c r="GR24" i="14"/>
  <c r="GV24" i="14"/>
  <c r="GZ24" i="14"/>
  <c r="HD24" i="14"/>
  <c r="HL24" i="14"/>
  <c r="HP24" i="14"/>
  <c r="HT24" i="14"/>
  <c r="HX24" i="14"/>
  <c r="IB24" i="14"/>
  <c r="IF24" i="14"/>
  <c r="IJ24" i="14"/>
  <c r="IN24" i="14"/>
  <c r="IR24" i="14"/>
  <c r="IV24" i="14"/>
  <c r="IZ24" i="14"/>
  <c r="JH24" i="14"/>
  <c r="JL24" i="14"/>
  <c r="JP24" i="14"/>
  <c r="JT24" i="14"/>
  <c r="JX24" i="14"/>
  <c r="KB24" i="14"/>
  <c r="L25" i="14"/>
  <c r="P25" i="14"/>
  <c r="T25" i="14"/>
  <c r="AB25" i="14"/>
  <c r="AF25" i="14"/>
  <c r="AJ25" i="14"/>
  <c r="AN25" i="14"/>
  <c r="AR25" i="14"/>
  <c r="AV25" i="14"/>
  <c r="AZ25" i="14"/>
  <c r="BD25" i="14"/>
  <c r="BH25" i="14"/>
  <c r="BL25" i="14"/>
  <c r="BP25" i="14"/>
  <c r="BX25" i="14"/>
  <c r="CB25" i="14"/>
  <c r="CF25" i="14"/>
  <c r="CJ25" i="14"/>
  <c r="CN25" i="14"/>
  <c r="CR25" i="14"/>
  <c r="CV25" i="14"/>
  <c r="CZ25" i="14"/>
  <c r="DD25" i="14"/>
  <c r="DH25" i="14"/>
  <c r="DL25" i="14"/>
  <c r="DT25" i="14"/>
  <c r="DX25" i="14"/>
  <c r="EB25" i="14"/>
  <c r="EF25" i="14"/>
  <c r="EJ25" i="14"/>
  <c r="EN25" i="14"/>
  <c r="ER25" i="14"/>
  <c r="EV25" i="14"/>
  <c r="EZ25" i="14"/>
  <c r="FD25" i="14"/>
  <c r="FH25" i="14"/>
  <c r="FP25" i="14"/>
  <c r="FT25" i="14"/>
  <c r="FX25" i="14"/>
  <c r="GB25" i="14"/>
  <c r="GF25" i="14"/>
  <c r="GJ25" i="14"/>
  <c r="GN25" i="14"/>
  <c r="GR25" i="14"/>
  <c r="GV25" i="14"/>
  <c r="GZ25" i="14"/>
  <c r="HD25" i="14"/>
  <c r="HL25" i="14"/>
  <c r="HP25" i="14"/>
  <c r="HT25" i="14"/>
  <c r="HX25" i="14"/>
  <c r="IB25" i="14"/>
  <c r="IF25" i="14"/>
  <c r="IJ25" i="14"/>
  <c r="IN25" i="14"/>
  <c r="IR25" i="14"/>
  <c r="IV25" i="14"/>
  <c r="IZ25" i="14"/>
  <c r="JH25" i="14"/>
  <c r="JL25" i="14"/>
  <c r="JP25" i="14"/>
  <c r="JT25" i="14"/>
  <c r="JX25" i="14"/>
  <c r="KB25" i="14"/>
  <c r="L26" i="14"/>
  <c r="P26" i="14"/>
  <c r="T26" i="14"/>
  <c r="X26" i="14"/>
  <c r="AB26" i="14"/>
  <c r="AF26" i="14"/>
  <c r="AJ26" i="14"/>
  <c r="AN26" i="14"/>
  <c r="AR26" i="14"/>
  <c r="AV26" i="14"/>
  <c r="AZ26" i="14"/>
  <c r="BD26" i="14"/>
  <c r="BH26" i="14"/>
  <c r="BL26" i="14"/>
  <c r="BP26" i="14"/>
  <c r="BT26" i="14"/>
  <c r="BX26" i="14"/>
  <c r="CB26" i="14"/>
  <c r="CF26" i="14"/>
  <c r="CJ26" i="14"/>
  <c r="CN26" i="14"/>
  <c r="CR26" i="14"/>
  <c r="CV26" i="14"/>
  <c r="CZ26" i="14"/>
  <c r="DD26" i="14"/>
  <c r="DH26" i="14"/>
  <c r="DL26" i="14"/>
  <c r="DP26" i="14"/>
  <c r="DT26" i="14"/>
  <c r="DX26" i="14"/>
  <c r="EB26" i="14"/>
  <c r="EF26" i="14"/>
  <c r="EJ26" i="14"/>
  <c r="EN26" i="14"/>
  <c r="ER26" i="14"/>
  <c r="EV26" i="14"/>
  <c r="EZ26" i="14"/>
  <c r="FD26" i="14"/>
  <c r="FH26" i="14"/>
  <c r="FL26" i="14"/>
  <c r="FP26" i="14"/>
  <c r="FT26" i="14"/>
  <c r="FX26" i="14"/>
  <c r="GB26" i="14"/>
  <c r="GF26" i="14"/>
  <c r="GJ26" i="14"/>
  <c r="GN26" i="14"/>
  <c r="GR26" i="14"/>
  <c r="GV26" i="14"/>
  <c r="GZ26" i="14"/>
  <c r="HD26" i="14"/>
  <c r="HH26" i="14"/>
  <c r="HL26" i="14"/>
  <c r="HP26" i="14"/>
  <c r="HT26" i="14"/>
  <c r="HX26" i="14"/>
  <c r="IB26" i="14"/>
  <c r="IF26" i="14"/>
  <c r="IJ26" i="14"/>
  <c r="IN26" i="14"/>
  <c r="IR26" i="14"/>
  <c r="IV26" i="14"/>
  <c r="IZ26" i="14"/>
  <c r="JD26" i="14"/>
  <c r="JH26" i="14"/>
  <c r="JL26" i="14"/>
  <c r="JP26" i="14"/>
  <c r="JT26" i="14"/>
  <c r="JX26" i="14"/>
  <c r="KB26" i="14"/>
  <c r="L27" i="14"/>
  <c r="P27" i="14"/>
  <c r="T27" i="14"/>
  <c r="AB27" i="14"/>
  <c r="AF27" i="14"/>
  <c r="AJ27" i="14"/>
  <c r="AN27" i="14"/>
  <c r="AR27" i="14"/>
  <c r="AV27" i="14"/>
  <c r="AZ27" i="14"/>
  <c r="BD27" i="14"/>
  <c r="BH27" i="14"/>
  <c r="BL27" i="14"/>
  <c r="BP27" i="14"/>
  <c r="BX27" i="14"/>
  <c r="CB27" i="14"/>
  <c r="CF27" i="14"/>
  <c r="CJ27" i="14"/>
  <c r="CN27" i="14"/>
  <c r="CR27" i="14"/>
  <c r="CV27" i="14"/>
  <c r="CZ27" i="14"/>
  <c r="DD27" i="14"/>
  <c r="DH27" i="14"/>
  <c r="DL27" i="14"/>
  <c r="DT27" i="14"/>
  <c r="DX27" i="14"/>
  <c r="EB27" i="14"/>
  <c r="EF27" i="14"/>
  <c r="EJ27" i="14"/>
  <c r="EN27" i="14"/>
  <c r="ER27" i="14"/>
  <c r="EV27" i="14"/>
  <c r="EZ27" i="14"/>
  <c r="FD27" i="14"/>
  <c r="FH27" i="14"/>
  <c r="FP27" i="14"/>
  <c r="FT27" i="14"/>
  <c r="FX27" i="14"/>
  <c r="GB27" i="14"/>
  <c r="GF27" i="14"/>
  <c r="GJ27" i="14"/>
  <c r="GN27" i="14"/>
  <c r="GR27" i="14"/>
  <c r="GV27" i="14"/>
  <c r="GZ27" i="14"/>
  <c r="HD27" i="14"/>
  <c r="HL27" i="14"/>
  <c r="HP27" i="14"/>
  <c r="HT27" i="14"/>
  <c r="HX27" i="14"/>
  <c r="IB27" i="14"/>
  <c r="IF27" i="14"/>
  <c r="IJ27" i="14"/>
  <c r="IN27" i="14"/>
  <c r="IR27" i="14"/>
  <c r="IV27" i="14"/>
  <c r="IZ27" i="14"/>
  <c r="JH27" i="14"/>
  <c r="JL27" i="14"/>
  <c r="JP27" i="14"/>
  <c r="JT27" i="14"/>
  <c r="JX27" i="14"/>
  <c r="KB27" i="14"/>
  <c r="L28" i="14"/>
  <c r="P28" i="14"/>
  <c r="T28" i="14"/>
  <c r="AB28" i="14"/>
  <c r="AF28" i="14"/>
  <c r="AJ28" i="14"/>
  <c r="AN28" i="14"/>
  <c r="AR28" i="14"/>
  <c r="AV28" i="14"/>
  <c r="AZ28" i="14"/>
  <c r="BD28" i="14"/>
  <c r="BH28" i="14"/>
  <c r="BL28" i="14"/>
  <c r="BP28" i="14"/>
  <c r="BX28" i="14"/>
  <c r="CB28" i="14"/>
  <c r="CF28" i="14"/>
  <c r="CJ28" i="14"/>
  <c r="CN28" i="14"/>
  <c r="CR28" i="14"/>
  <c r="CV28" i="14"/>
  <c r="CZ28" i="14"/>
  <c r="DD28" i="14"/>
  <c r="DH28" i="14"/>
  <c r="DL28" i="14"/>
  <c r="DT28" i="14"/>
  <c r="DX28" i="14"/>
  <c r="EB28" i="14"/>
  <c r="EF28" i="14"/>
  <c r="EJ28" i="14"/>
  <c r="EN28" i="14"/>
  <c r="ER28" i="14"/>
  <c r="EV28" i="14"/>
  <c r="EZ28" i="14"/>
  <c r="FD28" i="14"/>
  <c r="FH28" i="14"/>
  <c r="FP28" i="14"/>
  <c r="FT28" i="14"/>
  <c r="FX28" i="14"/>
  <c r="GB28" i="14"/>
  <c r="GF28" i="14"/>
  <c r="GJ28" i="14"/>
  <c r="GN28" i="14"/>
  <c r="GR28" i="14"/>
  <c r="GV28" i="14"/>
  <c r="GZ28" i="14"/>
  <c r="HD28" i="14"/>
  <c r="HL28" i="14"/>
  <c r="HP28" i="14"/>
  <c r="HT28" i="14"/>
  <c r="HX28" i="14"/>
  <c r="IB28" i="14"/>
  <c r="IF28" i="14"/>
  <c r="IJ28" i="14"/>
  <c r="IN28" i="14"/>
  <c r="IR28" i="14"/>
  <c r="IV28" i="14"/>
  <c r="IZ28" i="14"/>
  <c r="JH28" i="14"/>
  <c r="JL28" i="14"/>
  <c r="JP28" i="14"/>
  <c r="JT28" i="14"/>
  <c r="JX28" i="14"/>
  <c r="KB28" i="14"/>
  <c r="AJ29" i="14"/>
  <c r="CF29" i="14"/>
  <c r="EB29" i="14"/>
  <c r="FX29" i="14"/>
  <c r="HT29" i="14"/>
  <c r="IB29" i="14"/>
  <c r="IF29" i="14"/>
  <c r="IN29" i="14"/>
  <c r="IV29" i="14"/>
  <c r="JP29" i="14"/>
  <c r="JX29" i="14"/>
  <c r="J13" i="14"/>
  <c r="I13" i="14"/>
  <c r="F13" i="14"/>
  <c r="G1" i="14"/>
  <c r="K1" i="14" s="1"/>
  <c r="H5" i="14"/>
  <c r="H24" i="14" s="1"/>
  <c r="H6" i="14"/>
  <c r="H18" i="14"/>
  <c r="H19" i="14"/>
  <c r="H20" i="14"/>
  <c r="H22" i="14"/>
  <c r="D27" i="14"/>
  <c r="D26" i="14"/>
  <c r="D25" i="14"/>
  <c r="D28" i="14"/>
  <c r="D24" i="14"/>
  <c r="D22" i="14"/>
  <c r="D20" i="14"/>
  <c r="D19" i="14"/>
  <c r="D18" i="14"/>
  <c r="D16" i="14"/>
  <c r="D15" i="14"/>
  <c r="D14" i="14"/>
  <c r="D12" i="14"/>
  <c r="D11" i="14"/>
  <c r="D6" i="14"/>
  <c r="D4" i="14" s="1"/>
  <c r="D29" i="14" s="1"/>
  <c r="D4" i="13"/>
  <c r="D5" i="13"/>
  <c r="D6" i="13"/>
  <c r="D7" i="13"/>
  <c r="D8" i="13"/>
  <c r="E8" i="13" s="1"/>
  <c r="D9" i="13"/>
  <c r="E9" i="13" s="1"/>
  <c r="D3" i="13"/>
  <c r="E3" i="13" s="1"/>
  <c r="B3" i="13"/>
  <c r="E4" i="13"/>
  <c r="E5" i="13"/>
  <c r="E6" i="13"/>
  <c r="E7" i="13"/>
  <c r="B25" i="4"/>
  <c r="B21" i="4"/>
  <c r="G4" i="13"/>
  <c r="G5" i="13"/>
  <c r="G6" i="13"/>
  <c r="G7" i="13"/>
  <c r="G8" i="13"/>
  <c r="G9" i="13"/>
  <c r="B9" i="13" s="1"/>
  <c r="B4" i="13"/>
  <c r="B5" i="13"/>
  <c r="B6" i="13"/>
  <c r="B7" i="13"/>
  <c r="B8" i="13"/>
  <c r="G3" i="13"/>
  <c r="L4" i="10"/>
  <c r="P4" i="10"/>
  <c r="T4" i="10"/>
  <c r="X4" i="10"/>
  <c r="AB4" i="10"/>
  <c r="AF4" i="10"/>
  <c r="AJ4" i="10"/>
  <c r="AN4" i="10"/>
  <c r="AR4" i="10"/>
  <c r="AV4" i="10"/>
  <c r="AZ4" i="10"/>
  <c r="BD4" i="10"/>
  <c r="BD26" i="10" s="1"/>
  <c r="BH4" i="10"/>
  <c r="BL4" i="10"/>
  <c r="BP4" i="10"/>
  <c r="BT4" i="10"/>
  <c r="BX4" i="10"/>
  <c r="CB4" i="10"/>
  <c r="CF4" i="10"/>
  <c r="CJ4" i="10"/>
  <c r="CN4" i="10"/>
  <c r="CR4" i="10"/>
  <c r="CV4" i="10"/>
  <c r="CZ4" i="10"/>
  <c r="CZ23" i="10" s="1"/>
  <c r="DD4" i="10"/>
  <c r="DH4" i="10"/>
  <c r="DH3" i="10" s="1"/>
  <c r="DH28" i="10" s="1"/>
  <c r="DL4" i="10"/>
  <c r="DP4" i="10"/>
  <c r="DT4" i="10"/>
  <c r="DX4" i="10"/>
  <c r="EB4" i="10"/>
  <c r="EF4" i="10"/>
  <c r="EJ4" i="10"/>
  <c r="EN4" i="10"/>
  <c r="ER4" i="10"/>
  <c r="EV4" i="10"/>
  <c r="EZ4" i="10"/>
  <c r="FD4" i="10"/>
  <c r="FD3" i="10" s="1"/>
  <c r="FD28" i="10" s="1"/>
  <c r="FH4" i="10"/>
  <c r="FL4" i="10"/>
  <c r="FP4" i="10"/>
  <c r="FT4" i="10"/>
  <c r="FX4" i="10"/>
  <c r="GB4" i="10"/>
  <c r="GF4" i="10"/>
  <c r="GJ4" i="10"/>
  <c r="GN4" i="10"/>
  <c r="GR4" i="10"/>
  <c r="GV4" i="10"/>
  <c r="GZ4" i="10"/>
  <c r="GZ3" i="10" s="1"/>
  <c r="GZ28" i="10" s="1"/>
  <c r="HD4" i="10"/>
  <c r="HH4" i="10"/>
  <c r="HH3" i="10" s="1"/>
  <c r="HL4" i="10"/>
  <c r="HP4" i="10"/>
  <c r="HT4" i="10"/>
  <c r="HX4" i="10"/>
  <c r="IB4" i="10"/>
  <c r="IF4" i="10"/>
  <c r="IJ4" i="10"/>
  <c r="IJ3" i="10" s="1"/>
  <c r="IJ28" i="10" s="1"/>
  <c r="IN4" i="10"/>
  <c r="IR4" i="10"/>
  <c r="IR23" i="10" s="1"/>
  <c r="IV4" i="10"/>
  <c r="IV3" i="10" s="1"/>
  <c r="IV28" i="10" s="1"/>
  <c r="IZ4" i="10"/>
  <c r="JD4" i="10"/>
  <c r="JD3" i="10" s="1"/>
  <c r="JH4" i="10"/>
  <c r="JL4" i="10"/>
  <c r="JP4" i="10"/>
  <c r="JT4" i="10"/>
  <c r="JX4" i="10"/>
  <c r="KB4" i="10"/>
  <c r="KF4" i="10"/>
  <c r="KF3" i="10" s="1"/>
  <c r="L5" i="10"/>
  <c r="P5" i="10"/>
  <c r="T5" i="10"/>
  <c r="X5" i="10"/>
  <c r="AB5" i="10"/>
  <c r="AF5" i="10"/>
  <c r="AJ5" i="10"/>
  <c r="AN5" i="10"/>
  <c r="AR5" i="10"/>
  <c r="AV5" i="10"/>
  <c r="AZ5" i="10"/>
  <c r="BD5" i="10"/>
  <c r="BH5" i="10"/>
  <c r="BL5" i="10"/>
  <c r="BP5" i="10"/>
  <c r="BT5" i="10"/>
  <c r="BX5" i="10"/>
  <c r="CB5" i="10"/>
  <c r="CF5" i="10"/>
  <c r="CJ5" i="10"/>
  <c r="CN5" i="10"/>
  <c r="CR5" i="10"/>
  <c r="CV5" i="10"/>
  <c r="CZ5" i="10"/>
  <c r="DD5" i="10"/>
  <c r="DH5" i="10"/>
  <c r="DL5" i="10"/>
  <c r="DP5" i="10"/>
  <c r="DT5" i="10"/>
  <c r="DX5" i="10"/>
  <c r="EB5" i="10"/>
  <c r="EF5" i="10"/>
  <c r="EJ5" i="10"/>
  <c r="EN5" i="10"/>
  <c r="ER5" i="10"/>
  <c r="EV5" i="10"/>
  <c r="EZ5" i="10"/>
  <c r="FD5" i="10"/>
  <c r="FH5" i="10"/>
  <c r="FL5" i="10"/>
  <c r="FP5" i="10"/>
  <c r="FT5" i="10"/>
  <c r="FX5" i="10"/>
  <c r="GB5" i="10"/>
  <c r="GF5" i="10"/>
  <c r="GJ5" i="10"/>
  <c r="GN5" i="10"/>
  <c r="GR5" i="10"/>
  <c r="GV5" i="10"/>
  <c r="GZ5" i="10"/>
  <c r="HD5" i="10"/>
  <c r="HH5" i="10"/>
  <c r="HL5" i="10"/>
  <c r="HP5" i="10"/>
  <c r="HT5" i="10"/>
  <c r="HX5" i="10"/>
  <c r="IB5" i="10"/>
  <c r="IF5" i="10"/>
  <c r="IJ5" i="10"/>
  <c r="IN5" i="10"/>
  <c r="IR5" i="10"/>
  <c r="IV5" i="10"/>
  <c r="IZ5" i="10"/>
  <c r="JD5" i="10"/>
  <c r="JH5" i="10"/>
  <c r="JL5" i="10"/>
  <c r="JP5" i="10"/>
  <c r="JT5" i="10"/>
  <c r="JX5" i="10"/>
  <c r="KB5" i="10"/>
  <c r="KF5" i="10"/>
  <c r="N12" i="10"/>
  <c r="M12" i="10" s="1"/>
  <c r="R12" i="10"/>
  <c r="Q12" i="10" s="1"/>
  <c r="V12" i="10"/>
  <c r="U12" i="10" s="1"/>
  <c r="Z12" i="10"/>
  <c r="Y12" i="10" s="1"/>
  <c r="AD12" i="10"/>
  <c r="AC12" i="10" s="1"/>
  <c r="AH12" i="10"/>
  <c r="AG12" i="10" s="1"/>
  <c r="AL12" i="10"/>
  <c r="AK12" i="10" s="1"/>
  <c r="AP12" i="10"/>
  <c r="AO12" i="10" s="1"/>
  <c r="AT12" i="10"/>
  <c r="AS12" i="10" s="1"/>
  <c r="AX12" i="10"/>
  <c r="AW12" i="10" s="1"/>
  <c r="BB12" i="10"/>
  <c r="BA12" i="10" s="1"/>
  <c r="BF12" i="10"/>
  <c r="BE12" i="10" s="1"/>
  <c r="BJ12" i="10"/>
  <c r="BI12" i="10" s="1"/>
  <c r="BN12" i="10"/>
  <c r="BM12" i="10" s="1"/>
  <c r="BR12" i="10"/>
  <c r="BQ12" i="10" s="1"/>
  <c r="BV12" i="10"/>
  <c r="BU12" i="10" s="1"/>
  <c r="BZ12" i="10"/>
  <c r="BY12" i="10" s="1"/>
  <c r="CD12" i="10"/>
  <c r="CC12" i="10" s="1"/>
  <c r="CH12" i="10"/>
  <c r="CG12" i="10" s="1"/>
  <c r="CL12" i="10"/>
  <c r="CK12" i="10" s="1"/>
  <c r="CP12" i="10"/>
  <c r="CO12" i="10" s="1"/>
  <c r="CT12" i="10"/>
  <c r="CS12" i="10" s="1"/>
  <c r="CX12" i="10"/>
  <c r="CW12" i="10" s="1"/>
  <c r="DB12" i="10"/>
  <c r="DA12" i="10" s="1"/>
  <c r="DF12" i="10"/>
  <c r="DE12" i="10" s="1"/>
  <c r="DJ12" i="10"/>
  <c r="DI12" i="10" s="1"/>
  <c r="DN12" i="10"/>
  <c r="DM12" i="10" s="1"/>
  <c r="DR12" i="10"/>
  <c r="DQ12" i="10" s="1"/>
  <c r="DV12" i="10"/>
  <c r="DU12" i="10" s="1"/>
  <c r="DZ12" i="10"/>
  <c r="DY12" i="10" s="1"/>
  <c r="ED12" i="10"/>
  <c r="EC12" i="10" s="1"/>
  <c r="EH12" i="10"/>
  <c r="EG12" i="10" s="1"/>
  <c r="EL12" i="10"/>
  <c r="EK12" i="10" s="1"/>
  <c r="EP12" i="10"/>
  <c r="EO12" i="10" s="1"/>
  <c r="ET12" i="10"/>
  <c r="ES12" i="10" s="1"/>
  <c r="EX12" i="10"/>
  <c r="EW12" i="10" s="1"/>
  <c r="FB12" i="10"/>
  <c r="FA12" i="10" s="1"/>
  <c r="FF12" i="10"/>
  <c r="FE12" i="10" s="1"/>
  <c r="FJ12" i="10"/>
  <c r="FI12" i="10" s="1"/>
  <c r="FN12" i="10"/>
  <c r="FM12" i="10" s="1"/>
  <c r="FR12" i="10"/>
  <c r="FQ12" i="10" s="1"/>
  <c r="FV12" i="10"/>
  <c r="FU12" i="10" s="1"/>
  <c r="FZ12" i="10"/>
  <c r="FY12" i="10" s="1"/>
  <c r="GD12" i="10"/>
  <c r="GC12" i="10" s="1"/>
  <c r="GH12" i="10"/>
  <c r="GG12" i="10" s="1"/>
  <c r="GL12" i="10"/>
  <c r="GK12" i="10" s="1"/>
  <c r="GP12" i="10"/>
  <c r="GO12" i="10" s="1"/>
  <c r="GT12" i="10"/>
  <c r="GS12" i="10" s="1"/>
  <c r="GX12" i="10"/>
  <c r="GW12" i="10" s="1"/>
  <c r="HB12" i="10"/>
  <c r="HA12" i="10" s="1"/>
  <c r="HF12" i="10"/>
  <c r="HE12" i="10" s="1"/>
  <c r="HJ12" i="10"/>
  <c r="HI12" i="10" s="1"/>
  <c r="HN12" i="10"/>
  <c r="HM12" i="10" s="1"/>
  <c r="HR12" i="10"/>
  <c r="HQ12" i="10" s="1"/>
  <c r="HV12" i="10"/>
  <c r="HU12" i="10" s="1"/>
  <c r="HZ12" i="10"/>
  <c r="HY12" i="10" s="1"/>
  <c r="ID12" i="10"/>
  <c r="IC12" i="10" s="1"/>
  <c r="IH12" i="10"/>
  <c r="IG12" i="10" s="1"/>
  <c r="IL12" i="10"/>
  <c r="IK12" i="10" s="1"/>
  <c r="IP12" i="10"/>
  <c r="IO12" i="10" s="1"/>
  <c r="IT12" i="10"/>
  <c r="IS12" i="10" s="1"/>
  <c r="IX12" i="10"/>
  <c r="IW12" i="10" s="1"/>
  <c r="JB12" i="10"/>
  <c r="JA12" i="10" s="1"/>
  <c r="JF12" i="10"/>
  <c r="JE12" i="10" s="1"/>
  <c r="JJ12" i="10"/>
  <c r="JI12" i="10" s="1"/>
  <c r="JN12" i="10"/>
  <c r="JM12" i="10" s="1"/>
  <c r="JR12" i="10"/>
  <c r="JQ12" i="10" s="1"/>
  <c r="JV12" i="10"/>
  <c r="JU12" i="10" s="1"/>
  <c r="JZ12" i="10"/>
  <c r="JY12" i="10" s="1"/>
  <c r="KD12" i="10"/>
  <c r="KC12" i="10" s="1"/>
  <c r="KH12" i="10"/>
  <c r="KG12" i="10" s="1"/>
  <c r="L17" i="10"/>
  <c r="P17" i="10"/>
  <c r="T17" i="10"/>
  <c r="X17" i="10"/>
  <c r="AB17" i="10"/>
  <c r="AF17" i="10"/>
  <c r="AJ17" i="10"/>
  <c r="AN17" i="10"/>
  <c r="AR17" i="10"/>
  <c r="AV17" i="10"/>
  <c r="AZ17" i="10"/>
  <c r="BD17" i="10"/>
  <c r="BH17" i="10"/>
  <c r="BL17" i="10"/>
  <c r="BP17" i="10"/>
  <c r="BT17" i="10"/>
  <c r="BX17" i="10"/>
  <c r="CB17" i="10"/>
  <c r="CF17" i="10"/>
  <c r="CJ17" i="10"/>
  <c r="CN17" i="10"/>
  <c r="CR17" i="10"/>
  <c r="CV17" i="10"/>
  <c r="CZ17" i="10"/>
  <c r="DD17" i="10"/>
  <c r="DH17" i="10"/>
  <c r="DL17" i="10"/>
  <c r="DP17" i="10"/>
  <c r="DT17" i="10"/>
  <c r="DX17" i="10"/>
  <c r="EB17" i="10"/>
  <c r="EF17" i="10"/>
  <c r="EJ17" i="10"/>
  <c r="EN17" i="10"/>
  <c r="ER17" i="10"/>
  <c r="EV17" i="10"/>
  <c r="EZ17" i="10"/>
  <c r="FD17" i="10"/>
  <c r="FH17" i="10"/>
  <c r="FL17" i="10"/>
  <c r="FP17" i="10"/>
  <c r="FT17" i="10"/>
  <c r="FX17" i="10"/>
  <c r="GB17" i="10"/>
  <c r="GF17" i="10"/>
  <c r="GJ17" i="10"/>
  <c r="GN17" i="10"/>
  <c r="GR17" i="10"/>
  <c r="GV17" i="10"/>
  <c r="GZ17" i="10"/>
  <c r="HD17" i="10"/>
  <c r="HH17" i="10"/>
  <c r="HL17" i="10"/>
  <c r="HP17" i="10"/>
  <c r="HT17" i="10"/>
  <c r="HX17" i="10"/>
  <c r="IB17" i="10"/>
  <c r="IF17" i="10"/>
  <c r="IJ17" i="10"/>
  <c r="IN17" i="10"/>
  <c r="IR17" i="10"/>
  <c r="IV17" i="10"/>
  <c r="IZ17" i="10"/>
  <c r="JD17" i="10"/>
  <c r="JH17" i="10"/>
  <c r="JL17" i="10"/>
  <c r="JP17" i="10"/>
  <c r="JT17" i="10"/>
  <c r="JX17" i="10"/>
  <c r="KB17" i="10"/>
  <c r="KF17" i="10"/>
  <c r="L18" i="10"/>
  <c r="P18" i="10"/>
  <c r="T18" i="10"/>
  <c r="X18" i="10"/>
  <c r="AB18" i="10"/>
  <c r="AF18" i="10"/>
  <c r="AJ18" i="10"/>
  <c r="AN18" i="10"/>
  <c r="AR18" i="10"/>
  <c r="AV18" i="10"/>
  <c r="AZ18" i="10"/>
  <c r="BD18" i="10"/>
  <c r="BH18" i="10"/>
  <c r="BL18" i="10"/>
  <c r="BP18" i="10"/>
  <c r="BT18" i="10"/>
  <c r="BX18" i="10"/>
  <c r="CB18" i="10"/>
  <c r="CF18" i="10"/>
  <c r="CJ18" i="10"/>
  <c r="CN18" i="10"/>
  <c r="CR18" i="10"/>
  <c r="CV18" i="10"/>
  <c r="CZ18" i="10"/>
  <c r="DD18" i="10"/>
  <c r="DH18" i="10"/>
  <c r="DL18" i="10"/>
  <c r="DP18" i="10"/>
  <c r="DT18" i="10"/>
  <c r="DX18" i="10"/>
  <c r="EB18" i="10"/>
  <c r="EF18" i="10"/>
  <c r="EJ18" i="10"/>
  <c r="EN18" i="10"/>
  <c r="ER18" i="10"/>
  <c r="EV18" i="10"/>
  <c r="EZ18" i="10"/>
  <c r="FD18" i="10"/>
  <c r="FH18" i="10"/>
  <c r="FL18" i="10"/>
  <c r="FP18" i="10"/>
  <c r="FT18" i="10"/>
  <c r="FX18" i="10"/>
  <c r="GB18" i="10"/>
  <c r="GF18" i="10"/>
  <c r="GJ18" i="10"/>
  <c r="GN18" i="10"/>
  <c r="GR18" i="10"/>
  <c r="GV18" i="10"/>
  <c r="GZ18" i="10"/>
  <c r="HD18" i="10"/>
  <c r="HH18" i="10"/>
  <c r="HL18" i="10"/>
  <c r="HP18" i="10"/>
  <c r="HT18" i="10"/>
  <c r="HX18" i="10"/>
  <c r="IB18" i="10"/>
  <c r="IF18" i="10"/>
  <c r="IJ18" i="10"/>
  <c r="IN18" i="10"/>
  <c r="IR18" i="10"/>
  <c r="IV18" i="10"/>
  <c r="IZ18" i="10"/>
  <c r="JD18" i="10"/>
  <c r="JH18" i="10"/>
  <c r="JL18" i="10"/>
  <c r="JP18" i="10"/>
  <c r="JT18" i="10"/>
  <c r="JX18" i="10"/>
  <c r="KB18" i="10"/>
  <c r="KF18" i="10"/>
  <c r="L19" i="10"/>
  <c r="P19" i="10"/>
  <c r="T19" i="10"/>
  <c r="X19" i="10"/>
  <c r="AB19" i="10"/>
  <c r="AF19" i="10"/>
  <c r="AJ19" i="10"/>
  <c r="AN19" i="10"/>
  <c r="AR19" i="10"/>
  <c r="AV19" i="10"/>
  <c r="AZ19" i="10"/>
  <c r="BD19" i="10"/>
  <c r="BH19" i="10"/>
  <c r="BL19" i="10"/>
  <c r="BP19" i="10"/>
  <c r="BT19" i="10"/>
  <c r="BX19" i="10"/>
  <c r="CB19" i="10"/>
  <c r="CF19" i="10"/>
  <c r="CJ19" i="10"/>
  <c r="CN19" i="10"/>
  <c r="CR19" i="10"/>
  <c r="CV19" i="10"/>
  <c r="CZ19" i="10"/>
  <c r="DD19" i="10"/>
  <c r="DH19" i="10"/>
  <c r="DL19" i="10"/>
  <c r="DP19" i="10"/>
  <c r="DT19" i="10"/>
  <c r="DX19" i="10"/>
  <c r="EB19" i="10"/>
  <c r="EF19" i="10"/>
  <c r="EJ19" i="10"/>
  <c r="EN19" i="10"/>
  <c r="ER19" i="10"/>
  <c r="EV19" i="10"/>
  <c r="EZ19" i="10"/>
  <c r="FD19" i="10"/>
  <c r="FH19" i="10"/>
  <c r="FL19" i="10"/>
  <c r="FP19" i="10"/>
  <c r="FT19" i="10"/>
  <c r="FX19" i="10"/>
  <c r="GB19" i="10"/>
  <c r="GF19" i="10"/>
  <c r="GJ19" i="10"/>
  <c r="GN19" i="10"/>
  <c r="GR19" i="10"/>
  <c r="GV19" i="10"/>
  <c r="GZ19" i="10"/>
  <c r="HD19" i="10"/>
  <c r="HH19" i="10"/>
  <c r="HL19" i="10"/>
  <c r="HP19" i="10"/>
  <c r="HT19" i="10"/>
  <c r="HX19" i="10"/>
  <c r="IB19" i="10"/>
  <c r="IF19" i="10"/>
  <c r="IJ19" i="10"/>
  <c r="IN19" i="10"/>
  <c r="IR19" i="10"/>
  <c r="IV19" i="10"/>
  <c r="IZ19" i="10"/>
  <c r="JD19" i="10"/>
  <c r="JH19" i="10"/>
  <c r="JL19" i="10"/>
  <c r="JP19" i="10"/>
  <c r="JT19" i="10"/>
  <c r="JX19" i="10"/>
  <c r="KB19" i="10"/>
  <c r="KF19" i="10"/>
  <c r="L21" i="10"/>
  <c r="P21" i="10"/>
  <c r="T21" i="10"/>
  <c r="X21" i="10"/>
  <c r="AB21" i="10"/>
  <c r="AF21" i="10"/>
  <c r="AJ21" i="10"/>
  <c r="AN21" i="10"/>
  <c r="AR21" i="10"/>
  <c r="AV21" i="10"/>
  <c r="AZ21" i="10"/>
  <c r="BD21" i="10"/>
  <c r="BH21" i="10"/>
  <c r="BL21" i="10"/>
  <c r="BP21" i="10"/>
  <c r="BT21" i="10"/>
  <c r="BX21" i="10"/>
  <c r="CB21" i="10"/>
  <c r="CF21" i="10"/>
  <c r="CJ21" i="10"/>
  <c r="CN21" i="10"/>
  <c r="CR21" i="10"/>
  <c r="CV21" i="10"/>
  <c r="CZ21" i="10"/>
  <c r="DD21" i="10"/>
  <c r="DH21" i="10"/>
  <c r="DL21" i="10"/>
  <c r="DP21" i="10"/>
  <c r="DT21" i="10"/>
  <c r="DX21" i="10"/>
  <c r="EB21" i="10"/>
  <c r="EF21" i="10"/>
  <c r="EJ21" i="10"/>
  <c r="EN21" i="10"/>
  <c r="ER21" i="10"/>
  <c r="EV21" i="10"/>
  <c r="EZ21" i="10"/>
  <c r="FD21" i="10"/>
  <c r="FH21" i="10"/>
  <c r="FL21" i="10"/>
  <c r="FP21" i="10"/>
  <c r="FT21" i="10"/>
  <c r="FX21" i="10"/>
  <c r="GB21" i="10"/>
  <c r="GF21" i="10"/>
  <c r="GJ21" i="10"/>
  <c r="GN21" i="10"/>
  <c r="GR21" i="10"/>
  <c r="GV21" i="10"/>
  <c r="GZ21" i="10"/>
  <c r="HD21" i="10"/>
  <c r="HH21" i="10"/>
  <c r="HL21" i="10"/>
  <c r="HP21" i="10"/>
  <c r="HT21" i="10"/>
  <c r="HX21" i="10"/>
  <c r="IB21" i="10"/>
  <c r="IF21" i="10"/>
  <c r="IJ21" i="10"/>
  <c r="IN21" i="10"/>
  <c r="IR21" i="10"/>
  <c r="IV21" i="10"/>
  <c r="IZ21" i="10"/>
  <c r="JD21" i="10"/>
  <c r="JH21" i="10"/>
  <c r="JL21" i="10"/>
  <c r="JP21" i="10"/>
  <c r="JT21" i="10"/>
  <c r="JX21" i="10"/>
  <c r="KB21" i="10"/>
  <c r="KF21" i="10"/>
  <c r="X23" i="10"/>
  <c r="AB23" i="10"/>
  <c r="AF23" i="10"/>
  <c r="AJ23" i="10"/>
  <c r="AN23" i="10"/>
  <c r="AV23" i="10"/>
  <c r="AZ23" i="10"/>
  <c r="BT23" i="10"/>
  <c r="BX23" i="10"/>
  <c r="CB23" i="10"/>
  <c r="CV23" i="10"/>
  <c r="DP23" i="10"/>
  <c r="DT23" i="10"/>
  <c r="DX23" i="10"/>
  <c r="EB23" i="10"/>
  <c r="EF23" i="10"/>
  <c r="FL23" i="10"/>
  <c r="FP23" i="10"/>
  <c r="FT23" i="10"/>
  <c r="HH23" i="10"/>
  <c r="HL23" i="10"/>
  <c r="HP23" i="10"/>
  <c r="JD23" i="10"/>
  <c r="JH23" i="10"/>
  <c r="JL23" i="10"/>
  <c r="T24" i="10"/>
  <c r="X24" i="10"/>
  <c r="AB24" i="10"/>
  <c r="AF24" i="10"/>
  <c r="AJ24" i="10"/>
  <c r="AN24" i="10"/>
  <c r="BP24" i="10"/>
  <c r="BT24" i="10"/>
  <c r="BX24" i="10"/>
  <c r="CB24" i="10"/>
  <c r="DL24" i="10"/>
  <c r="DP24" i="10"/>
  <c r="DT24" i="10"/>
  <c r="DX24" i="10"/>
  <c r="FH24" i="10"/>
  <c r="FL24" i="10"/>
  <c r="FP24" i="10"/>
  <c r="FT24" i="10"/>
  <c r="FX24" i="10"/>
  <c r="GZ24" i="10"/>
  <c r="HD24" i="10"/>
  <c r="HH24" i="10"/>
  <c r="HL24" i="10"/>
  <c r="HP24" i="10"/>
  <c r="IZ24" i="10"/>
  <c r="JD24" i="10"/>
  <c r="JH24" i="10"/>
  <c r="JL24" i="10"/>
  <c r="T25" i="10"/>
  <c r="X25" i="10"/>
  <c r="AB25" i="10"/>
  <c r="AF25" i="10"/>
  <c r="AJ25" i="10"/>
  <c r="AZ25" i="10"/>
  <c r="BP25" i="10"/>
  <c r="BT25" i="10"/>
  <c r="BX25" i="10"/>
  <c r="CB25" i="10"/>
  <c r="CV25" i="10"/>
  <c r="DD25" i="10"/>
  <c r="DH25" i="10"/>
  <c r="DL25" i="10"/>
  <c r="DP25" i="10"/>
  <c r="DT25" i="10"/>
  <c r="DX25" i="10"/>
  <c r="EB25" i="10"/>
  <c r="EF25" i="10"/>
  <c r="ER25" i="10"/>
  <c r="FH25" i="10"/>
  <c r="FL25" i="10"/>
  <c r="FP25" i="10"/>
  <c r="FT25" i="10"/>
  <c r="GN25" i="10"/>
  <c r="HD25" i="10"/>
  <c r="HH25" i="10"/>
  <c r="HL25" i="10"/>
  <c r="HP25" i="10"/>
  <c r="HT25" i="10"/>
  <c r="IJ25" i="10"/>
  <c r="IZ25" i="10"/>
  <c r="JD25" i="10"/>
  <c r="JH25" i="10"/>
  <c r="JL25" i="10"/>
  <c r="KF25" i="10"/>
  <c r="L26" i="10"/>
  <c r="T26" i="10"/>
  <c r="X26" i="10"/>
  <c r="AB26" i="10"/>
  <c r="AF26" i="10"/>
  <c r="AJ26" i="10"/>
  <c r="AN26" i="10"/>
  <c r="AR26" i="10"/>
  <c r="AV26" i="10"/>
  <c r="AZ26" i="10"/>
  <c r="BH26" i="10"/>
  <c r="BP26" i="10"/>
  <c r="BT26" i="10"/>
  <c r="BX26" i="10"/>
  <c r="CB26" i="10"/>
  <c r="CF26" i="10"/>
  <c r="CJ26" i="10"/>
  <c r="CN26" i="10"/>
  <c r="CR26" i="10"/>
  <c r="CV26" i="10"/>
  <c r="DD26" i="10"/>
  <c r="DL26" i="10"/>
  <c r="DP26" i="10"/>
  <c r="DT26" i="10"/>
  <c r="DX26" i="10"/>
  <c r="EB26" i="10"/>
  <c r="EF26" i="10"/>
  <c r="EJ26" i="10"/>
  <c r="ER26" i="10"/>
  <c r="FH26" i="10"/>
  <c r="FL26" i="10"/>
  <c r="FP26" i="10"/>
  <c r="FT26" i="10"/>
  <c r="GF26" i="10"/>
  <c r="GN26" i="10"/>
  <c r="HD26" i="10"/>
  <c r="HH26" i="10"/>
  <c r="HL26" i="10"/>
  <c r="HP26" i="10"/>
  <c r="IB26" i="10"/>
  <c r="IJ26" i="10"/>
  <c r="IZ26" i="10"/>
  <c r="JD26" i="10"/>
  <c r="JH26" i="10"/>
  <c r="JL26" i="10"/>
  <c r="JX26" i="10"/>
  <c r="KF26" i="10"/>
  <c r="L27" i="10"/>
  <c r="X27" i="10"/>
  <c r="AB27" i="10"/>
  <c r="AF27" i="10"/>
  <c r="AJ27" i="10"/>
  <c r="AR27" i="10"/>
  <c r="AV27" i="10"/>
  <c r="AZ27" i="10"/>
  <c r="BP27" i="10"/>
  <c r="BT27" i="10"/>
  <c r="BX27" i="10"/>
  <c r="CB27" i="10"/>
  <c r="CF27" i="10"/>
  <c r="CN27" i="10"/>
  <c r="CR27" i="10"/>
  <c r="CV27" i="10"/>
  <c r="DL27" i="10"/>
  <c r="DP27" i="10"/>
  <c r="DT27" i="10"/>
  <c r="DX27" i="10"/>
  <c r="EB27" i="10"/>
  <c r="EJ27" i="10"/>
  <c r="EN27" i="10"/>
  <c r="ER27" i="10"/>
  <c r="FH27" i="10"/>
  <c r="FL27" i="10"/>
  <c r="FP27" i="10"/>
  <c r="FT27" i="10"/>
  <c r="FX27" i="10"/>
  <c r="GF27" i="10"/>
  <c r="GJ27" i="10"/>
  <c r="GN27" i="10"/>
  <c r="HD27" i="10"/>
  <c r="HH27" i="10"/>
  <c r="HL27" i="10"/>
  <c r="HP27" i="10"/>
  <c r="HT27" i="10"/>
  <c r="IB27" i="10"/>
  <c r="IF27" i="10"/>
  <c r="IJ27" i="10"/>
  <c r="IZ27" i="10"/>
  <c r="JD27" i="10"/>
  <c r="JH27" i="10"/>
  <c r="JL27" i="10"/>
  <c r="JP27" i="10"/>
  <c r="JX27" i="10"/>
  <c r="KB27" i="10"/>
  <c r="KF27" i="10"/>
  <c r="HH28" i="10"/>
  <c r="JD28" i="10"/>
  <c r="G1" i="10"/>
  <c r="K1" i="10" s="1"/>
  <c r="H4" i="10"/>
  <c r="H27" i="10" s="1"/>
  <c r="H5" i="10"/>
  <c r="J12" i="10"/>
  <c r="I12" i="10" s="1"/>
  <c r="H17" i="10"/>
  <c r="H18" i="10"/>
  <c r="H19" i="10"/>
  <c r="H21" i="10"/>
  <c r="D5" i="10"/>
  <c r="D3" i="10" s="1"/>
  <c r="D10" i="10"/>
  <c r="D11" i="10"/>
  <c r="F12" i="10"/>
  <c r="E12" i="10" s="1"/>
  <c r="D13" i="10"/>
  <c r="D14" i="10"/>
  <c r="D15" i="10"/>
  <c r="D17" i="10"/>
  <c r="D18" i="10"/>
  <c r="D19" i="10"/>
  <c r="D21" i="10"/>
  <c r="D23" i="10"/>
  <c r="D24" i="10"/>
  <c r="D25" i="10"/>
  <c r="D26" i="10"/>
  <c r="D27" i="10"/>
  <c r="B27" i="4"/>
  <c r="C19" i="4"/>
  <c r="B19" i="4" s="1"/>
  <c r="B16" i="4"/>
  <c r="B15" i="4"/>
  <c r="B11" i="4"/>
  <c r="B12" i="4" s="1"/>
  <c r="B9" i="4"/>
  <c r="B5" i="4"/>
  <c r="B4" i="4"/>
  <c r="B24" i="4" s="1"/>
  <c r="B10" i="7"/>
  <c r="C4" i="7"/>
  <c r="R158" i="1"/>
  <c r="R157" i="1"/>
  <c r="Q157" i="1"/>
  <c r="P157" i="1"/>
  <c r="O157" i="1"/>
  <c r="N157" i="1"/>
  <c r="M157" i="1"/>
  <c r="L157" i="1"/>
  <c r="K157" i="1"/>
  <c r="J157" i="1"/>
  <c r="I157" i="1"/>
  <c r="J149" i="1"/>
  <c r="K149" i="1" s="1"/>
  <c r="L149" i="1" s="1"/>
  <c r="M149" i="1" s="1"/>
  <c r="N149" i="1" s="1"/>
  <c r="O149" i="1" s="1"/>
  <c r="P149" i="1" s="1"/>
  <c r="Q149" i="1" s="1"/>
  <c r="R149" i="1" s="1"/>
  <c r="S148" i="1"/>
  <c r="H148" i="1"/>
  <c r="R135" i="1"/>
  <c r="R39" i="1" s="1"/>
  <c r="Q135" i="1"/>
  <c r="P135" i="1"/>
  <c r="P39" i="1" s="1"/>
  <c r="O135" i="1"/>
  <c r="N135" i="1"/>
  <c r="N39" i="1" s="1"/>
  <c r="M135" i="1"/>
  <c r="L135" i="1"/>
  <c r="L39" i="1" s="1"/>
  <c r="K135" i="1"/>
  <c r="J135" i="1"/>
  <c r="R133" i="1"/>
  <c r="Q133" i="1"/>
  <c r="P133" i="1"/>
  <c r="O133" i="1"/>
  <c r="N133" i="1"/>
  <c r="M133" i="1"/>
  <c r="L133" i="1"/>
  <c r="K133" i="1"/>
  <c r="J133" i="1"/>
  <c r="I133" i="1"/>
  <c r="H130" i="1"/>
  <c r="I128" i="1" s="1"/>
  <c r="N125" i="1"/>
  <c r="M125" i="1"/>
  <c r="L125" i="1"/>
  <c r="I125" i="1"/>
  <c r="R124" i="1"/>
  <c r="R125" i="1" s="1"/>
  <c r="Q124" i="1"/>
  <c r="Q125" i="1" s="1"/>
  <c r="P124" i="1"/>
  <c r="P125" i="1" s="1"/>
  <c r="O124" i="1"/>
  <c r="O125" i="1" s="1"/>
  <c r="N124" i="1"/>
  <c r="M124" i="1"/>
  <c r="L124" i="1"/>
  <c r="K124" i="1"/>
  <c r="K125" i="1" s="1"/>
  <c r="J124" i="1"/>
  <c r="J125" i="1" s="1"/>
  <c r="I124" i="1"/>
  <c r="D117" i="1"/>
  <c r="D137" i="1" s="1"/>
  <c r="R113" i="1"/>
  <c r="Q113" i="1"/>
  <c r="P113" i="1"/>
  <c r="O113" i="1"/>
  <c r="N113" i="1"/>
  <c r="M113" i="1"/>
  <c r="L113" i="1"/>
  <c r="K113" i="1"/>
  <c r="J113" i="1"/>
  <c r="I113" i="1"/>
  <c r="H113" i="1"/>
  <c r="G113" i="1"/>
  <c r="F113" i="1"/>
  <c r="E113" i="1"/>
  <c r="D113" i="1"/>
  <c r="G109" i="1"/>
  <c r="H109" i="1" s="1"/>
  <c r="I109" i="1" s="1"/>
  <c r="J109" i="1" s="1"/>
  <c r="K109" i="1" s="1"/>
  <c r="L109" i="1" s="1"/>
  <c r="M109" i="1" s="1"/>
  <c r="N109" i="1" s="1"/>
  <c r="O109" i="1" s="1"/>
  <c r="P109" i="1" s="1"/>
  <c r="Q109" i="1" s="1"/>
  <c r="R109" i="1" s="1"/>
  <c r="G108" i="1"/>
  <c r="H108" i="1" s="1"/>
  <c r="I108" i="1" s="1"/>
  <c r="H105" i="1"/>
  <c r="I103" i="1" s="1"/>
  <c r="G105" i="1"/>
  <c r="H103" i="1" s="1"/>
  <c r="F105" i="1"/>
  <c r="G103" i="1" s="1"/>
  <c r="E105" i="1"/>
  <c r="D105" i="1"/>
  <c r="E103" i="1" s="1"/>
  <c r="R104" i="1"/>
  <c r="Q104" i="1"/>
  <c r="P104" i="1"/>
  <c r="O104" i="1"/>
  <c r="N104" i="1"/>
  <c r="M104" i="1"/>
  <c r="L104" i="1"/>
  <c r="K104" i="1"/>
  <c r="J104" i="1"/>
  <c r="I104" i="1"/>
  <c r="H104" i="1"/>
  <c r="G104" i="1"/>
  <c r="F104" i="1"/>
  <c r="E104" i="1"/>
  <c r="D104" i="1"/>
  <c r="F103" i="1"/>
  <c r="R100" i="1"/>
  <c r="Q100" i="1"/>
  <c r="Q158" i="1" s="1"/>
  <c r="P100" i="1"/>
  <c r="P158" i="1" s="1"/>
  <c r="O100" i="1"/>
  <c r="O158" i="1" s="1"/>
  <c r="N100" i="1"/>
  <c r="N158" i="1" s="1"/>
  <c r="M100" i="1"/>
  <c r="M158" i="1" s="1"/>
  <c r="L100" i="1"/>
  <c r="L158" i="1" s="1"/>
  <c r="K100" i="1"/>
  <c r="K158" i="1" s="1"/>
  <c r="J100" i="1"/>
  <c r="J158" i="1" s="1"/>
  <c r="I100" i="1"/>
  <c r="I158" i="1" s="1"/>
  <c r="H100" i="1"/>
  <c r="G100" i="1"/>
  <c r="F100" i="1"/>
  <c r="E100" i="1"/>
  <c r="H98" i="1"/>
  <c r="G98" i="1"/>
  <c r="F98" i="1"/>
  <c r="E98" i="1"/>
  <c r="D98" i="1"/>
  <c r="H97" i="1"/>
  <c r="G97" i="1"/>
  <c r="F97" i="1"/>
  <c r="E97" i="1"/>
  <c r="D97" i="1"/>
  <c r="H96" i="1"/>
  <c r="G96" i="1"/>
  <c r="F96" i="1"/>
  <c r="E96" i="1"/>
  <c r="D96" i="1"/>
  <c r="D93" i="1"/>
  <c r="E93" i="1" s="1"/>
  <c r="F93" i="1" s="1"/>
  <c r="G93" i="1" s="1"/>
  <c r="H93" i="1" s="1"/>
  <c r="I93" i="1" s="1"/>
  <c r="J93" i="1" s="1"/>
  <c r="K93" i="1" s="1"/>
  <c r="L93" i="1" s="1"/>
  <c r="M93" i="1" s="1"/>
  <c r="N93" i="1" s="1"/>
  <c r="O93" i="1" s="1"/>
  <c r="P93" i="1" s="1"/>
  <c r="Q93" i="1" s="1"/>
  <c r="R93" i="1" s="1"/>
  <c r="H91" i="1"/>
  <c r="G91" i="1"/>
  <c r="H90" i="1" s="1"/>
  <c r="F91" i="1"/>
  <c r="G90" i="1" s="1"/>
  <c r="E91" i="1"/>
  <c r="D91" i="1"/>
  <c r="E90" i="1" s="1"/>
  <c r="R82" i="1"/>
  <c r="Q82" i="1"/>
  <c r="P82" i="1"/>
  <c r="O82" i="1"/>
  <c r="N82" i="1"/>
  <c r="M82" i="1"/>
  <c r="L82" i="1"/>
  <c r="K82" i="1"/>
  <c r="J82" i="1"/>
  <c r="I82" i="1"/>
  <c r="H82" i="1"/>
  <c r="G82" i="1"/>
  <c r="F82" i="1"/>
  <c r="E82" i="1"/>
  <c r="D82" i="1"/>
  <c r="R79" i="1"/>
  <c r="Q79" i="1"/>
  <c r="P79" i="1"/>
  <c r="O79" i="1"/>
  <c r="N79" i="1"/>
  <c r="M79" i="1"/>
  <c r="L79" i="1"/>
  <c r="K79" i="1"/>
  <c r="J79" i="1"/>
  <c r="I79" i="1"/>
  <c r="H79" i="1"/>
  <c r="G79" i="1"/>
  <c r="F79" i="1"/>
  <c r="E79" i="1"/>
  <c r="D79" i="1"/>
  <c r="R77" i="1"/>
  <c r="Q77" i="1"/>
  <c r="P77" i="1"/>
  <c r="O77" i="1"/>
  <c r="N77" i="1"/>
  <c r="M77" i="1"/>
  <c r="L77" i="1"/>
  <c r="K77" i="1"/>
  <c r="J77" i="1"/>
  <c r="I77" i="1"/>
  <c r="H77" i="1"/>
  <c r="G77" i="1"/>
  <c r="F77" i="1"/>
  <c r="E77" i="1"/>
  <c r="D77" i="1"/>
  <c r="H76" i="1"/>
  <c r="G76" i="1"/>
  <c r="F76" i="1"/>
  <c r="E76" i="1"/>
  <c r="D72" i="1"/>
  <c r="E72" i="1" s="1"/>
  <c r="F72" i="1" s="1"/>
  <c r="G72" i="1" s="1"/>
  <c r="H72" i="1" s="1"/>
  <c r="I72" i="1" s="1"/>
  <c r="J72" i="1" s="1"/>
  <c r="K72" i="1" s="1"/>
  <c r="L72" i="1" s="1"/>
  <c r="M72" i="1" s="1"/>
  <c r="N72" i="1" s="1"/>
  <c r="O72" i="1" s="1"/>
  <c r="P72" i="1" s="1"/>
  <c r="Q72" i="1" s="1"/>
  <c r="R72" i="1" s="1"/>
  <c r="F67" i="1"/>
  <c r="F69" i="1" s="1"/>
  <c r="J66" i="1"/>
  <c r="I66" i="1"/>
  <c r="I64" i="1" s="1"/>
  <c r="H64" i="1"/>
  <c r="G64" i="1"/>
  <c r="F64" i="1"/>
  <c r="E64" i="1"/>
  <c r="E67" i="1" s="1"/>
  <c r="E69" i="1" s="1"/>
  <c r="D64" i="1"/>
  <c r="D67" i="1" s="1"/>
  <c r="D69" i="1" s="1"/>
  <c r="I63" i="1"/>
  <c r="J63" i="1" s="1"/>
  <c r="K63" i="1" s="1"/>
  <c r="L63" i="1" s="1"/>
  <c r="M63" i="1" s="1"/>
  <c r="N63" i="1" s="1"/>
  <c r="O63" i="1" s="1"/>
  <c r="P63" i="1" s="1"/>
  <c r="Q63" i="1" s="1"/>
  <c r="R63" i="1" s="1"/>
  <c r="H60" i="1"/>
  <c r="G60" i="1"/>
  <c r="F60" i="1"/>
  <c r="E60" i="1"/>
  <c r="D60" i="1"/>
  <c r="I57" i="1"/>
  <c r="J57" i="1" s="1"/>
  <c r="K57" i="1" s="1"/>
  <c r="L57" i="1" s="1"/>
  <c r="M57" i="1" s="1"/>
  <c r="N57" i="1" s="1"/>
  <c r="O57" i="1" s="1"/>
  <c r="P57" i="1" s="1"/>
  <c r="Q57" i="1" s="1"/>
  <c r="R57" i="1" s="1"/>
  <c r="H55" i="1"/>
  <c r="H58" i="1" s="1"/>
  <c r="G55" i="1"/>
  <c r="G58" i="1" s="1"/>
  <c r="F55" i="1"/>
  <c r="F58" i="1" s="1"/>
  <c r="E55" i="1"/>
  <c r="E58" i="1" s="1"/>
  <c r="D55" i="1"/>
  <c r="J54" i="1"/>
  <c r="K54" i="1" s="1"/>
  <c r="L54" i="1" s="1"/>
  <c r="M54" i="1" s="1"/>
  <c r="N54" i="1" s="1"/>
  <c r="O54" i="1" s="1"/>
  <c r="P54" i="1" s="1"/>
  <c r="Q54" i="1" s="1"/>
  <c r="R54" i="1" s="1"/>
  <c r="I54" i="1"/>
  <c r="H50" i="1"/>
  <c r="G50" i="1"/>
  <c r="F50" i="1"/>
  <c r="E50" i="1"/>
  <c r="D50" i="1"/>
  <c r="D58" i="1" s="1"/>
  <c r="D48" i="1"/>
  <c r="E48" i="1" s="1"/>
  <c r="F48" i="1" s="1"/>
  <c r="G48" i="1" s="1"/>
  <c r="H48" i="1" s="1"/>
  <c r="I48" i="1" s="1"/>
  <c r="J48" i="1" s="1"/>
  <c r="K48" i="1" s="1"/>
  <c r="L48" i="1" s="1"/>
  <c r="M48" i="1" s="1"/>
  <c r="N48" i="1" s="1"/>
  <c r="O48" i="1" s="1"/>
  <c r="P48" i="1" s="1"/>
  <c r="Q48" i="1" s="1"/>
  <c r="R48" i="1" s="1"/>
  <c r="R41" i="1"/>
  <c r="Q41" i="1"/>
  <c r="P41" i="1"/>
  <c r="O41" i="1"/>
  <c r="N41" i="1"/>
  <c r="M41" i="1"/>
  <c r="L41" i="1"/>
  <c r="K41" i="1"/>
  <c r="J41" i="1"/>
  <c r="I41" i="1"/>
  <c r="H41" i="1"/>
  <c r="G41" i="1"/>
  <c r="F41" i="1"/>
  <c r="E41" i="1"/>
  <c r="D41" i="1"/>
  <c r="Q39" i="1"/>
  <c r="O39" i="1"/>
  <c r="M39" i="1"/>
  <c r="K39" i="1"/>
  <c r="J39" i="1"/>
  <c r="D39" i="1"/>
  <c r="H37" i="1"/>
  <c r="G37" i="1"/>
  <c r="F37" i="1"/>
  <c r="E37" i="1"/>
  <c r="D37" i="1"/>
  <c r="I35" i="1"/>
  <c r="J35" i="1" s="1"/>
  <c r="K35" i="1" s="1"/>
  <c r="L35" i="1" s="1"/>
  <c r="M35" i="1" s="1"/>
  <c r="N35" i="1" s="1"/>
  <c r="O35" i="1" s="1"/>
  <c r="P35" i="1" s="1"/>
  <c r="Q35" i="1" s="1"/>
  <c r="R35" i="1" s="1"/>
  <c r="I33" i="1"/>
  <c r="J33" i="1" s="1"/>
  <c r="K33" i="1" s="1"/>
  <c r="L33" i="1" s="1"/>
  <c r="M33" i="1" s="1"/>
  <c r="N33" i="1" s="1"/>
  <c r="O33" i="1" s="1"/>
  <c r="P33" i="1" s="1"/>
  <c r="Q33" i="1" s="1"/>
  <c r="R33" i="1" s="1"/>
  <c r="I31" i="1"/>
  <c r="I53" i="1" s="1"/>
  <c r="I97" i="1" s="1"/>
  <c r="H30" i="1"/>
  <c r="H32" i="1" s="1"/>
  <c r="H34" i="1" s="1"/>
  <c r="H36" i="1" s="1"/>
  <c r="I28" i="1"/>
  <c r="J28" i="1" s="1"/>
  <c r="I27" i="1"/>
  <c r="I30" i="1" s="1"/>
  <c r="I32" i="1" s="1"/>
  <c r="I34" i="1" s="1"/>
  <c r="I36" i="1" s="1"/>
  <c r="H27" i="1"/>
  <c r="G27" i="1"/>
  <c r="F27" i="1"/>
  <c r="E27" i="1"/>
  <c r="R26" i="1"/>
  <c r="R52" i="1" s="1"/>
  <c r="R96" i="1" s="1"/>
  <c r="Q26" i="1"/>
  <c r="P26" i="1"/>
  <c r="P52" i="1" s="1"/>
  <c r="P96" i="1" s="1"/>
  <c r="O26" i="1"/>
  <c r="N26" i="1"/>
  <c r="M26" i="1"/>
  <c r="M52" i="1" s="1"/>
  <c r="M96" i="1" s="1"/>
  <c r="L26" i="1"/>
  <c r="L52" i="1" s="1"/>
  <c r="L96" i="1" s="1"/>
  <c r="K26" i="1"/>
  <c r="K52" i="1" s="1"/>
  <c r="K96" i="1" s="1"/>
  <c r="J26" i="1"/>
  <c r="J52" i="1" s="1"/>
  <c r="J96" i="1" s="1"/>
  <c r="I26" i="1"/>
  <c r="I52" i="1" s="1"/>
  <c r="I96" i="1" s="1"/>
  <c r="H26" i="1"/>
  <c r="G26" i="1"/>
  <c r="G30" i="1" s="1"/>
  <c r="G32" i="1" s="1"/>
  <c r="G34" i="1" s="1"/>
  <c r="G36" i="1" s="1"/>
  <c r="F26" i="1"/>
  <c r="E26" i="1"/>
  <c r="E24" i="1"/>
  <c r="F24" i="1" s="1"/>
  <c r="G24" i="1" s="1"/>
  <c r="H24" i="1" s="1"/>
  <c r="I24" i="1" s="1"/>
  <c r="J24" i="1" s="1"/>
  <c r="K24" i="1" s="1"/>
  <c r="L24" i="1" s="1"/>
  <c r="M24" i="1" s="1"/>
  <c r="N24" i="1" s="1"/>
  <c r="O24" i="1" s="1"/>
  <c r="P24" i="1" s="1"/>
  <c r="Q24" i="1" s="1"/>
  <c r="R24" i="1" s="1"/>
  <c r="D24" i="1"/>
  <c r="D22" i="1"/>
  <c r="E22" i="1" s="1"/>
  <c r="F22" i="1" s="1"/>
  <c r="G22" i="1" s="1"/>
  <c r="H22" i="1" s="1"/>
  <c r="I22" i="1" s="1"/>
  <c r="J22" i="1" s="1"/>
  <c r="K22" i="1" s="1"/>
  <c r="L22" i="1" s="1"/>
  <c r="M22" i="1" s="1"/>
  <c r="N22" i="1" s="1"/>
  <c r="O22" i="1" s="1"/>
  <c r="P22" i="1" s="1"/>
  <c r="Q22" i="1" s="1"/>
  <c r="R22" i="1" s="1"/>
  <c r="D19" i="1"/>
  <c r="D10" i="1"/>
  <c r="D114" i="1" s="1"/>
  <c r="D6" i="1"/>
  <c r="D3" i="1"/>
  <c r="E3" i="1" s="1"/>
  <c r="F3" i="1" s="1"/>
  <c r="G3" i="1" s="1"/>
  <c r="H3" i="1" s="1"/>
  <c r="I3" i="1" s="1"/>
  <c r="J3" i="1" s="1"/>
  <c r="K3" i="1" s="1"/>
  <c r="L3" i="1" s="1"/>
  <c r="M3" i="1" s="1"/>
  <c r="N3" i="1" s="1"/>
  <c r="O3" i="1" s="1"/>
  <c r="P3" i="1" s="1"/>
  <c r="Q3" i="1" s="1"/>
  <c r="R3" i="1" s="1"/>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I15" i="6"/>
  <c r="D15" i="6"/>
  <c r="F12" i="6"/>
  <c r="B7" i="6"/>
  <c r="C1" i="6"/>
  <c r="D1" i="6" s="1"/>
  <c r="E1" i="6" s="1"/>
  <c r="F1" i="6" s="1"/>
  <c r="G1" i="6" s="1"/>
  <c r="H1" i="6" s="1"/>
  <c r="O1" i="14" l="1"/>
  <c r="L13" i="14"/>
  <c r="IR8" i="14"/>
  <c r="IR29" i="14"/>
  <c r="GV8" i="14"/>
  <c r="GV29" i="14"/>
  <c r="EZ8" i="14"/>
  <c r="EZ29" i="14"/>
  <c r="DD8" i="14"/>
  <c r="DD29" i="14"/>
  <c r="BH8" i="14"/>
  <c r="BH29" i="14"/>
  <c r="L8" i="14"/>
  <c r="L29" i="14"/>
  <c r="IZ4" i="14"/>
  <c r="HD4" i="14"/>
  <c r="FH4" i="14"/>
  <c r="DL4" i="14"/>
  <c r="BP4" i="14"/>
  <c r="T4" i="14"/>
  <c r="JD27" i="14"/>
  <c r="HH27" i="14"/>
  <c r="FL27" i="14"/>
  <c r="DP27" i="14"/>
  <c r="BT27" i="14"/>
  <c r="X27" i="14"/>
  <c r="GZ4" i="14"/>
  <c r="GZ29" i="14" s="1"/>
  <c r="FD4" i="14"/>
  <c r="FD29" i="14" s="1"/>
  <c r="DH4" i="14"/>
  <c r="DH29" i="14" s="1"/>
  <c r="BL4" i="14"/>
  <c r="BL29" i="14" s="1"/>
  <c r="P4" i="14"/>
  <c r="P29" i="14" s="1"/>
  <c r="JD28" i="14"/>
  <c r="HH28" i="14"/>
  <c r="FL28" i="14"/>
  <c r="DP28" i="14"/>
  <c r="BT28" i="14"/>
  <c r="X28" i="14"/>
  <c r="GR4" i="14"/>
  <c r="GR29" i="14" s="1"/>
  <c r="EV4" i="14"/>
  <c r="EV29" i="14" s="1"/>
  <c r="CZ4" i="14"/>
  <c r="CZ29" i="14" s="1"/>
  <c r="BD4" i="14"/>
  <c r="BD29" i="14" s="1"/>
  <c r="IJ4" i="14"/>
  <c r="GN4" i="14"/>
  <c r="ER4" i="14"/>
  <c r="CV4" i="14"/>
  <c r="CV8" i="14" s="1"/>
  <c r="AZ4" i="14"/>
  <c r="AZ8" i="14" s="1"/>
  <c r="GJ4" i="14"/>
  <c r="GJ29" i="14" s="1"/>
  <c r="EN4" i="14"/>
  <c r="CR4" i="14"/>
  <c r="AV4" i="14"/>
  <c r="AV29" i="14" s="1"/>
  <c r="GF4" i="14"/>
  <c r="GF29" i="14" s="1"/>
  <c r="EJ4" i="14"/>
  <c r="EJ29" i="14" s="1"/>
  <c r="CN4" i="14"/>
  <c r="CN29" i="14" s="1"/>
  <c r="AR4" i="14"/>
  <c r="AR29" i="14" s="1"/>
  <c r="JD24" i="14"/>
  <c r="HH24" i="14"/>
  <c r="FL24" i="14"/>
  <c r="DP24" i="14"/>
  <c r="BT24" i="14"/>
  <c r="X24" i="14"/>
  <c r="JD25" i="14"/>
  <c r="HH25" i="14"/>
  <c r="FL25" i="14"/>
  <c r="DP25" i="14"/>
  <c r="BT25" i="14"/>
  <c r="X25" i="14"/>
  <c r="JL4" i="14"/>
  <c r="JL29" i="14" s="1"/>
  <c r="HP4" i="14"/>
  <c r="HP29" i="14" s="1"/>
  <c r="FT4" i="14"/>
  <c r="FT29" i="14" s="1"/>
  <c r="DX4" i="14"/>
  <c r="DX29" i="14" s="1"/>
  <c r="CB4" i="14"/>
  <c r="CB29" i="14" s="1"/>
  <c r="AF4" i="14"/>
  <c r="AF29" i="14" s="1"/>
  <c r="JH4" i="14"/>
  <c r="JH29" i="14" s="1"/>
  <c r="HL4" i="14"/>
  <c r="HL29" i="14" s="1"/>
  <c r="FP4" i="14"/>
  <c r="FP29" i="14" s="1"/>
  <c r="DT4" i="14"/>
  <c r="DT29" i="14" s="1"/>
  <c r="BX4" i="14"/>
  <c r="BX29" i="14" s="1"/>
  <c r="AB4" i="14"/>
  <c r="AB29" i="14" s="1"/>
  <c r="IJ8" i="14"/>
  <c r="IJ29" i="14"/>
  <c r="GN8" i="14"/>
  <c r="GN29" i="14"/>
  <c r="ER8" i="14"/>
  <c r="ER29" i="14"/>
  <c r="AV8" i="14"/>
  <c r="JX8" i="14"/>
  <c r="IB8" i="14"/>
  <c r="GF8" i="14"/>
  <c r="EJ8" i="14"/>
  <c r="CN8" i="14"/>
  <c r="AR8" i="14"/>
  <c r="JT4" i="14"/>
  <c r="HX4" i="14"/>
  <c r="GB4" i="14"/>
  <c r="EF4" i="14"/>
  <c r="CJ4" i="14"/>
  <c r="AN4" i="14"/>
  <c r="JL8" i="14"/>
  <c r="HP8" i="14"/>
  <c r="FT8" i="14"/>
  <c r="DX8" i="14"/>
  <c r="AF8" i="14"/>
  <c r="JH8" i="14"/>
  <c r="HL8" i="14"/>
  <c r="FP8" i="14"/>
  <c r="DT8" i="14"/>
  <c r="BX8" i="14"/>
  <c r="AB8" i="14"/>
  <c r="JD8" i="14"/>
  <c r="HH8" i="14"/>
  <c r="FL8" i="14"/>
  <c r="DP8" i="14"/>
  <c r="BT8" i="14"/>
  <c r="X8" i="14"/>
  <c r="IZ8" i="14"/>
  <c r="IZ29" i="14"/>
  <c r="HD8" i="14"/>
  <c r="HD29" i="14"/>
  <c r="FH8" i="14"/>
  <c r="FH29" i="14"/>
  <c r="DL8" i="14"/>
  <c r="DL29" i="14"/>
  <c r="BP8" i="14"/>
  <c r="BP29" i="14"/>
  <c r="T8" i="14"/>
  <c r="T29" i="14"/>
  <c r="KB8" i="14"/>
  <c r="IV8" i="14"/>
  <c r="GZ8" i="14"/>
  <c r="FD8" i="14"/>
  <c r="DH8" i="14"/>
  <c r="BL8" i="14"/>
  <c r="P8" i="14"/>
  <c r="KB29" i="14"/>
  <c r="IF8" i="14"/>
  <c r="GJ8" i="14"/>
  <c r="IN8" i="14"/>
  <c r="GR8" i="14"/>
  <c r="EV8" i="14"/>
  <c r="CZ8" i="14"/>
  <c r="BD8" i="14"/>
  <c r="H26" i="14"/>
  <c r="H13" i="14"/>
  <c r="H17" i="14" s="1"/>
  <c r="D13" i="14"/>
  <c r="H27" i="14"/>
  <c r="H25" i="14"/>
  <c r="H4" i="14"/>
  <c r="H28" i="14"/>
  <c r="D8" i="14"/>
  <c r="F9" i="13"/>
  <c r="F8" i="13"/>
  <c r="F7" i="13"/>
  <c r="F6" i="13"/>
  <c r="F5" i="13"/>
  <c r="F4" i="13"/>
  <c r="F3" i="13"/>
  <c r="CZ26" i="10"/>
  <c r="H12" i="10"/>
  <c r="G12" i="10" s="1"/>
  <c r="G16" i="10" s="1"/>
  <c r="FL3" i="10"/>
  <c r="FL28" i="10" s="1"/>
  <c r="DP3" i="10"/>
  <c r="DP28" i="10" s="1"/>
  <c r="BL3" i="10"/>
  <c r="BL28" i="10" s="1"/>
  <c r="P3" i="10"/>
  <c r="P28" i="10" s="1"/>
  <c r="O1" i="10"/>
  <c r="S1" i="10" s="1"/>
  <c r="L12" i="10"/>
  <c r="L16" i="10" s="1"/>
  <c r="GZ26" i="10"/>
  <c r="FD25" i="10"/>
  <c r="BL24" i="10"/>
  <c r="KB3" i="10"/>
  <c r="KB28" i="10" s="1"/>
  <c r="IF3" i="10"/>
  <c r="IF28" i="10" s="1"/>
  <c r="GJ3" i="10"/>
  <c r="GJ28" i="10" s="1"/>
  <c r="EN3" i="10"/>
  <c r="EN28" i="10" s="1"/>
  <c r="CR3" i="10"/>
  <c r="CR28" i="10" s="1"/>
  <c r="AV3" i="10"/>
  <c r="AV28" i="10" s="1"/>
  <c r="IV27" i="10"/>
  <c r="BL27" i="10"/>
  <c r="DH23" i="10"/>
  <c r="JX3" i="10"/>
  <c r="JX28" i="10" s="1"/>
  <c r="IB3" i="10"/>
  <c r="IB28" i="10" s="1"/>
  <c r="GF3" i="10"/>
  <c r="GF28" i="10" s="1"/>
  <c r="EJ3" i="10"/>
  <c r="EJ28" i="10" s="1"/>
  <c r="CN3" i="10"/>
  <c r="CN28" i="10" s="1"/>
  <c r="AR3" i="10"/>
  <c r="AR28" i="10" s="1"/>
  <c r="FD24" i="10"/>
  <c r="JT3" i="10"/>
  <c r="HX3" i="10"/>
  <c r="GB3" i="10"/>
  <c r="GB7" i="10" s="1"/>
  <c r="EF3" i="10"/>
  <c r="CJ3" i="10"/>
  <c r="AN3" i="10"/>
  <c r="BL25" i="10"/>
  <c r="IV24" i="10"/>
  <c r="GZ23" i="10"/>
  <c r="P23" i="10"/>
  <c r="JP3" i="10"/>
  <c r="JP28" i="10" s="1"/>
  <c r="HT3" i="10"/>
  <c r="HT28" i="10" s="1"/>
  <c r="FX3" i="10"/>
  <c r="FX28" i="10" s="1"/>
  <c r="EB3" i="10"/>
  <c r="EB28" i="10" s="1"/>
  <c r="CF3" i="10"/>
  <c r="CF28" i="10" s="1"/>
  <c r="AJ3" i="10"/>
  <c r="AJ28" i="10" s="1"/>
  <c r="H3" i="10"/>
  <c r="DH27" i="10"/>
  <c r="DH26" i="10"/>
  <c r="BL26" i="10"/>
  <c r="P26" i="10"/>
  <c r="JL3" i="10"/>
  <c r="JL28" i="10" s="1"/>
  <c r="HP3" i="10"/>
  <c r="HP28" i="10" s="1"/>
  <c r="FT3" i="10"/>
  <c r="FT28" i="10" s="1"/>
  <c r="DX3" i="10"/>
  <c r="DX28" i="10" s="1"/>
  <c r="CB3" i="10"/>
  <c r="CB28" i="10" s="1"/>
  <c r="AF3" i="10"/>
  <c r="AF28" i="10" s="1"/>
  <c r="IV26" i="10"/>
  <c r="JH3" i="10"/>
  <c r="HL3" i="10"/>
  <c r="FP3" i="10"/>
  <c r="DT3" i="10"/>
  <c r="BX3" i="10"/>
  <c r="BX7" i="10" s="1"/>
  <c r="AB3" i="10"/>
  <c r="AB28" i="10" s="1"/>
  <c r="GZ25" i="10"/>
  <c r="BT3" i="10"/>
  <c r="BT28" i="10" s="1"/>
  <c r="X3" i="10"/>
  <c r="X28" i="10" s="1"/>
  <c r="FD27" i="10"/>
  <c r="FD26" i="10"/>
  <c r="DH24" i="10"/>
  <c r="P24" i="10"/>
  <c r="FD23" i="10"/>
  <c r="BL23" i="10"/>
  <c r="P27" i="10"/>
  <c r="GV3" i="10"/>
  <c r="GV28" i="10" s="1"/>
  <c r="EZ3" i="10"/>
  <c r="EZ28" i="10" s="1"/>
  <c r="DD3" i="10"/>
  <c r="DD28" i="10" s="1"/>
  <c r="BH3" i="10"/>
  <c r="L3" i="10"/>
  <c r="L28" i="10" s="1"/>
  <c r="GZ27" i="10"/>
  <c r="P25" i="10"/>
  <c r="IN3" i="10"/>
  <c r="GR3" i="10"/>
  <c r="EV3" i="10"/>
  <c r="EV28" i="10" s="1"/>
  <c r="CZ3" i="10"/>
  <c r="BD3" i="10"/>
  <c r="IV25" i="10"/>
  <c r="IV23" i="10"/>
  <c r="GN3" i="10"/>
  <c r="GN28" i="10" s="1"/>
  <c r="ER3" i="10"/>
  <c r="CV3" i="10"/>
  <c r="CV7" i="10" s="1"/>
  <c r="AZ3" i="10"/>
  <c r="AZ28" i="10" s="1"/>
  <c r="IR26" i="10"/>
  <c r="GR26" i="10"/>
  <c r="JP25" i="10"/>
  <c r="EZ25" i="10"/>
  <c r="CF25" i="10"/>
  <c r="HX24" i="10"/>
  <c r="CJ24" i="10"/>
  <c r="HT23" i="10"/>
  <c r="EZ23" i="10"/>
  <c r="CF23" i="10"/>
  <c r="EZ26" i="10"/>
  <c r="IN26" i="10"/>
  <c r="HT24" i="10"/>
  <c r="CF24" i="10"/>
  <c r="EV23" i="10"/>
  <c r="IR27" i="10"/>
  <c r="BH27" i="10"/>
  <c r="L23" i="10"/>
  <c r="IN27" i="10"/>
  <c r="GR27" i="10"/>
  <c r="EV27" i="10"/>
  <c r="CZ27" i="10"/>
  <c r="BD27" i="10"/>
  <c r="HX26" i="10"/>
  <c r="FX26" i="10"/>
  <c r="JT24" i="10"/>
  <c r="EF24" i="10"/>
  <c r="L24" i="10"/>
  <c r="GV27" i="10"/>
  <c r="L25" i="10"/>
  <c r="EZ24" i="10"/>
  <c r="JT26" i="10"/>
  <c r="HT26" i="10"/>
  <c r="GB25" i="10"/>
  <c r="JP24" i="10"/>
  <c r="EB24" i="10"/>
  <c r="JT23" i="10"/>
  <c r="GV23" i="10"/>
  <c r="BH23" i="10"/>
  <c r="JP26" i="10"/>
  <c r="IR25" i="10"/>
  <c r="FX25" i="10"/>
  <c r="BH25" i="10"/>
  <c r="JP23" i="10"/>
  <c r="GB23" i="10"/>
  <c r="BD23" i="10"/>
  <c r="DD27" i="10"/>
  <c r="GV24" i="10"/>
  <c r="BH24" i="10"/>
  <c r="FX23" i="10"/>
  <c r="EZ27" i="10"/>
  <c r="GB26" i="10"/>
  <c r="GV25" i="10"/>
  <c r="JT27" i="10"/>
  <c r="HX27" i="10"/>
  <c r="GB27" i="10"/>
  <c r="EF27" i="10"/>
  <c r="CJ27" i="10"/>
  <c r="AN27" i="10"/>
  <c r="HX25" i="10"/>
  <c r="AN25" i="10"/>
  <c r="GB24" i="10"/>
  <c r="BD24" i="10"/>
  <c r="DD23" i="10"/>
  <c r="GV26" i="10"/>
  <c r="EV26" i="10"/>
  <c r="JT25" i="10"/>
  <c r="CJ25" i="10"/>
  <c r="IR24" i="10"/>
  <c r="DD24" i="10"/>
  <c r="HX23" i="10"/>
  <c r="CJ23" i="10"/>
  <c r="JH7" i="10"/>
  <c r="JH28" i="10"/>
  <c r="DT28" i="10"/>
  <c r="DT7" i="10"/>
  <c r="H25" i="10"/>
  <c r="H24" i="10"/>
  <c r="H23" i="10"/>
  <c r="IR3" i="10"/>
  <c r="IR28" i="10" s="1"/>
  <c r="H26" i="10"/>
  <c r="HL28" i="10"/>
  <c r="HL7" i="10"/>
  <c r="FP7" i="10"/>
  <c r="FP28" i="10"/>
  <c r="AB7" i="10"/>
  <c r="IN24" i="10"/>
  <c r="GR24" i="10"/>
  <c r="EV24" i="10"/>
  <c r="CZ24" i="10"/>
  <c r="KF23" i="10"/>
  <c r="IF23" i="10"/>
  <c r="GF23" i="10"/>
  <c r="IN25" i="10"/>
  <c r="GR25" i="10"/>
  <c r="EV25" i="10"/>
  <c r="CZ25" i="10"/>
  <c r="BD25" i="10"/>
  <c r="KF24" i="10"/>
  <c r="IJ24" i="10"/>
  <c r="GN24" i="10"/>
  <c r="ER24" i="10"/>
  <c r="CV24" i="10"/>
  <c r="AZ24" i="10"/>
  <c r="KB23" i="10"/>
  <c r="IB23" i="10"/>
  <c r="KB24" i="10"/>
  <c r="IF24" i="10"/>
  <c r="GJ24" i="10"/>
  <c r="EN24" i="10"/>
  <c r="CR24" i="10"/>
  <c r="AV24" i="10"/>
  <c r="JX23" i="10"/>
  <c r="KB25" i="10"/>
  <c r="IF25" i="10"/>
  <c r="GJ25" i="10"/>
  <c r="EN25" i="10"/>
  <c r="CR25" i="10"/>
  <c r="AV25" i="10"/>
  <c r="JX24" i="10"/>
  <c r="IB24" i="10"/>
  <c r="GF24" i="10"/>
  <c r="EJ24" i="10"/>
  <c r="CN24" i="10"/>
  <c r="AR24" i="10"/>
  <c r="KB26" i="10"/>
  <c r="IF26" i="10"/>
  <c r="GJ26" i="10"/>
  <c r="EN26" i="10"/>
  <c r="JX25" i="10"/>
  <c r="IB25" i="10"/>
  <c r="GF25" i="10"/>
  <c r="EJ25" i="10"/>
  <c r="CN25" i="10"/>
  <c r="AR25" i="10"/>
  <c r="GR23" i="10"/>
  <c r="ER23" i="10"/>
  <c r="CR23" i="10"/>
  <c r="AR23" i="10"/>
  <c r="IN23" i="10"/>
  <c r="GN23" i="10"/>
  <c r="EN23" i="10"/>
  <c r="CN23" i="10"/>
  <c r="IJ23" i="10"/>
  <c r="GJ23" i="10"/>
  <c r="EJ23" i="10"/>
  <c r="IN28" i="10"/>
  <c r="IN7" i="10"/>
  <c r="GR28" i="10"/>
  <c r="GR7" i="10"/>
  <c r="EV7" i="10"/>
  <c r="CZ28" i="10"/>
  <c r="CZ7" i="10"/>
  <c r="BD28" i="10"/>
  <c r="BD7" i="10"/>
  <c r="JP7" i="10"/>
  <c r="KF7" i="10"/>
  <c r="IF7" i="10"/>
  <c r="GJ7" i="10"/>
  <c r="EN7" i="10"/>
  <c r="CR7" i="10"/>
  <c r="AV7" i="10"/>
  <c r="BH7" i="10"/>
  <c r="JX7" i="10"/>
  <c r="IB7" i="10"/>
  <c r="GF7" i="10"/>
  <c r="CN7" i="10"/>
  <c r="AR7" i="10"/>
  <c r="HT7" i="10"/>
  <c r="AJ7" i="10"/>
  <c r="IJ7" i="10"/>
  <c r="KF28" i="10"/>
  <c r="JT7" i="10"/>
  <c r="JT28" i="10"/>
  <c r="HX7" i="10"/>
  <c r="HX28" i="10"/>
  <c r="EF7" i="10"/>
  <c r="EF28" i="10"/>
  <c r="CJ7" i="10"/>
  <c r="CJ28" i="10"/>
  <c r="AN7" i="10"/>
  <c r="AN28" i="10"/>
  <c r="GN7" i="10"/>
  <c r="BH28" i="10"/>
  <c r="P12" i="10"/>
  <c r="L7" i="10"/>
  <c r="ER7" i="10"/>
  <c r="JL7" i="10"/>
  <c r="HP7" i="10"/>
  <c r="FT7" i="10"/>
  <c r="DX7" i="10"/>
  <c r="CB7" i="10"/>
  <c r="FX7" i="10"/>
  <c r="AZ7" i="10"/>
  <c r="CV28" i="10"/>
  <c r="JD7" i="10"/>
  <c r="HH7" i="10"/>
  <c r="FL7" i="10"/>
  <c r="DP7" i="10"/>
  <c r="BT7" i="10"/>
  <c r="X7" i="10"/>
  <c r="EZ7" i="10"/>
  <c r="IZ3" i="10"/>
  <c r="IZ23" i="10"/>
  <c r="HD3" i="10"/>
  <c r="HD23" i="10"/>
  <c r="FH3" i="10"/>
  <c r="FH23" i="10"/>
  <c r="DL3" i="10"/>
  <c r="DL23" i="10"/>
  <c r="BP3" i="10"/>
  <c r="BP23" i="10"/>
  <c r="T3" i="10"/>
  <c r="T27" i="10"/>
  <c r="T23" i="10"/>
  <c r="EB7" i="10"/>
  <c r="ER28" i="10"/>
  <c r="IV7" i="10"/>
  <c r="GZ7" i="10"/>
  <c r="FD7" i="10"/>
  <c r="DH7" i="10"/>
  <c r="BL7" i="10"/>
  <c r="P7" i="10"/>
  <c r="DD7" i="10"/>
  <c r="W1" i="10"/>
  <c r="T12" i="10"/>
  <c r="H7" i="10"/>
  <c r="I22" i="10" s="1"/>
  <c r="H28" i="10"/>
  <c r="D28" i="10"/>
  <c r="D7" i="10"/>
  <c r="E22" i="10" s="1"/>
  <c r="D22" i="10" s="1"/>
  <c r="D12" i="10"/>
  <c r="C5" i="7"/>
  <c r="B5" i="7" s="1"/>
  <c r="E117" i="1"/>
  <c r="E137" i="1" s="1"/>
  <c r="E30" i="1"/>
  <c r="E32" i="1" s="1"/>
  <c r="E34" i="1" s="1"/>
  <c r="E36" i="1" s="1"/>
  <c r="J31" i="1"/>
  <c r="F30" i="1"/>
  <c r="F32" i="1" s="1"/>
  <c r="F34" i="1" s="1"/>
  <c r="F36" i="1" s="1"/>
  <c r="F40" i="1" s="1"/>
  <c r="F44" i="1" s="1"/>
  <c r="F75" i="1" s="1"/>
  <c r="F74" i="1" s="1"/>
  <c r="F89" i="1" s="1"/>
  <c r="F87" i="1" s="1"/>
  <c r="G67" i="1"/>
  <c r="G69" i="1" s="1"/>
  <c r="B4" i="7"/>
  <c r="H67" i="1"/>
  <c r="H69" i="1" s="1"/>
  <c r="B14" i="4"/>
  <c r="B22" i="4"/>
  <c r="E40" i="1"/>
  <c r="E44" i="1" s="1"/>
  <c r="E75" i="1" s="1"/>
  <c r="E74" i="1" s="1"/>
  <c r="E46" i="1"/>
  <c r="N52" i="1"/>
  <c r="N96" i="1" s="1"/>
  <c r="H40" i="1"/>
  <c r="H44" i="1" s="1"/>
  <c r="H75" i="1" s="1"/>
  <c r="H74" i="1" s="1"/>
  <c r="H89" i="1" s="1"/>
  <c r="H87" i="1" s="1"/>
  <c r="H46" i="1"/>
  <c r="I38" i="1"/>
  <c r="J108" i="1"/>
  <c r="K108" i="1" s="1"/>
  <c r="L108" i="1" s="1"/>
  <c r="M108" i="1" s="1"/>
  <c r="N108" i="1" s="1"/>
  <c r="O108" i="1" s="1"/>
  <c r="P108" i="1" s="1"/>
  <c r="Q108" i="1" s="1"/>
  <c r="R108" i="1" s="1"/>
  <c r="G40" i="1"/>
  <c r="G44" i="1" s="1"/>
  <c r="G75" i="1" s="1"/>
  <c r="G74" i="1" s="1"/>
  <c r="G89" i="1" s="1"/>
  <c r="G87" i="1" s="1"/>
  <c r="G46" i="1"/>
  <c r="K28" i="1"/>
  <c r="J27" i="1"/>
  <c r="J30" i="1" s="1"/>
  <c r="J32" i="1" s="1"/>
  <c r="J34" i="1" s="1"/>
  <c r="J36" i="1" s="1"/>
  <c r="D45" i="1"/>
  <c r="D76" i="1" s="1"/>
  <c r="D115" i="1"/>
  <c r="E112" i="1" s="1"/>
  <c r="J64" i="1"/>
  <c r="K66" i="1"/>
  <c r="E89" i="1"/>
  <c r="E87" i="1" s="1"/>
  <c r="F117" i="1"/>
  <c r="O52" i="1"/>
  <c r="O96" i="1" s="1"/>
  <c r="I62" i="1"/>
  <c r="I98" i="1" s="1"/>
  <c r="I90" i="1"/>
  <c r="K31" i="1"/>
  <c r="F90" i="1"/>
  <c r="Q52" i="1"/>
  <c r="Q96" i="1" s="1"/>
  <c r="CB8" i="14" l="1"/>
  <c r="EN29" i="14"/>
  <c r="EN8" i="14"/>
  <c r="AZ29" i="14"/>
  <c r="CV29" i="14"/>
  <c r="K13" i="14"/>
  <c r="K17" i="14" s="1"/>
  <c r="L17" i="14"/>
  <c r="CR8" i="14"/>
  <c r="CR29" i="14"/>
  <c r="S1" i="14"/>
  <c r="P13" i="14"/>
  <c r="AN8" i="14"/>
  <c r="AN29" i="14"/>
  <c r="BI23" i="14"/>
  <c r="BH23" i="14" s="1"/>
  <c r="AW23" i="14"/>
  <c r="AV23" i="14" s="1"/>
  <c r="BE23" i="14"/>
  <c r="BD23" i="14" s="1"/>
  <c r="BY23" i="14"/>
  <c r="BX23" i="14" s="1"/>
  <c r="CJ8" i="14"/>
  <c r="CW23" i="14" s="1"/>
  <c r="CV23" i="14" s="1"/>
  <c r="CJ29" i="14"/>
  <c r="EF8" i="14"/>
  <c r="EG23" i="14" s="1"/>
  <c r="EF23" i="14" s="1"/>
  <c r="EF29" i="14"/>
  <c r="HY23" i="14"/>
  <c r="HX23" i="14" s="1"/>
  <c r="IO23" i="14"/>
  <c r="IN23" i="14" s="1"/>
  <c r="IS23" i="14"/>
  <c r="IR23" i="14" s="1"/>
  <c r="GB8" i="14"/>
  <c r="GC23" i="14" s="1"/>
  <c r="GB23" i="14" s="1"/>
  <c r="GB29" i="14"/>
  <c r="IG23" i="14"/>
  <c r="IF23" i="14" s="1"/>
  <c r="BM23" i="14"/>
  <c r="BL23" i="14" s="1"/>
  <c r="IW23" i="14"/>
  <c r="IV23" i="14" s="1"/>
  <c r="HX8" i="14"/>
  <c r="IK23" i="14" s="1"/>
  <c r="IJ23" i="14" s="1"/>
  <c r="HX29" i="14"/>
  <c r="JA23" i="14"/>
  <c r="IZ23" i="14" s="1"/>
  <c r="JT8" i="14"/>
  <c r="JY23" i="14" s="1"/>
  <c r="JX23" i="14" s="1"/>
  <c r="JT29" i="14"/>
  <c r="BQ23" i="14"/>
  <c r="BP23" i="14" s="1"/>
  <c r="BU23" i="14"/>
  <c r="BT23" i="14" s="1"/>
  <c r="JE23" i="14"/>
  <c r="JD23" i="14" s="1"/>
  <c r="KC23" i="14"/>
  <c r="KB23" i="14" s="1"/>
  <c r="DI23" i="14"/>
  <c r="DH23" i="14" s="1"/>
  <c r="AG23" i="14"/>
  <c r="AF23" i="14" s="1"/>
  <c r="G13" i="14"/>
  <c r="G17" i="14" s="1"/>
  <c r="H8" i="14"/>
  <c r="BA23" i="14" s="1"/>
  <c r="AZ23" i="14" s="1"/>
  <c r="H29" i="14"/>
  <c r="E13" i="14"/>
  <c r="E23" i="14"/>
  <c r="D23" i="14" s="1"/>
  <c r="D17" i="14"/>
  <c r="C13" i="14"/>
  <c r="C17" i="14" s="1"/>
  <c r="H16" i="10"/>
  <c r="K12" i="10"/>
  <c r="K16" i="10" s="1"/>
  <c r="BX28" i="10"/>
  <c r="KB7" i="10"/>
  <c r="EJ7" i="10"/>
  <c r="GV7" i="10"/>
  <c r="GB28" i="10"/>
  <c r="CF7" i="10"/>
  <c r="AF7" i="10"/>
  <c r="IR7" i="10"/>
  <c r="JM22" i="10" s="1"/>
  <c r="JL22" i="10" s="1"/>
  <c r="IZ7" i="10"/>
  <c r="KC22" i="10" s="1"/>
  <c r="KB22" i="10" s="1"/>
  <c r="IZ28" i="10"/>
  <c r="JA22" i="10"/>
  <c r="IZ22" i="10" s="1"/>
  <c r="Q22" i="10"/>
  <c r="P22" i="10" s="1"/>
  <c r="M22" i="10"/>
  <c r="L22" i="10" s="1"/>
  <c r="L30" i="10" s="1"/>
  <c r="M3" i="10" s="1"/>
  <c r="T7" i="10"/>
  <c r="Y22" i="10" s="1"/>
  <c r="X22" i="10" s="1"/>
  <c r="T28" i="10"/>
  <c r="S12" i="10"/>
  <c r="S16" i="10" s="1"/>
  <c r="T16" i="10"/>
  <c r="AA1" i="10"/>
  <c r="X12" i="10"/>
  <c r="BP7" i="10"/>
  <c r="DA22" i="10" s="1"/>
  <c r="CZ22" i="10" s="1"/>
  <c r="BP28" i="10"/>
  <c r="JQ22" i="10"/>
  <c r="JP22" i="10" s="1"/>
  <c r="O12" i="10"/>
  <c r="O16" i="10" s="1"/>
  <c r="P16" i="10"/>
  <c r="KG22" i="10"/>
  <c r="KF22" i="10" s="1"/>
  <c r="DM22" i="10"/>
  <c r="DL22" i="10" s="1"/>
  <c r="HD7" i="10"/>
  <c r="HY22" i="10" s="1"/>
  <c r="HX22" i="10" s="1"/>
  <c r="HD28" i="10"/>
  <c r="DL7" i="10"/>
  <c r="DY22" i="10" s="1"/>
  <c r="DX22" i="10" s="1"/>
  <c r="DL28" i="10"/>
  <c r="CS22" i="10"/>
  <c r="CR22" i="10" s="1"/>
  <c r="EC22" i="10"/>
  <c r="EB22" i="10" s="1"/>
  <c r="JY22" i="10"/>
  <c r="JX22" i="10" s="1"/>
  <c r="BI22" i="10"/>
  <c r="BH22" i="10" s="1"/>
  <c r="FH7" i="10"/>
  <c r="FU22" i="10" s="1"/>
  <c r="FT22" i="10" s="1"/>
  <c r="FH28" i="10"/>
  <c r="JI22" i="10"/>
  <c r="JH22" i="10" s="1"/>
  <c r="JE22" i="10"/>
  <c r="JD22" i="10" s="1"/>
  <c r="ES22" i="10"/>
  <c r="ER22" i="10" s="1"/>
  <c r="H22" i="10"/>
  <c r="D16" i="10"/>
  <c r="D30" i="10" s="1"/>
  <c r="D21" i="1"/>
  <c r="B11" i="7"/>
  <c r="F46" i="1"/>
  <c r="J62" i="1"/>
  <c r="J98" i="1" s="1"/>
  <c r="J53" i="1"/>
  <c r="J97" i="1" s="1"/>
  <c r="B17" i="4"/>
  <c r="K27" i="1"/>
  <c r="K30" i="1" s="1"/>
  <c r="K32" i="1" s="1"/>
  <c r="K34" i="1" s="1"/>
  <c r="K36" i="1" s="1"/>
  <c r="L28" i="1"/>
  <c r="F137" i="1"/>
  <c r="G117" i="1"/>
  <c r="J38" i="1"/>
  <c r="E114" i="1"/>
  <c r="E115" i="1" s="1"/>
  <c r="F112" i="1" s="1"/>
  <c r="K53" i="1"/>
  <c r="K97" i="1" s="1"/>
  <c r="K62" i="1"/>
  <c r="K98" i="1" s="1"/>
  <c r="L31" i="1"/>
  <c r="K64" i="1"/>
  <c r="L66" i="1"/>
  <c r="U23" i="14" l="1"/>
  <c r="T23" i="14" s="1"/>
  <c r="T13" i="14"/>
  <c r="W1" i="14"/>
  <c r="AS23" i="14"/>
  <c r="AR23" i="14" s="1"/>
  <c r="Q23" i="14"/>
  <c r="P23" i="14" s="1"/>
  <c r="AO23" i="14"/>
  <c r="AN23" i="14" s="1"/>
  <c r="M23" i="14"/>
  <c r="L23" i="14" s="1"/>
  <c r="L31" i="14" s="1"/>
  <c r="AK23" i="14"/>
  <c r="AJ23" i="14" s="1"/>
  <c r="JI23" i="14"/>
  <c r="JH23" i="14" s="1"/>
  <c r="O13" i="14"/>
  <c r="O17" i="14" s="1"/>
  <c r="P17" i="14"/>
  <c r="CK23" i="14"/>
  <c r="CJ23" i="14" s="1"/>
  <c r="FA23" i="14"/>
  <c r="EZ23" i="14" s="1"/>
  <c r="AC23" i="14"/>
  <c r="AB23" i="14" s="1"/>
  <c r="IC23" i="14"/>
  <c r="IB23" i="14" s="1"/>
  <c r="EW23" i="14"/>
  <c r="EV23" i="14" s="1"/>
  <c r="Y23" i="14"/>
  <c r="X23" i="14" s="1"/>
  <c r="GS23" i="14"/>
  <c r="GR23" i="14" s="1"/>
  <c r="DU23" i="14"/>
  <c r="DT23" i="14" s="1"/>
  <c r="GK23" i="14"/>
  <c r="GJ23" i="14" s="1"/>
  <c r="DM23" i="14"/>
  <c r="DL23" i="14" s="1"/>
  <c r="GW23" i="14"/>
  <c r="GV23" i="14" s="1"/>
  <c r="GG23" i="14"/>
  <c r="GF23" i="14" s="1"/>
  <c r="HE23" i="14"/>
  <c r="HD23" i="14" s="1"/>
  <c r="FU23" i="14"/>
  <c r="FT23" i="14" s="1"/>
  <c r="FY23" i="14"/>
  <c r="FX23" i="14" s="1"/>
  <c r="FI23" i="14"/>
  <c r="FH23" i="14" s="1"/>
  <c r="HQ23" i="14"/>
  <c r="HP23" i="14" s="1"/>
  <c r="HU23" i="14"/>
  <c r="HT23" i="14" s="1"/>
  <c r="DE23" i="14"/>
  <c r="DD23" i="14" s="1"/>
  <c r="FM23" i="14"/>
  <c r="FL23" i="14" s="1"/>
  <c r="HI23" i="14"/>
  <c r="HH23" i="14" s="1"/>
  <c r="DY23" i="14"/>
  <c r="DX23" i="14" s="1"/>
  <c r="EC23" i="14"/>
  <c r="EB23" i="14" s="1"/>
  <c r="HM23" i="14"/>
  <c r="HL23" i="14" s="1"/>
  <c r="FQ23" i="14"/>
  <c r="FP23" i="14" s="1"/>
  <c r="JU23" i="14"/>
  <c r="JT23" i="14" s="1"/>
  <c r="DA23" i="14"/>
  <c r="CZ23" i="14" s="1"/>
  <c r="HA23" i="14"/>
  <c r="GZ23" i="14" s="1"/>
  <c r="CC23" i="14"/>
  <c r="CB23" i="14" s="1"/>
  <c r="CG23" i="14"/>
  <c r="CF23" i="14" s="1"/>
  <c r="CS23" i="14"/>
  <c r="CR23" i="14" s="1"/>
  <c r="GO23" i="14"/>
  <c r="GN23" i="14" s="1"/>
  <c r="EK23" i="14"/>
  <c r="EJ23" i="14" s="1"/>
  <c r="FE23" i="14"/>
  <c r="FD23" i="14" s="1"/>
  <c r="DQ23" i="14"/>
  <c r="DP23" i="14" s="1"/>
  <c r="CO23" i="14"/>
  <c r="CN23" i="14" s="1"/>
  <c r="JM23" i="14"/>
  <c r="JL23" i="14" s="1"/>
  <c r="JQ23" i="14"/>
  <c r="JP23" i="14" s="1"/>
  <c r="EO23" i="14"/>
  <c r="EN23" i="14" s="1"/>
  <c r="ES23" i="14"/>
  <c r="ER23" i="14" s="1"/>
  <c r="I23" i="14"/>
  <c r="H23" i="14" s="1"/>
  <c r="H31" i="14" s="1"/>
  <c r="I4" i="14" s="1"/>
  <c r="D31" i="14"/>
  <c r="E4" i="14" s="1"/>
  <c r="H30" i="10"/>
  <c r="I3" i="10" s="1"/>
  <c r="E3" i="10"/>
  <c r="CW22" i="10"/>
  <c r="CV22" i="10" s="1"/>
  <c r="HU22" i="10"/>
  <c r="HT22" i="10" s="1"/>
  <c r="DQ22" i="10"/>
  <c r="DP22" i="10" s="1"/>
  <c r="GS22" i="10"/>
  <c r="GR22" i="10" s="1"/>
  <c r="EW22" i="10"/>
  <c r="EV22" i="10" s="1"/>
  <c r="BA22" i="10"/>
  <c r="AZ22" i="10" s="1"/>
  <c r="AW22" i="10"/>
  <c r="AV22" i="10" s="1"/>
  <c r="FI22" i="10"/>
  <c r="FH22" i="10" s="1"/>
  <c r="P30" i="10"/>
  <c r="Q3" i="10" s="1"/>
  <c r="DI22" i="10"/>
  <c r="DH22" i="10" s="1"/>
  <c r="BY22" i="10"/>
  <c r="BX22" i="10" s="1"/>
  <c r="CO22" i="10"/>
  <c r="CN22" i="10" s="1"/>
  <c r="IS22" i="10"/>
  <c r="IR22" i="10" s="1"/>
  <c r="IW22" i="10"/>
  <c r="IV22" i="10" s="1"/>
  <c r="W12" i="10"/>
  <c r="W16" i="10" s="1"/>
  <c r="X16" i="10"/>
  <c r="X30" i="10" s="1"/>
  <c r="BM22" i="10"/>
  <c r="BL22" i="10" s="1"/>
  <c r="AS22" i="10"/>
  <c r="AR22" i="10" s="1"/>
  <c r="HI22" i="10"/>
  <c r="HH22" i="10" s="1"/>
  <c r="CG22" i="10"/>
  <c r="CF22" i="10" s="1"/>
  <c r="AE1" i="10"/>
  <c r="AB12" i="10"/>
  <c r="IK22" i="10"/>
  <c r="IJ22" i="10" s="1"/>
  <c r="AO22" i="10"/>
  <c r="AN22" i="10" s="1"/>
  <c r="HA22" i="10"/>
  <c r="GZ22" i="10" s="1"/>
  <c r="FE22" i="10"/>
  <c r="FD22" i="10" s="1"/>
  <c r="IC22" i="10"/>
  <c r="IB22" i="10" s="1"/>
  <c r="FQ22" i="10"/>
  <c r="FP22" i="10" s="1"/>
  <c r="HE22" i="10"/>
  <c r="HD22" i="10" s="1"/>
  <c r="AK22" i="10"/>
  <c r="AJ22" i="10" s="1"/>
  <c r="CC22" i="10"/>
  <c r="CB22" i="10" s="1"/>
  <c r="HM22" i="10"/>
  <c r="HL22" i="10" s="1"/>
  <c r="DE22" i="10"/>
  <c r="DD22" i="10" s="1"/>
  <c r="BE22" i="10"/>
  <c r="BD22" i="10" s="1"/>
  <c r="IG22" i="10"/>
  <c r="IF22" i="10" s="1"/>
  <c r="FY22" i="10"/>
  <c r="FX22" i="10" s="1"/>
  <c r="BU22" i="10"/>
  <c r="BT22" i="10" s="1"/>
  <c r="EO22" i="10"/>
  <c r="EN22" i="10" s="1"/>
  <c r="FM22" i="10"/>
  <c r="FL22" i="10" s="1"/>
  <c r="AG22" i="10"/>
  <c r="AF22" i="10" s="1"/>
  <c r="GO22" i="10"/>
  <c r="GN22" i="10" s="1"/>
  <c r="GC22" i="10"/>
  <c r="GB22" i="10" s="1"/>
  <c r="EK22" i="10"/>
  <c r="EJ22" i="10" s="1"/>
  <c r="AC22" i="10"/>
  <c r="AB22" i="10" s="1"/>
  <c r="GK22" i="10"/>
  <c r="GJ22" i="10" s="1"/>
  <c r="CK22" i="10"/>
  <c r="CJ22" i="10" s="1"/>
  <c r="GG22" i="10"/>
  <c r="GF22" i="10" s="1"/>
  <c r="GW22" i="10"/>
  <c r="GV22" i="10" s="1"/>
  <c r="BQ22" i="10"/>
  <c r="BP22" i="10" s="1"/>
  <c r="JU22" i="10"/>
  <c r="JT22" i="10" s="1"/>
  <c r="L31" i="10"/>
  <c r="HQ22" i="10"/>
  <c r="HP22" i="10" s="1"/>
  <c r="EG22" i="10"/>
  <c r="EF22" i="10" s="1"/>
  <c r="FA22" i="10"/>
  <c r="EZ22" i="10" s="1"/>
  <c r="IO22" i="10"/>
  <c r="IN22" i="10" s="1"/>
  <c r="DU22" i="10"/>
  <c r="DT22" i="10" s="1"/>
  <c r="U22" i="10"/>
  <c r="T22" i="10" s="1"/>
  <c r="T30" i="10" s="1"/>
  <c r="U3" i="10" s="1"/>
  <c r="D31" i="10"/>
  <c r="D5" i="4"/>
  <c r="F114" i="1"/>
  <c r="F115" i="1" s="1"/>
  <c r="G112" i="1" s="1"/>
  <c r="J37" i="1"/>
  <c r="J40" i="1" s="1"/>
  <c r="K38" i="1"/>
  <c r="L53" i="1"/>
  <c r="L97" i="1" s="1"/>
  <c r="L62" i="1"/>
  <c r="L98" i="1" s="1"/>
  <c r="M31" i="1"/>
  <c r="L64" i="1"/>
  <c r="M66" i="1"/>
  <c r="G137" i="1"/>
  <c r="H117" i="1"/>
  <c r="L27" i="1"/>
  <c r="L30" i="1" s="1"/>
  <c r="L32" i="1" s="1"/>
  <c r="L34" i="1" s="1"/>
  <c r="L36" i="1" s="1"/>
  <c r="M28" i="1"/>
  <c r="L32" i="14" l="1"/>
  <c r="M4" i="14"/>
  <c r="P31" i="14"/>
  <c r="X13" i="14"/>
  <c r="AA1" i="14"/>
  <c r="S13" i="14"/>
  <c r="S17" i="14" s="1"/>
  <c r="T17" i="14"/>
  <c r="T31" i="14" s="1"/>
  <c r="H31" i="10"/>
  <c r="H32" i="14"/>
  <c r="D32" i="14"/>
  <c r="D34" i="14" s="1"/>
  <c r="D33" i="10"/>
  <c r="P31" i="10"/>
  <c r="Y3" i="10"/>
  <c r="X31" i="10"/>
  <c r="AA12" i="10"/>
  <c r="AA16" i="10" s="1"/>
  <c r="AB16" i="10"/>
  <c r="AB30" i="10" s="1"/>
  <c r="AF12" i="10"/>
  <c r="AI1" i="10"/>
  <c r="T31" i="10"/>
  <c r="C12" i="10"/>
  <c r="C16" i="10" s="1"/>
  <c r="G114" i="1"/>
  <c r="G115" i="1"/>
  <c r="H112" i="1" s="1"/>
  <c r="M64" i="1"/>
  <c r="N66" i="1"/>
  <c r="M53" i="1"/>
  <c r="M97" i="1" s="1"/>
  <c r="M62" i="1"/>
  <c r="M98" i="1" s="1"/>
  <c r="N31" i="1"/>
  <c r="H137" i="1"/>
  <c r="I117" i="1"/>
  <c r="K37" i="1"/>
  <c r="K40" i="1" s="1"/>
  <c r="L38" i="1"/>
  <c r="J152" i="1"/>
  <c r="J44" i="1"/>
  <c r="J75" i="1" s="1"/>
  <c r="N28" i="1"/>
  <c r="M27" i="1"/>
  <c r="M30" i="1" s="1"/>
  <c r="M32" i="1" s="1"/>
  <c r="M34" i="1" s="1"/>
  <c r="M36" i="1" s="1"/>
  <c r="U4" i="14" l="1"/>
  <c r="T32" i="14"/>
  <c r="AE1" i="14"/>
  <c r="AB13" i="14"/>
  <c r="W13" i="14"/>
  <c r="W17" i="14" s="1"/>
  <c r="X17" i="14"/>
  <c r="X31" i="14" s="1"/>
  <c r="Q4" i="14"/>
  <c r="P32" i="14"/>
  <c r="H33" i="10"/>
  <c r="L33" i="10" s="1"/>
  <c r="P33" i="10" s="1"/>
  <c r="T33" i="10" s="1"/>
  <c r="X33" i="10" s="1"/>
  <c r="H34" i="14"/>
  <c r="L34" i="14" s="1"/>
  <c r="AM1" i="10"/>
  <c r="AJ12" i="10"/>
  <c r="AB31" i="10"/>
  <c r="AC3" i="10"/>
  <c r="AE12" i="10"/>
  <c r="AE16" i="10" s="1"/>
  <c r="AF16" i="10"/>
  <c r="AF30" i="10" s="1"/>
  <c r="M38" i="1"/>
  <c r="L37" i="1"/>
  <c r="L40" i="1" s="1"/>
  <c r="N64" i="1"/>
  <c r="O66" i="1"/>
  <c r="N53" i="1"/>
  <c r="N97" i="1" s="1"/>
  <c r="N62" i="1"/>
  <c r="N98" i="1" s="1"/>
  <c r="O31" i="1"/>
  <c r="I137" i="1"/>
  <c r="I147" i="1" s="1"/>
  <c r="J117" i="1"/>
  <c r="H114" i="1"/>
  <c r="H115" i="1"/>
  <c r="I112" i="1" s="1"/>
  <c r="K152" i="1"/>
  <c r="K44" i="1"/>
  <c r="K75" i="1" s="1"/>
  <c r="O28" i="1"/>
  <c r="N27" i="1"/>
  <c r="N30" i="1" s="1"/>
  <c r="N32" i="1" s="1"/>
  <c r="N34" i="1" s="1"/>
  <c r="N36" i="1" s="1"/>
  <c r="J153" i="1"/>
  <c r="J154" i="1" s="1"/>
  <c r="X32" i="14" l="1"/>
  <c r="Y4" i="14"/>
  <c r="P34" i="14"/>
  <c r="T34" i="14" s="1"/>
  <c r="X34" i="14" s="1"/>
  <c r="AA13" i="14"/>
  <c r="AA17" i="14" s="1"/>
  <c r="AB17" i="14"/>
  <c r="AB31" i="14" s="1"/>
  <c r="AI1" i="14"/>
  <c r="AF13" i="14"/>
  <c r="AB33" i="10"/>
  <c r="AG3" i="10"/>
  <c r="AF31" i="10"/>
  <c r="AJ16" i="10"/>
  <c r="AJ30" i="10" s="1"/>
  <c r="AI12" i="10"/>
  <c r="AI16" i="10" s="1"/>
  <c r="AQ1" i="10"/>
  <c r="AN12" i="10"/>
  <c r="O53" i="1"/>
  <c r="O97" i="1" s="1"/>
  <c r="O62" i="1"/>
  <c r="O98" i="1" s="1"/>
  <c r="P31" i="1"/>
  <c r="O64" i="1"/>
  <c r="P66" i="1"/>
  <c r="L152" i="1"/>
  <c r="L44" i="1"/>
  <c r="L75" i="1" s="1"/>
  <c r="J137" i="1"/>
  <c r="J147" i="1" s="1"/>
  <c r="K117" i="1"/>
  <c r="P28" i="1"/>
  <c r="O27" i="1"/>
  <c r="O30" i="1" s="1"/>
  <c r="O32" i="1" s="1"/>
  <c r="O34" i="1" s="1"/>
  <c r="O36" i="1" s="1"/>
  <c r="K153" i="1"/>
  <c r="K154" i="1" s="1"/>
  <c r="I114" i="1"/>
  <c r="I115" i="1"/>
  <c r="N38" i="1"/>
  <c r="M37" i="1"/>
  <c r="M40" i="1" s="1"/>
  <c r="AB32" i="14" l="1"/>
  <c r="AC4" i="14"/>
  <c r="AM1" i="14"/>
  <c r="AJ13" i="14"/>
  <c r="AF17" i="14"/>
  <c r="AF31" i="14" s="1"/>
  <c r="AE13" i="14"/>
  <c r="AE17" i="14" s="1"/>
  <c r="AB34" i="14"/>
  <c r="AF33" i="10"/>
  <c r="AK3" i="10"/>
  <c r="AJ31" i="10"/>
  <c r="AM12" i="10"/>
  <c r="AM16" i="10" s="1"/>
  <c r="AN16" i="10"/>
  <c r="AN30" i="10" s="1"/>
  <c r="AR12" i="10"/>
  <c r="AU1" i="10"/>
  <c r="O38" i="1"/>
  <c r="N37" i="1"/>
  <c r="N40" i="1" s="1"/>
  <c r="L153" i="1"/>
  <c r="L154" i="1" s="1"/>
  <c r="P62" i="1"/>
  <c r="P98" i="1" s="1"/>
  <c r="Q31" i="1"/>
  <c r="P53" i="1"/>
  <c r="P97" i="1" s="1"/>
  <c r="M152" i="1"/>
  <c r="M44" i="1"/>
  <c r="M75" i="1" s="1"/>
  <c r="Q66" i="1"/>
  <c r="P64" i="1"/>
  <c r="Q28" i="1"/>
  <c r="P27" i="1"/>
  <c r="P30" i="1" s="1"/>
  <c r="P32" i="1" s="1"/>
  <c r="P34" i="1" s="1"/>
  <c r="P36" i="1" s="1"/>
  <c r="J112" i="1"/>
  <c r="I56" i="1"/>
  <c r="L117" i="1"/>
  <c r="K137" i="1"/>
  <c r="K147" i="1" s="1"/>
  <c r="AI13" i="14" l="1"/>
  <c r="AI17" i="14" s="1"/>
  <c r="AJ17" i="14"/>
  <c r="AJ31" i="14" s="1"/>
  <c r="AG4" i="14"/>
  <c r="AF32" i="14"/>
  <c r="AF34" i="14" s="1"/>
  <c r="AQ1" i="14"/>
  <c r="AN13" i="14"/>
  <c r="AJ33" i="10"/>
  <c r="AO3" i="10"/>
  <c r="AN31" i="10"/>
  <c r="AV12" i="10"/>
  <c r="AY1" i="10"/>
  <c r="AQ12" i="10"/>
  <c r="AQ16" i="10" s="1"/>
  <c r="AR16" i="10"/>
  <c r="AR30" i="10" s="1"/>
  <c r="R31" i="1"/>
  <c r="Q62" i="1"/>
  <c r="Q98" i="1" s="1"/>
  <c r="Q53" i="1"/>
  <c r="Q97" i="1" s="1"/>
  <c r="J114" i="1"/>
  <c r="J115" i="1"/>
  <c r="M117" i="1"/>
  <c r="L137" i="1"/>
  <c r="L147" i="1" s="1"/>
  <c r="I55" i="1"/>
  <c r="I45" i="1"/>
  <c r="R28" i="1"/>
  <c r="R27" i="1" s="1"/>
  <c r="R30" i="1" s="1"/>
  <c r="Q27" i="1"/>
  <c r="Q30" i="1" s="1"/>
  <c r="Q32" i="1" s="1"/>
  <c r="Q34" i="1" s="1"/>
  <c r="Q36" i="1" s="1"/>
  <c r="R66" i="1"/>
  <c r="R64" i="1" s="1"/>
  <c r="Q64" i="1"/>
  <c r="N152" i="1"/>
  <c r="N44" i="1"/>
  <c r="N75" i="1" s="1"/>
  <c r="P38" i="1"/>
  <c r="O37" i="1"/>
  <c r="O40" i="1" s="1"/>
  <c r="M153" i="1"/>
  <c r="M154" i="1" s="1"/>
  <c r="AM13" i="14" l="1"/>
  <c r="AM17" i="14" s="1"/>
  <c r="AN17" i="14"/>
  <c r="AN31" i="14" s="1"/>
  <c r="AU1" i="14"/>
  <c r="AR13" i="14"/>
  <c r="AK4" i="14"/>
  <c r="AJ32" i="14"/>
  <c r="AJ34" i="14" s="1"/>
  <c r="AN33" i="10"/>
  <c r="AS3" i="10"/>
  <c r="AR31" i="10"/>
  <c r="BC1" i="10"/>
  <c r="AZ12" i="10"/>
  <c r="AU12" i="10"/>
  <c r="AU16" i="10" s="1"/>
  <c r="AV16" i="10"/>
  <c r="AV30" i="10" s="1"/>
  <c r="O44" i="1"/>
  <c r="O75" i="1" s="1"/>
  <c r="O152" i="1"/>
  <c r="I76" i="1"/>
  <c r="I155" i="1"/>
  <c r="I46" i="1"/>
  <c r="N117" i="1"/>
  <c r="M137" i="1"/>
  <c r="M147" i="1" s="1"/>
  <c r="K112" i="1"/>
  <c r="J56" i="1"/>
  <c r="R62" i="1"/>
  <c r="R98" i="1" s="1"/>
  <c r="R53" i="1"/>
  <c r="R97" i="1" s="1"/>
  <c r="P37" i="1"/>
  <c r="P40" i="1" s="1"/>
  <c r="Q38" i="1"/>
  <c r="N153" i="1"/>
  <c r="N154" i="1" s="1"/>
  <c r="R32" i="1"/>
  <c r="R34" i="1" s="1"/>
  <c r="R36" i="1" s="1"/>
  <c r="AQ13" i="14" l="1"/>
  <c r="AQ17" i="14" s="1"/>
  <c r="AR17" i="14"/>
  <c r="AR31" i="14" s="1"/>
  <c r="AY1" i="14"/>
  <c r="AV13" i="14"/>
  <c r="AO4" i="14"/>
  <c r="AN32" i="14"/>
  <c r="AN34" i="14" s="1"/>
  <c r="AR33" i="10"/>
  <c r="AW3" i="10"/>
  <c r="AV31" i="10"/>
  <c r="AY12" i="10"/>
  <c r="AY16" i="10" s="1"/>
  <c r="AZ16" i="10"/>
  <c r="AZ30" i="10" s="1"/>
  <c r="BG1" i="10"/>
  <c r="BD12" i="10"/>
  <c r="J55" i="1"/>
  <c r="J45" i="1"/>
  <c r="K114" i="1"/>
  <c r="K115" i="1"/>
  <c r="O117" i="1"/>
  <c r="N137" i="1"/>
  <c r="N147" i="1" s="1"/>
  <c r="Q37" i="1"/>
  <c r="Q40" i="1" s="1"/>
  <c r="R38" i="1"/>
  <c r="R37" i="1" s="1"/>
  <c r="R40" i="1" s="1"/>
  <c r="P44" i="1"/>
  <c r="P75" i="1" s="1"/>
  <c r="P152" i="1"/>
  <c r="O153" i="1"/>
  <c r="O154" i="1"/>
  <c r="AU13" i="14" l="1"/>
  <c r="AU17" i="14" s="1"/>
  <c r="AV17" i="14"/>
  <c r="AV31" i="14" s="1"/>
  <c r="AZ13" i="14"/>
  <c r="BC1" i="14"/>
  <c r="AS4" i="14"/>
  <c r="AR32" i="14"/>
  <c r="AR34" i="14" s="1"/>
  <c r="AV33" i="10"/>
  <c r="BA3" i="10"/>
  <c r="AZ31" i="10"/>
  <c r="BC12" i="10"/>
  <c r="BC16" i="10" s="1"/>
  <c r="BD16" i="10"/>
  <c r="BD30" i="10" s="1"/>
  <c r="BK1" i="10"/>
  <c r="BH12" i="10"/>
  <c r="R152" i="1"/>
  <c r="R44" i="1"/>
  <c r="R75" i="1" s="1"/>
  <c r="Q44" i="1"/>
  <c r="Q75" i="1" s="1"/>
  <c r="Q152" i="1"/>
  <c r="P117" i="1"/>
  <c r="O137" i="1"/>
  <c r="O147" i="1" s="1"/>
  <c r="L112" i="1"/>
  <c r="K56" i="1"/>
  <c r="J76" i="1"/>
  <c r="J74" i="1" s="1"/>
  <c r="J89" i="1" s="1"/>
  <c r="J155" i="1"/>
  <c r="J156" i="1" s="1"/>
  <c r="J159" i="1" s="1"/>
  <c r="J160" i="1" s="1"/>
  <c r="J46" i="1"/>
  <c r="P153" i="1"/>
  <c r="P154" i="1" s="1"/>
  <c r="BD13" i="14" l="1"/>
  <c r="BG1" i="14"/>
  <c r="AZ17" i="14"/>
  <c r="AZ31" i="14" s="1"/>
  <c r="AY13" i="14"/>
  <c r="AY17" i="14" s="1"/>
  <c r="AV32" i="14"/>
  <c r="AV34" i="14" s="1"/>
  <c r="AW4" i="14"/>
  <c r="AZ33" i="10"/>
  <c r="BE3" i="10"/>
  <c r="BD31" i="10"/>
  <c r="BH16" i="10"/>
  <c r="BH30" i="10" s="1"/>
  <c r="BG12" i="10"/>
  <c r="BG16" i="10" s="1"/>
  <c r="BO1" i="10"/>
  <c r="BL12" i="10"/>
  <c r="L114" i="1"/>
  <c r="L115" i="1" s="1"/>
  <c r="Q153" i="1"/>
  <c r="Q154" i="1" s="1"/>
  <c r="K55" i="1"/>
  <c r="K45" i="1"/>
  <c r="P137" i="1"/>
  <c r="P147" i="1" s="1"/>
  <c r="Q117" i="1"/>
  <c r="R153" i="1"/>
  <c r="R154" i="1" s="1"/>
  <c r="BD17" i="14" l="1"/>
  <c r="BD31" i="14" s="1"/>
  <c r="BC13" i="14"/>
  <c r="BC17" i="14" s="1"/>
  <c r="AZ32" i="14"/>
  <c r="AZ34" i="14" s="1"/>
  <c r="BA4" i="14"/>
  <c r="BK1" i="14"/>
  <c r="BH13" i="14"/>
  <c r="BD33" i="10"/>
  <c r="BI3" i="10"/>
  <c r="BH31" i="10"/>
  <c r="BK12" i="10"/>
  <c r="BK16" i="10" s="1"/>
  <c r="BL16" i="10"/>
  <c r="BL30" i="10" s="1"/>
  <c r="BS1" i="10"/>
  <c r="BP12" i="10"/>
  <c r="M112" i="1"/>
  <c r="L56" i="1"/>
  <c r="Q137" i="1"/>
  <c r="Q147" i="1" s="1"/>
  <c r="R117" i="1"/>
  <c r="R137" i="1" s="1"/>
  <c r="R147" i="1" s="1"/>
  <c r="K76" i="1"/>
  <c r="K74" i="1" s="1"/>
  <c r="K89" i="1" s="1"/>
  <c r="K155" i="1"/>
  <c r="K156" i="1" s="1"/>
  <c r="K159" i="1" s="1"/>
  <c r="K160" i="1" s="1"/>
  <c r="K46" i="1"/>
  <c r="BG13" i="14" l="1"/>
  <c r="BG17" i="14" s="1"/>
  <c r="BH17" i="14"/>
  <c r="BH31" i="14" s="1"/>
  <c r="BD32" i="14"/>
  <c r="BD34" i="14" s="1"/>
  <c r="BE4" i="14"/>
  <c r="BO1" i="14"/>
  <c r="BL13" i="14"/>
  <c r="BH33" i="10"/>
  <c r="BM3" i="10"/>
  <c r="BL31" i="10"/>
  <c r="BW1" i="10"/>
  <c r="BT12" i="10"/>
  <c r="BO12" i="10"/>
  <c r="BO16" i="10" s="1"/>
  <c r="BP16" i="10"/>
  <c r="BP30" i="10" s="1"/>
  <c r="L55" i="1"/>
  <c r="L45" i="1"/>
  <c r="M114" i="1"/>
  <c r="M115" i="1" s="1"/>
  <c r="BK13" i="14" l="1"/>
  <c r="BK17" i="14" s="1"/>
  <c r="BL17" i="14"/>
  <c r="BL31" i="14" s="1"/>
  <c r="BI4" i="14"/>
  <c r="BH32" i="14"/>
  <c r="BH34" i="14" s="1"/>
  <c r="BS1" i="14"/>
  <c r="BP13" i="14"/>
  <c r="BL33" i="10"/>
  <c r="BQ3" i="10"/>
  <c r="BP31" i="10"/>
  <c r="BS12" i="10"/>
  <c r="BS16" i="10" s="1"/>
  <c r="BT16" i="10"/>
  <c r="BT30" i="10" s="1"/>
  <c r="CA1" i="10"/>
  <c r="BX12" i="10"/>
  <c r="N112" i="1"/>
  <c r="M56" i="1"/>
  <c r="L155" i="1"/>
  <c r="L156" i="1" s="1"/>
  <c r="L159" i="1" s="1"/>
  <c r="L160" i="1" s="1"/>
  <c r="L76" i="1"/>
  <c r="L74" i="1" s="1"/>
  <c r="L89" i="1" s="1"/>
  <c r="L46" i="1"/>
  <c r="BP17" i="14" l="1"/>
  <c r="BP31" i="14" s="1"/>
  <c r="BO13" i="14"/>
  <c r="BO17" i="14" s="1"/>
  <c r="BT13" i="14"/>
  <c r="BW1" i="14"/>
  <c r="BM4" i="14"/>
  <c r="BL32" i="14"/>
  <c r="BL34" i="14" s="1"/>
  <c r="BP33" i="10"/>
  <c r="BU3" i="10"/>
  <c r="BT31" i="10"/>
  <c r="BW12" i="10"/>
  <c r="BW16" i="10" s="1"/>
  <c r="BX16" i="10"/>
  <c r="BX30" i="10" s="1"/>
  <c r="CB12" i="10"/>
  <c r="CE1" i="10"/>
  <c r="M55" i="1"/>
  <c r="M45" i="1"/>
  <c r="N114" i="1"/>
  <c r="N115" i="1" s="1"/>
  <c r="BX13" i="14" l="1"/>
  <c r="CA1" i="14"/>
  <c r="BT17" i="14"/>
  <c r="BT31" i="14" s="1"/>
  <c r="BS13" i="14"/>
  <c r="BS17" i="14" s="1"/>
  <c r="BQ4" i="14"/>
  <c r="BP32" i="14"/>
  <c r="BP34" i="14" s="1"/>
  <c r="BT33" i="10"/>
  <c r="BY3" i="10"/>
  <c r="BX31" i="10"/>
  <c r="CI1" i="10"/>
  <c r="CF12" i="10"/>
  <c r="CA12" i="10"/>
  <c r="CA16" i="10" s="1"/>
  <c r="CB16" i="10"/>
  <c r="CB30" i="10" s="1"/>
  <c r="O112" i="1"/>
  <c r="N56" i="1"/>
  <c r="M155" i="1"/>
  <c r="M156" i="1" s="1"/>
  <c r="M159" i="1" s="1"/>
  <c r="M160" i="1" s="1"/>
  <c r="M76" i="1"/>
  <c r="M74" i="1" s="1"/>
  <c r="M89" i="1" s="1"/>
  <c r="M46" i="1"/>
  <c r="BT32" i="14" l="1"/>
  <c r="BT34" i="14" s="1"/>
  <c r="BU4" i="14"/>
  <c r="CB13" i="14"/>
  <c r="CE1" i="14"/>
  <c r="BX17" i="14"/>
  <c r="BX31" i="14" s="1"/>
  <c r="BW13" i="14"/>
  <c r="BW17" i="14" s="1"/>
  <c r="BX33" i="10"/>
  <c r="CC3" i="10"/>
  <c r="CB31" i="10"/>
  <c r="CF16" i="10"/>
  <c r="CF30" i="10" s="1"/>
  <c r="CE12" i="10"/>
  <c r="CE16" i="10" s="1"/>
  <c r="CM1" i="10"/>
  <c r="CJ12" i="10"/>
  <c r="N55" i="1"/>
  <c r="N45" i="1"/>
  <c r="O114" i="1"/>
  <c r="O115" i="1" s="1"/>
  <c r="BX32" i="14" l="1"/>
  <c r="BX34" i="14" s="1"/>
  <c r="BY4" i="14"/>
  <c r="CB17" i="14"/>
  <c r="CB31" i="14" s="1"/>
  <c r="CA13" i="14"/>
  <c r="CA17" i="14" s="1"/>
  <c r="CI1" i="14"/>
  <c r="CF13" i="14"/>
  <c r="CB33" i="10"/>
  <c r="CG3" i="10"/>
  <c r="CF31" i="10"/>
  <c r="CN12" i="10"/>
  <c r="CQ1" i="10"/>
  <c r="CI12" i="10"/>
  <c r="CI16" i="10" s="1"/>
  <c r="CJ16" i="10"/>
  <c r="CJ30" i="10" s="1"/>
  <c r="O56" i="1"/>
  <c r="P112" i="1"/>
  <c r="N155" i="1"/>
  <c r="N156" i="1" s="1"/>
  <c r="N159" i="1" s="1"/>
  <c r="N160" i="1" s="1"/>
  <c r="N76" i="1"/>
  <c r="N74" i="1" s="1"/>
  <c r="N89" i="1" s="1"/>
  <c r="N46" i="1"/>
  <c r="CE13" i="14" l="1"/>
  <c r="CE17" i="14" s="1"/>
  <c r="CF17" i="14"/>
  <c r="CF31" i="14" s="1"/>
  <c r="CM1" i="14"/>
  <c r="CJ13" i="14"/>
  <c r="CC4" i="14"/>
  <c r="CB32" i="14"/>
  <c r="CB34" i="14" s="1"/>
  <c r="CF33" i="10"/>
  <c r="CK3" i="10"/>
  <c r="CJ31" i="10"/>
  <c r="CR12" i="10"/>
  <c r="CU1" i="10"/>
  <c r="CM12" i="10"/>
  <c r="CM16" i="10" s="1"/>
  <c r="CN16" i="10"/>
  <c r="CN30" i="10" s="1"/>
  <c r="P114" i="1"/>
  <c r="P115" i="1" s="1"/>
  <c r="O45" i="1"/>
  <c r="O55" i="1"/>
  <c r="CG4" i="14" l="1"/>
  <c r="CF32" i="14"/>
  <c r="CF34" i="14" s="1"/>
  <c r="CJ17" i="14"/>
  <c r="CJ31" i="14" s="1"/>
  <c r="CI13" i="14"/>
  <c r="CI17" i="14" s="1"/>
  <c r="CN13" i="14"/>
  <c r="CQ1" i="14"/>
  <c r="CJ33" i="10"/>
  <c r="CO3" i="10"/>
  <c r="CN31" i="10"/>
  <c r="CY1" i="10"/>
  <c r="CV12" i="10"/>
  <c r="CQ12" i="10"/>
  <c r="CQ16" i="10" s="1"/>
  <c r="CR16" i="10"/>
  <c r="CR30" i="10" s="1"/>
  <c r="P56" i="1"/>
  <c r="Q112" i="1"/>
  <c r="O155" i="1"/>
  <c r="O156" i="1" s="1"/>
  <c r="O159" i="1" s="1"/>
  <c r="O160" i="1" s="1"/>
  <c r="O76" i="1"/>
  <c r="O74" i="1" s="1"/>
  <c r="O89" i="1" s="1"/>
  <c r="O46" i="1"/>
  <c r="CU1" i="14" l="1"/>
  <c r="CR13" i="14"/>
  <c r="CN17" i="14"/>
  <c r="CN31" i="14" s="1"/>
  <c r="CM13" i="14"/>
  <c r="CM17" i="14" s="1"/>
  <c r="CK4" i="14"/>
  <c r="CJ32" i="14"/>
  <c r="CJ34" i="14" s="1"/>
  <c r="CN33" i="10"/>
  <c r="CS3" i="10"/>
  <c r="CR31" i="10"/>
  <c r="CU12" i="10"/>
  <c r="CU16" i="10" s="1"/>
  <c r="CV16" i="10"/>
  <c r="CV30" i="10" s="1"/>
  <c r="DC1" i="10"/>
  <c r="CZ12" i="10"/>
  <c r="Q114" i="1"/>
  <c r="Q115" i="1" s="1"/>
  <c r="P45" i="1"/>
  <c r="P55" i="1"/>
  <c r="CO4" i="14" l="1"/>
  <c r="CN32" i="14"/>
  <c r="CN34" i="14" s="1"/>
  <c r="CQ13" i="14"/>
  <c r="CQ17" i="14" s="1"/>
  <c r="CR17" i="14"/>
  <c r="CR31" i="14" s="1"/>
  <c r="CV13" i="14"/>
  <c r="CY1" i="14"/>
  <c r="CR33" i="10"/>
  <c r="CW3" i="10"/>
  <c r="CV31" i="10"/>
  <c r="CY12" i="10"/>
  <c r="CY16" i="10" s="1"/>
  <c r="CZ16" i="10"/>
  <c r="CZ30" i="10" s="1"/>
  <c r="DG1" i="10"/>
  <c r="DD12" i="10"/>
  <c r="Q56" i="1"/>
  <c r="R112" i="1"/>
  <c r="P155" i="1"/>
  <c r="P156" i="1" s="1"/>
  <c r="P159" i="1" s="1"/>
  <c r="P160" i="1" s="1"/>
  <c r="P76" i="1"/>
  <c r="P74" i="1" s="1"/>
  <c r="P89" i="1" s="1"/>
  <c r="P46" i="1"/>
  <c r="CZ13" i="14" l="1"/>
  <c r="DC1" i="14"/>
  <c r="CU13" i="14"/>
  <c r="CU17" i="14" s="1"/>
  <c r="CV17" i="14"/>
  <c r="CV31" i="14" s="1"/>
  <c r="CR32" i="14"/>
  <c r="CR34" i="14" s="1"/>
  <c r="CS4" i="14"/>
  <c r="CV33" i="10"/>
  <c r="DA3" i="10"/>
  <c r="CZ31" i="10"/>
  <c r="DK1" i="10"/>
  <c r="DH12" i="10"/>
  <c r="DD16" i="10"/>
  <c r="DD30" i="10" s="1"/>
  <c r="DC12" i="10"/>
  <c r="DC16" i="10" s="1"/>
  <c r="R114" i="1"/>
  <c r="R115" i="1" s="1"/>
  <c r="R56" i="1" s="1"/>
  <c r="Q45" i="1"/>
  <c r="Q55" i="1"/>
  <c r="CV32" i="14" l="1"/>
  <c r="CV34" i="14" s="1"/>
  <c r="CW4" i="14"/>
  <c r="DG1" i="14"/>
  <c r="DD13" i="14"/>
  <c r="CY13" i="14"/>
  <c r="CY17" i="14" s="1"/>
  <c r="CZ17" i="14"/>
  <c r="CZ31" i="14" s="1"/>
  <c r="CZ33" i="10"/>
  <c r="DE3" i="10"/>
  <c r="DD31" i="10"/>
  <c r="DG12" i="10"/>
  <c r="DG16" i="10" s="1"/>
  <c r="DH16" i="10"/>
  <c r="DH30" i="10" s="1"/>
  <c r="DO1" i="10"/>
  <c r="DL12" i="10"/>
  <c r="R45" i="1"/>
  <c r="R55" i="1"/>
  <c r="Q155" i="1"/>
  <c r="Q156" i="1" s="1"/>
  <c r="Q159" i="1" s="1"/>
  <c r="Q160" i="1" s="1"/>
  <c r="Q76" i="1"/>
  <c r="Q74" i="1" s="1"/>
  <c r="Q89" i="1" s="1"/>
  <c r="Q46" i="1"/>
  <c r="CZ32" i="14" l="1"/>
  <c r="CZ34" i="14" s="1"/>
  <c r="DA4" i="14"/>
  <c r="DC13" i="14"/>
  <c r="DC17" i="14" s="1"/>
  <c r="DD17" i="14"/>
  <c r="DD31" i="14" s="1"/>
  <c r="DH13" i="14"/>
  <c r="DK1" i="14"/>
  <c r="DD33" i="10"/>
  <c r="DI3" i="10"/>
  <c r="DH31" i="10"/>
  <c r="DK12" i="10"/>
  <c r="DK16" i="10" s="1"/>
  <c r="DL16" i="10"/>
  <c r="DL30" i="10" s="1"/>
  <c r="DS1" i="10"/>
  <c r="DP12" i="10"/>
  <c r="R155" i="1"/>
  <c r="R156" i="1" s="1"/>
  <c r="R159" i="1" s="1"/>
  <c r="R160" i="1" s="1"/>
  <c r="R76" i="1"/>
  <c r="R74" i="1" s="1"/>
  <c r="R89" i="1" s="1"/>
  <c r="R46" i="1"/>
  <c r="DG13" i="14" l="1"/>
  <c r="DG17" i="14" s="1"/>
  <c r="DH17" i="14"/>
  <c r="DH31" i="14" s="1"/>
  <c r="DO1" i="14"/>
  <c r="DL13" i="14"/>
  <c r="DE4" i="14"/>
  <c r="DD32" i="14"/>
  <c r="DD34" i="14" s="1"/>
  <c r="DH33" i="10"/>
  <c r="DM3" i="10"/>
  <c r="DL31" i="10"/>
  <c r="DW1" i="10"/>
  <c r="DT12" i="10"/>
  <c r="DO12" i="10"/>
  <c r="DO16" i="10" s="1"/>
  <c r="DP16" i="10"/>
  <c r="DP30" i="10" s="1"/>
  <c r="DK13" i="14" l="1"/>
  <c r="DK17" i="14" s="1"/>
  <c r="DL17" i="14"/>
  <c r="DL31" i="14" s="1"/>
  <c r="DS1" i="14"/>
  <c r="DP13" i="14"/>
  <c r="DH32" i="14"/>
  <c r="DH34" i="14" s="1"/>
  <c r="DI4" i="14"/>
  <c r="DL33" i="10"/>
  <c r="DQ3" i="10"/>
  <c r="DP31" i="10"/>
  <c r="DS12" i="10"/>
  <c r="DS16" i="10" s="1"/>
  <c r="DT16" i="10"/>
  <c r="DT30" i="10" s="1"/>
  <c r="DX12" i="10"/>
  <c r="EA1" i="10"/>
  <c r="DO13" i="14" l="1"/>
  <c r="DO17" i="14" s="1"/>
  <c r="DP17" i="14"/>
  <c r="DP31" i="14" s="1"/>
  <c r="DL32" i="14"/>
  <c r="DL34" i="14" s="1"/>
  <c r="DM4" i="14"/>
  <c r="DT13" i="14"/>
  <c r="DW1" i="14"/>
  <c r="DP33" i="10"/>
  <c r="EE1" i="10"/>
  <c r="EB12" i="10"/>
  <c r="DW12" i="10"/>
  <c r="DW16" i="10" s="1"/>
  <c r="DX16" i="10"/>
  <c r="DX30" i="10" s="1"/>
  <c r="DT31" i="10"/>
  <c r="DU3" i="10"/>
  <c r="EA1" i="14" l="1"/>
  <c r="DX13" i="14"/>
  <c r="DT17" i="14"/>
  <c r="DT31" i="14" s="1"/>
  <c r="DS13" i="14"/>
  <c r="DS17" i="14" s="1"/>
  <c r="DQ4" i="14"/>
  <c r="DP32" i="14"/>
  <c r="DP34" i="14" s="1"/>
  <c r="DT33" i="10"/>
  <c r="DY3" i="10"/>
  <c r="DX31" i="10"/>
  <c r="EB16" i="10"/>
  <c r="EB30" i="10" s="1"/>
  <c r="EA12" i="10"/>
  <c r="EA16" i="10" s="1"/>
  <c r="EI1" i="10"/>
  <c r="EF12" i="10"/>
  <c r="DT32" i="14" l="1"/>
  <c r="DT34" i="14" s="1"/>
  <c r="DU4" i="14"/>
  <c r="DW13" i="14"/>
  <c r="DW17" i="14" s="1"/>
  <c r="DX17" i="14"/>
  <c r="DX31" i="14" s="1"/>
  <c r="EE1" i="14"/>
  <c r="EB13" i="14"/>
  <c r="DX33" i="10"/>
  <c r="EC3" i="10"/>
  <c r="EB31" i="10"/>
  <c r="EE12" i="10"/>
  <c r="EE16" i="10" s="1"/>
  <c r="EF16" i="10"/>
  <c r="EF30" i="10" s="1"/>
  <c r="EJ12" i="10"/>
  <c r="EM1" i="10"/>
  <c r="EA13" i="14" l="1"/>
  <c r="EA17" i="14" s="1"/>
  <c r="EB17" i="14"/>
  <c r="EB31" i="14" s="1"/>
  <c r="EI1" i="14"/>
  <c r="EF13" i="14"/>
  <c r="DY4" i="14"/>
  <c r="DX32" i="14"/>
  <c r="DX34" i="14" s="1"/>
  <c r="EB33" i="10"/>
  <c r="EN12" i="10"/>
  <c r="EQ1" i="10"/>
  <c r="EG3" i="10"/>
  <c r="EF31" i="10"/>
  <c r="EI12" i="10"/>
  <c r="EI16" i="10" s="1"/>
  <c r="EJ16" i="10"/>
  <c r="EJ30" i="10" s="1"/>
  <c r="EB32" i="14" l="1"/>
  <c r="EB34" i="14" s="1"/>
  <c r="EC4" i="14"/>
  <c r="EF17" i="14"/>
  <c r="EF31" i="14" s="1"/>
  <c r="EE13" i="14"/>
  <c r="EE17" i="14" s="1"/>
  <c r="EM1" i="14"/>
  <c r="EJ13" i="14"/>
  <c r="EK3" i="10"/>
  <c r="EJ31" i="10"/>
  <c r="ER12" i="10"/>
  <c r="EU1" i="10"/>
  <c r="EM12" i="10"/>
  <c r="EM16" i="10" s="1"/>
  <c r="EN16" i="10"/>
  <c r="EN30" i="10" s="1"/>
  <c r="EF33" i="10"/>
  <c r="EI13" i="14" l="1"/>
  <c r="EI17" i="14" s="1"/>
  <c r="EJ17" i="14"/>
  <c r="EJ31" i="14" s="1"/>
  <c r="EQ1" i="14"/>
  <c r="EN13" i="14"/>
  <c r="EF32" i="14"/>
  <c r="EF34" i="14" s="1"/>
  <c r="EG4" i="14"/>
  <c r="EJ33" i="10"/>
  <c r="EO3" i="10"/>
  <c r="EN31" i="10"/>
  <c r="EY1" i="10"/>
  <c r="EV12" i="10"/>
  <c r="EQ12" i="10"/>
  <c r="EQ16" i="10" s="1"/>
  <c r="ER16" i="10"/>
  <c r="ER30" i="10" s="1"/>
  <c r="EN17" i="14" l="1"/>
  <c r="EN31" i="14" s="1"/>
  <c r="EM13" i="14"/>
  <c r="EM17" i="14" s="1"/>
  <c r="EU1" i="14"/>
  <c r="ER13" i="14"/>
  <c r="EJ32" i="14"/>
  <c r="EJ34" i="14" s="1"/>
  <c r="EK4" i="14"/>
  <c r="EN33" i="10"/>
  <c r="ES3" i="10"/>
  <c r="ER31" i="10"/>
  <c r="EU12" i="10"/>
  <c r="EU16" i="10" s="1"/>
  <c r="EV16" i="10"/>
  <c r="EV30" i="10" s="1"/>
  <c r="FC1" i="10"/>
  <c r="EZ12" i="10"/>
  <c r="EQ13" i="14" l="1"/>
  <c r="EQ17" i="14" s="1"/>
  <c r="ER17" i="14"/>
  <c r="ER31" i="14" s="1"/>
  <c r="EY1" i="14"/>
  <c r="EV13" i="14"/>
  <c r="EN32" i="14"/>
  <c r="EN34" i="14" s="1"/>
  <c r="EO4" i="14"/>
  <c r="ER33" i="10"/>
  <c r="EW3" i="10"/>
  <c r="EV31" i="10"/>
  <c r="FG1" i="10"/>
  <c r="FD12" i="10"/>
  <c r="EZ16" i="10"/>
  <c r="EZ30" i="10" s="1"/>
  <c r="EY12" i="10"/>
  <c r="EY16" i="10" s="1"/>
  <c r="ES4" i="14" l="1"/>
  <c r="ER32" i="14"/>
  <c r="ER34" i="14" s="1"/>
  <c r="EV33" i="10"/>
  <c r="FC1" i="14"/>
  <c r="EZ13" i="14"/>
  <c r="EV17" i="14"/>
  <c r="EV31" i="14" s="1"/>
  <c r="EU13" i="14"/>
  <c r="EU17" i="14" s="1"/>
  <c r="FA3" i="10"/>
  <c r="EZ31" i="10"/>
  <c r="EZ33" i="10" s="1"/>
  <c r="FK1" i="10"/>
  <c r="FH12" i="10"/>
  <c r="FC12" i="10"/>
  <c r="FC16" i="10" s="1"/>
  <c r="FD16" i="10"/>
  <c r="FD30" i="10" s="1"/>
  <c r="EW4" i="14" l="1"/>
  <c r="EV32" i="14"/>
  <c r="EV34" i="14" s="1"/>
  <c r="EY13" i="14"/>
  <c r="EY17" i="14" s="1"/>
  <c r="EZ17" i="14"/>
  <c r="EZ31" i="14" s="1"/>
  <c r="FD13" i="14"/>
  <c r="FG1" i="14"/>
  <c r="FE3" i="10"/>
  <c r="FD31" i="10"/>
  <c r="FD33" i="10" s="1"/>
  <c r="FG12" i="10"/>
  <c r="FG16" i="10" s="1"/>
  <c r="FH16" i="10"/>
  <c r="FH30" i="10" s="1"/>
  <c r="FO1" i="10"/>
  <c r="FL12" i="10"/>
  <c r="FC13" i="14" l="1"/>
  <c r="FC17" i="14" s="1"/>
  <c r="FD17" i="14"/>
  <c r="FD31" i="14" s="1"/>
  <c r="EZ32" i="14"/>
  <c r="EZ34" i="14" s="1"/>
  <c r="FA4" i="14"/>
  <c r="FH13" i="14"/>
  <c r="FK1" i="14"/>
  <c r="FI3" i="10"/>
  <c r="FH31" i="10"/>
  <c r="FH33" i="10" s="1"/>
  <c r="FS1" i="10"/>
  <c r="FP12" i="10"/>
  <c r="FK12" i="10"/>
  <c r="FK16" i="10" s="1"/>
  <c r="FL16" i="10"/>
  <c r="FL30" i="10" s="1"/>
  <c r="FL13" i="14" l="1"/>
  <c r="FO1" i="14"/>
  <c r="FE4" i="14"/>
  <c r="FD32" i="14"/>
  <c r="FD34" i="14" s="1"/>
  <c r="FG13" i="14"/>
  <c r="FG17" i="14" s="1"/>
  <c r="FH17" i="14"/>
  <c r="FH31" i="14" s="1"/>
  <c r="FM3" i="10"/>
  <c r="FL31" i="10"/>
  <c r="FL33" i="10" s="1"/>
  <c r="FO12" i="10"/>
  <c r="FO16" i="10" s="1"/>
  <c r="FP16" i="10"/>
  <c r="FP30" i="10" s="1"/>
  <c r="FT12" i="10"/>
  <c r="FW1" i="10"/>
  <c r="FI4" i="14" l="1"/>
  <c r="FH32" i="14"/>
  <c r="FH34" i="14" s="1"/>
  <c r="FP13" i="14"/>
  <c r="FS1" i="14"/>
  <c r="FL17" i="14"/>
  <c r="FL31" i="14" s="1"/>
  <c r="FK13" i="14"/>
  <c r="FK17" i="14" s="1"/>
  <c r="GA1" i="10"/>
  <c r="FX12" i="10"/>
  <c r="FP31" i="10"/>
  <c r="FP33" i="10" s="1"/>
  <c r="FQ3" i="10"/>
  <c r="FS12" i="10"/>
  <c r="FS16" i="10" s="1"/>
  <c r="FT16" i="10"/>
  <c r="FT30" i="10" s="1"/>
  <c r="FM4" i="14" l="1"/>
  <c r="FL32" i="14"/>
  <c r="FL34" i="14" s="1"/>
  <c r="FW1" i="14"/>
  <c r="FT13" i="14"/>
  <c r="FP17" i="14"/>
  <c r="FP31" i="14" s="1"/>
  <c r="FO13" i="14"/>
  <c r="FO17" i="14" s="1"/>
  <c r="FU3" i="10"/>
  <c r="FT31" i="10"/>
  <c r="FT33" i="10" s="1"/>
  <c r="FX16" i="10"/>
  <c r="FX30" i="10" s="1"/>
  <c r="FW12" i="10"/>
  <c r="FW16" i="10" s="1"/>
  <c r="GE1" i="10"/>
  <c r="GB12" i="10"/>
  <c r="FT17" i="14" l="1"/>
  <c r="FT31" i="14" s="1"/>
  <c r="FS13" i="14"/>
  <c r="FS17" i="14" s="1"/>
  <c r="GA1" i="14"/>
  <c r="FX13" i="14"/>
  <c r="FQ4" i="14"/>
  <c r="FP32" i="14"/>
  <c r="FP34" i="14" s="1"/>
  <c r="FY3" i="10"/>
  <c r="FX31" i="10"/>
  <c r="FX33" i="10" s="1"/>
  <c r="GA12" i="10"/>
  <c r="GA16" i="10" s="1"/>
  <c r="GB16" i="10"/>
  <c r="GB30" i="10" s="1"/>
  <c r="GF12" i="10"/>
  <c r="GI1" i="10"/>
  <c r="FW13" i="14" l="1"/>
  <c r="FW17" i="14" s="1"/>
  <c r="FX17" i="14"/>
  <c r="FX31" i="14" s="1"/>
  <c r="GE1" i="14"/>
  <c r="GB13" i="14"/>
  <c r="FT32" i="14"/>
  <c r="FT34" i="14" s="1"/>
  <c r="FU4" i="14"/>
  <c r="GC3" i="10"/>
  <c r="GB31" i="10"/>
  <c r="GB33" i="10" s="1"/>
  <c r="GE12" i="10"/>
  <c r="GE16" i="10" s="1"/>
  <c r="GF16" i="10"/>
  <c r="GF30" i="10" s="1"/>
  <c r="GJ12" i="10"/>
  <c r="GM1" i="10"/>
  <c r="FX32" i="14" l="1"/>
  <c r="FX34" i="14" s="1"/>
  <c r="FY4" i="14"/>
  <c r="GB17" i="14"/>
  <c r="GB31" i="14" s="1"/>
  <c r="GA13" i="14"/>
  <c r="GA17" i="14" s="1"/>
  <c r="GI1" i="14"/>
  <c r="GF13" i="14"/>
  <c r="GG3" i="10"/>
  <c r="GF31" i="10"/>
  <c r="GF33" i="10" s="1"/>
  <c r="GI12" i="10"/>
  <c r="GI16" i="10" s="1"/>
  <c r="GJ16" i="10"/>
  <c r="GJ30" i="10" s="1"/>
  <c r="GQ1" i="10"/>
  <c r="GN12" i="10"/>
  <c r="GE13" i="14" l="1"/>
  <c r="GE17" i="14" s="1"/>
  <c r="GF17" i="14"/>
  <c r="GF31" i="14" s="1"/>
  <c r="GM1" i="14"/>
  <c r="GJ13" i="14"/>
  <c r="GC4" i="14"/>
  <c r="GB32" i="14"/>
  <c r="GB34" i="14" s="1"/>
  <c r="GK3" i="10"/>
  <c r="GJ31" i="10"/>
  <c r="GJ33" i="10" s="1"/>
  <c r="GM12" i="10"/>
  <c r="GM16" i="10" s="1"/>
  <c r="GN16" i="10"/>
  <c r="GN30" i="10" s="1"/>
  <c r="GU1" i="10"/>
  <c r="GR12" i="10"/>
  <c r="GF32" i="14" l="1"/>
  <c r="GF34" i="14" s="1"/>
  <c r="GG4" i="14"/>
  <c r="GQ1" i="14"/>
  <c r="GN13" i="14"/>
  <c r="GI13" i="14"/>
  <c r="GI17" i="14" s="1"/>
  <c r="GJ17" i="14"/>
  <c r="GJ31" i="14" s="1"/>
  <c r="GO3" i="10"/>
  <c r="GN31" i="10"/>
  <c r="GN33" i="10" s="1"/>
  <c r="GY1" i="10"/>
  <c r="GV12" i="10"/>
  <c r="GQ12" i="10"/>
  <c r="GQ16" i="10" s="1"/>
  <c r="GR16" i="10"/>
  <c r="GR30" i="10" s="1"/>
  <c r="GJ32" i="14" l="1"/>
  <c r="GJ34" i="14" s="1"/>
  <c r="GK4" i="14"/>
  <c r="GM13" i="14"/>
  <c r="GM17" i="14" s="1"/>
  <c r="GN17" i="14"/>
  <c r="GN31" i="14" s="1"/>
  <c r="GR13" i="14"/>
  <c r="GU1" i="14"/>
  <c r="GS3" i="10"/>
  <c r="GR31" i="10"/>
  <c r="GR33" i="10" s="1"/>
  <c r="HC1" i="10"/>
  <c r="GZ12" i="10"/>
  <c r="GV16" i="10"/>
  <c r="GV30" i="10" s="1"/>
  <c r="GU12" i="10"/>
  <c r="GU16" i="10" s="1"/>
  <c r="GO4" i="14" l="1"/>
  <c r="GN32" i="14"/>
  <c r="GN34" i="14" s="1"/>
  <c r="GY1" i="14"/>
  <c r="GV13" i="14"/>
  <c r="GR17" i="14"/>
  <c r="GR31" i="14" s="1"/>
  <c r="GQ13" i="14"/>
  <c r="GQ17" i="14" s="1"/>
  <c r="GY12" i="10"/>
  <c r="GY16" i="10" s="1"/>
  <c r="GZ16" i="10"/>
  <c r="GZ30" i="10" s="1"/>
  <c r="GW3" i="10"/>
  <c r="GV31" i="10"/>
  <c r="HG1" i="10"/>
  <c r="HD12" i="10"/>
  <c r="GS4" i="14" l="1"/>
  <c r="GR32" i="14"/>
  <c r="GV17" i="14"/>
  <c r="GV31" i="14" s="1"/>
  <c r="GU13" i="14"/>
  <c r="GU17" i="14" s="1"/>
  <c r="GZ13" i="14"/>
  <c r="HC1" i="14"/>
  <c r="GR34" i="14"/>
  <c r="HC12" i="10"/>
  <c r="HC16" i="10" s="1"/>
  <c r="HD16" i="10"/>
  <c r="HD30" i="10" s="1"/>
  <c r="HA3" i="10"/>
  <c r="GZ31" i="10"/>
  <c r="HK1" i="10"/>
  <c r="HH12" i="10"/>
  <c r="GV33" i="10"/>
  <c r="HG1" i="14" l="1"/>
  <c r="HD13" i="14"/>
  <c r="GZ17" i="14"/>
  <c r="GZ31" i="14" s="1"/>
  <c r="GY13" i="14"/>
  <c r="GY17" i="14" s="1"/>
  <c r="GW4" i="14"/>
  <c r="GV32" i="14"/>
  <c r="GV34" i="14" s="1"/>
  <c r="GZ33" i="10"/>
  <c r="HG12" i="10"/>
  <c r="HG16" i="10" s="1"/>
  <c r="HH16" i="10"/>
  <c r="HH30" i="10" s="1"/>
  <c r="HE3" i="10"/>
  <c r="HD31" i="10"/>
  <c r="HO1" i="10"/>
  <c r="HL12" i="10"/>
  <c r="HA4" i="14" l="1"/>
  <c r="GZ32" i="14"/>
  <c r="GZ34" i="14" s="1"/>
  <c r="HC13" i="14"/>
  <c r="HC17" i="14" s="1"/>
  <c r="HD17" i="14"/>
  <c r="HD31" i="14" s="1"/>
  <c r="HK1" i="14"/>
  <c r="HH13" i="14"/>
  <c r="HD33" i="10"/>
  <c r="HI3" i="10"/>
  <c r="HH31" i="10"/>
  <c r="HP12" i="10"/>
  <c r="HS1" i="10"/>
  <c r="HK12" i="10"/>
  <c r="HK16" i="10" s="1"/>
  <c r="HL16" i="10"/>
  <c r="HL30" i="10" s="1"/>
  <c r="HE4" i="14" l="1"/>
  <c r="HD32" i="14"/>
  <c r="HD34" i="14" s="1"/>
  <c r="HG13" i="14"/>
  <c r="HG17" i="14" s="1"/>
  <c r="HH17" i="14"/>
  <c r="HH31" i="14" s="1"/>
  <c r="HO1" i="14"/>
  <c r="HL13" i="14"/>
  <c r="HH33" i="10"/>
  <c r="HL31" i="10"/>
  <c r="HM3" i="10"/>
  <c r="HO12" i="10"/>
  <c r="HO16" i="10" s="1"/>
  <c r="HP16" i="10"/>
  <c r="HP30" i="10" s="1"/>
  <c r="HW1" i="10"/>
  <c r="HT12" i="10"/>
  <c r="HS1" i="14" l="1"/>
  <c r="HP13" i="14"/>
  <c r="HK13" i="14"/>
  <c r="HK17" i="14" s="1"/>
  <c r="HL17" i="14"/>
  <c r="HL31" i="14" s="1"/>
  <c r="HH32" i="14"/>
  <c r="HH34" i="14" s="1"/>
  <c r="HI4" i="14"/>
  <c r="HL33" i="10"/>
  <c r="HQ3" i="10"/>
  <c r="HP31" i="10"/>
  <c r="IA1" i="10"/>
  <c r="HX12" i="10"/>
  <c r="HT16" i="10"/>
  <c r="HT30" i="10" s="1"/>
  <c r="HS12" i="10"/>
  <c r="HS16" i="10" s="1"/>
  <c r="HM4" i="14" l="1"/>
  <c r="HL32" i="14"/>
  <c r="HL34" i="14" s="1"/>
  <c r="HP17" i="14"/>
  <c r="HP31" i="14" s="1"/>
  <c r="HO13" i="14"/>
  <c r="HO17" i="14" s="1"/>
  <c r="HW1" i="14"/>
  <c r="HT13" i="14"/>
  <c r="HP33" i="10"/>
  <c r="HU3" i="10"/>
  <c r="HT31" i="10"/>
  <c r="IB12" i="10"/>
  <c r="IE1" i="10"/>
  <c r="HW12" i="10"/>
  <c r="HW16" i="10" s="1"/>
  <c r="HX16" i="10"/>
  <c r="HX30" i="10" s="1"/>
  <c r="HT17" i="14" l="1"/>
  <c r="HT31" i="14" s="1"/>
  <c r="HS13" i="14"/>
  <c r="HS17" i="14" s="1"/>
  <c r="HQ4" i="14"/>
  <c r="HP32" i="14"/>
  <c r="HP34" i="14" s="1"/>
  <c r="HX13" i="14"/>
  <c r="IA1" i="14"/>
  <c r="HT33" i="10"/>
  <c r="IF12" i="10"/>
  <c r="II1" i="10"/>
  <c r="HY3" i="10"/>
  <c r="HX31" i="10"/>
  <c r="IA12" i="10"/>
  <c r="IA16" i="10" s="1"/>
  <c r="IB16" i="10"/>
  <c r="IB30" i="10" s="1"/>
  <c r="HW13" i="14" l="1"/>
  <c r="HW17" i="14" s="1"/>
  <c r="HX17" i="14"/>
  <c r="HX31" i="14" s="1"/>
  <c r="IB13" i="14"/>
  <c r="IE1" i="14"/>
  <c r="HT32" i="14"/>
  <c r="HT34" i="14" s="1"/>
  <c r="HU4" i="14"/>
  <c r="HX33" i="10"/>
  <c r="IC3" i="10"/>
  <c r="IB31" i="10"/>
  <c r="IM1" i="10"/>
  <c r="IJ12" i="10"/>
  <c r="IE12" i="10"/>
  <c r="IE16" i="10" s="1"/>
  <c r="IF16" i="10"/>
  <c r="IF30" i="10" s="1"/>
  <c r="IF13" i="14" l="1"/>
  <c r="II1" i="14"/>
  <c r="IB17" i="14"/>
  <c r="IB31" i="14" s="1"/>
  <c r="IA13" i="14"/>
  <c r="IA17" i="14" s="1"/>
  <c r="HX32" i="14"/>
  <c r="HX34" i="14" s="1"/>
  <c r="HY4" i="14"/>
  <c r="IB33" i="10"/>
  <c r="IG3" i="10"/>
  <c r="IF31" i="10"/>
  <c r="II12" i="10"/>
  <c r="II16" i="10" s="1"/>
  <c r="IJ16" i="10"/>
  <c r="IJ30" i="10" s="1"/>
  <c r="IQ1" i="10"/>
  <c r="IN12" i="10"/>
  <c r="IC4" i="14" l="1"/>
  <c r="IB32" i="14"/>
  <c r="IB34" i="14" s="1"/>
  <c r="IJ13" i="14"/>
  <c r="IM1" i="14"/>
  <c r="IE13" i="14"/>
  <c r="IE17" i="14" s="1"/>
  <c r="IF17" i="14"/>
  <c r="IF31" i="14" s="1"/>
  <c r="IF33" i="10"/>
  <c r="IK3" i="10"/>
  <c r="IJ31" i="10"/>
  <c r="IU1" i="10"/>
  <c r="IR12" i="10"/>
  <c r="IM12" i="10"/>
  <c r="IM16" i="10" s="1"/>
  <c r="IN16" i="10"/>
  <c r="IN30" i="10" s="1"/>
  <c r="IG4" i="14" l="1"/>
  <c r="IF32" i="14"/>
  <c r="IF34" i="14" s="1"/>
  <c r="II13" i="14"/>
  <c r="II17" i="14" s="1"/>
  <c r="IJ17" i="14"/>
  <c r="IJ31" i="14" s="1"/>
  <c r="IQ1" i="14"/>
  <c r="IN13" i="14"/>
  <c r="IJ33" i="10"/>
  <c r="IO3" i="10"/>
  <c r="IN31" i="10"/>
  <c r="C38" i="10" s="1"/>
  <c r="IR16" i="10"/>
  <c r="IR30" i="10" s="1"/>
  <c r="IQ12" i="10"/>
  <c r="IQ16" i="10" s="1"/>
  <c r="IY1" i="10"/>
  <c r="IV12" i="10"/>
  <c r="IM13" i="14" l="1"/>
  <c r="IM17" i="14" s="1"/>
  <c r="IN17" i="14"/>
  <c r="IN31" i="14" s="1"/>
  <c r="IU1" i="14"/>
  <c r="IR13" i="14"/>
  <c r="IJ32" i="14"/>
  <c r="IJ34" i="14" s="1"/>
  <c r="IK4" i="14"/>
  <c r="IN33" i="10"/>
  <c r="IS3" i="10"/>
  <c r="IR31" i="10"/>
  <c r="IU12" i="10"/>
  <c r="IU16" i="10" s="1"/>
  <c r="IV16" i="10"/>
  <c r="IV30" i="10" s="1"/>
  <c r="JC1" i="10"/>
  <c r="IZ12" i="10"/>
  <c r="IY1" i="14" l="1"/>
  <c r="IV13" i="14"/>
  <c r="IN32" i="14"/>
  <c r="IN34" i="14" s="1"/>
  <c r="IO4" i="14"/>
  <c r="IQ13" i="14"/>
  <c r="IQ17" i="14" s="1"/>
  <c r="IR17" i="14"/>
  <c r="IR31" i="14" s="1"/>
  <c r="C39" i="14"/>
  <c r="IR33" i="10"/>
  <c r="IW3" i="10"/>
  <c r="IV31" i="10"/>
  <c r="IY12" i="10"/>
  <c r="IY16" i="10" s="1"/>
  <c r="IZ16" i="10"/>
  <c r="IZ30" i="10" s="1"/>
  <c r="JG1" i="10"/>
  <c r="JD12" i="10"/>
  <c r="IS4" i="14" l="1"/>
  <c r="IR32" i="14"/>
  <c r="IR34" i="14" s="1"/>
  <c r="IV17" i="14"/>
  <c r="IV31" i="14" s="1"/>
  <c r="IU13" i="14"/>
  <c r="IU17" i="14" s="1"/>
  <c r="IZ13" i="14"/>
  <c r="JC1" i="14"/>
  <c r="IV33" i="10"/>
  <c r="JA3" i="10"/>
  <c r="IZ31" i="10"/>
  <c r="JC12" i="10"/>
  <c r="JC16" i="10" s="1"/>
  <c r="JD16" i="10"/>
  <c r="JD30" i="10" s="1"/>
  <c r="JK1" i="10"/>
  <c r="JH12" i="10"/>
  <c r="IY13" i="14" l="1"/>
  <c r="IY17" i="14" s="1"/>
  <c r="IZ17" i="14"/>
  <c r="IZ31" i="14" s="1"/>
  <c r="JG1" i="14"/>
  <c r="JD13" i="14"/>
  <c r="IW4" i="14"/>
  <c r="IV32" i="14"/>
  <c r="IV34" i="14" s="1"/>
  <c r="IZ33" i="10"/>
  <c r="JE3" i="10"/>
  <c r="JD31" i="10"/>
  <c r="JL12" i="10"/>
  <c r="JO1" i="10"/>
  <c r="JG12" i="10"/>
  <c r="JG16" i="10" s="1"/>
  <c r="JH16" i="10"/>
  <c r="JH30" i="10" s="1"/>
  <c r="JC13" i="14" l="1"/>
  <c r="JC17" i="14" s="1"/>
  <c r="JD17" i="14"/>
  <c r="JD31" i="14" s="1"/>
  <c r="JK1" i="14"/>
  <c r="JH13" i="14"/>
  <c r="JA4" i="14"/>
  <c r="IZ32" i="14"/>
  <c r="IZ34" i="14" s="1"/>
  <c r="JD33" i="10"/>
  <c r="JH31" i="10"/>
  <c r="JI3" i="10"/>
  <c r="JK12" i="10"/>
  <c r="JK16" i="10" s="1"/>
  <c r="JL16" i="10"/>
  <c r="JL30" i="10" s="1"/>
  <c r="JS1" i="10"/>
  <c r="JP12" i="10"/>
  <c r="JO1" i="14" l="1"/>
  <c r="JL13" i="14"/>
  <c r="JE4" i="14"/>
  <c r="JD32" i="14"/>
  <c r="JD34" i="14" s="1"/>
  <c r="JG13" i="14"/>
  <c r="JG17" i="14" s="1"/>
  <c r="JH17" i="14"/>
  <c r="JH31" i="14" s="1"/>
  <c r="JH33" i="10"/>
  <c r="JM3" i="10"/>
  <c r="JL31" i="10"/>
  <c r="JP16" i="10"/>
  <c r="JP30" i="10" s="1"/>
  <c r="JO12" i="10"/>
  <c r="JO16" i="10" s="1"/>
  <c r="JW1" i="10"/>
  <c r="JT12" i="10"/>
  <c r="JI4" i="14" l="1"/>
  <c r="JH32" i="14"/>
  <c r="JH34" i="14" s="1"/>
  <c r="JS1" i="14"/>
  <c r="JP13" i="14"/>
  <c r="JK13" i="14"/>
  <c r="JK17" i="14" s="1"/>
  <c r="JL17" i="14"/>
  <c r="JL31" i="14" s="1"/>
  <c r="JL33" i="10"/>
  <c r="JX12" i="10"/>
  <c r="KA1" i="10"/>
  <c r="JS12" i="10"/>
  <c r="JS16" i="10" s="1"/>
  <c r="JT16" i="10"/>
  <c r="JT30" i="10" s="1"/>
  <c r="JQ3" i="10"/>
  <c r="JP31" i="10"/>
  <c r="JP17" i="14" l="1"/>
  <c r="JP31" i="14" s="1"/>
  <c r="JO13" i="14"/>
  <c r="JO17" i="14" s="1"/>
  <c r="JW1" i="14"/>
  <c r="JT13" i="14"/>
  <c r="JL32" i="14"/>
  <c r="JL34" i="14" s="1"/>
  <c r="JM4" i="14"/>
  <c r="JP33" i="10"/>
  <c r="JU3" i="10"/>
  <c r="JT31" i="10"/>
  <c r="KB12" i="10"/>
  <c r="KE1" i="10"/>
  <c r="KF12" i="10" s="1"/>
  <c r="JW12" i="10"/>
  <c r="JW16" i="10" s="1"/>
  <c r="JX16" i="10"/>
  <c r="JX30" i="10" s="1"/>
  <c r="JT17" i="14" l="1"/>
  <c r="JT31" i="14" s="1"/>
  <c r="JS13" i="14"/>
  <c r="JS17" i="14" s="1"/>
  <c r="JQ4" i="14"/>
  <c r="JP32" i="14"/>
  <c r="JP34" i="14" s="1"/>
  <c r="JX13" i="14"/>
  <c r="KA1" i="14"/>
  <c r="KB13" i="14" s="1"/>
  <c r="JT33" i="10"/>
  <c r="JY3" i="10"/>
  <c r="JX31" i="10"/>
  <c r="KA12" i="10"/>
  <c r="KA16" i="10" s="1"/>
  <c r="KB16" i="10"/>
  <c r="KB30" i="10" s="1"/>
  <c r="KE12" i="10"/>
  <c r="KE16" i="10" s="1"/>
  <c r="KF16" i="10"/>
  <c r="KF30" i="10" s="1"/>
  <c r="JW13" i="14" l="1"/>
  <c r="JW17" i="14" s="1"/>
  <c r="JX17" i="14"/>
  <c r="JX31" i="14" s="1"/>
  <c r="JU4" i="14"/>
  <c r="JT32" i="14"/>
  <c r="JT34" i="14" s="1"/>
  <c r="KB17" i="14"/>
  <c r="KB31" i="14" s="1"/>
  <c r="KA13" i="14"/>
  <c r="KA17" i="14" s="1"/>
  <c r="JX33" i="10"/>
  <c r="KG3" i="10"/>
  <c r="KF31" i="10"/>
  <c r="KC3" i="10"/>
  <c r="KB31" i="10"/>
  <c r="JX32" i="14" l="1"/>
  <c r="JX34" i="14" s="1"/>
  <c r="JY4" i="14"/>
  <c r="KC4" i="14"/>
  <c r="KB32" i="14"/>
  <c r="KB33" i="10"/>
  <c r="KF33" i="10" s="1"/>
  <c r="KB34" i="14" l="1"/>
  <c r="D8" i="1"/>
  <c r="D9" i="1"/>
  <c r="D20" i="1"/>
  <c r="D26" i="1"/>
  <c r="D27" i="1"/>
  <c r="D28" i="1"/>
  <c r="D29" i="1"/>
  <c r="D30" i="1"/>
  <c r="D31" i="1"/>
  <c r="D32" i="1"/>
  <c r="D33" i="1"/>
  <c r="D34" i="1"/>
  <c r="D36" i="1"/>
  <c r="I37" i="1"/>
  <c r="I39" i="1"/>
  <c r="D40" i="1"/>
  <c r="I40" i="1"/>
  <c r="D44" i="1"/>
  <c r="I44" i="1"/>
  <c r="D46" i="1"/>
  <c r="I50" i="1"/>
  <c r="J50" i="1"/>
  <c r="K50" i="1"/>
  <c r="L50" i="1"/>
  <c r="M50" i="1"/>
  <c r="N50" i="1"/>
  <c r="O50" i="1"/>
  <c r="P50" i="1"/>
  <c r="Q50" i="1"/>
  <c r="R50" i="1"/>
  <c r="I51" i="1"/>
  <c r="J51" i="1"/>
  <c r="K51" i="1"/>
  <c r="L51" i="1"/>
  <c r="M51" i="1"/>
  <c r="N51" i="1"/>
  <c r="O51" i="1"/>
  <c r="P51" i="1"/>
  <c r="Q51" i="1"/>
  <c r="R51" i="1"/>
  <c r="I58" i="1"/>
  <c r="J58" i="1"/>
  <c r="K58" i="1"/>
  <c r="L58" i="1"/>
  <c r="M58" i="1"/>
  <c r="N58" i="1"/>
  <c r="O58" i="1"/>
  <c r="P58" i="1"/>
  <c r="Q58" i="1"/>
  <c r="R58" i="1"/>
  <c r="I60" i="1"/>
  <c r="J60" i="1"/>
  <c r="K60" i="1"/>
  <c r="L60" i="1"/>
  <c r="M60" i="1"/>
  <c r="N60" i="1"/>
  <c r="O60" i="1"/>
  <c r="P60" i="1"/>
  <c r="Q60" i="1"/>
  <c r="R60" i="1"/>
  <c r="I61" i="1"/>
  <c r="J61" i="1"/>
  <c r="K61" i="1"/>
  <c r="L61" i="1"/>
  <c r="M61" i="1"/>
  <c r="N61" i="1"/>
  <c r="O61" i="1"/>
  <c r="P61" i="1"/>
  <c r="Q61" i="1"/>
  <c r="R61" i="1"/>
  <c r="I67" i="1"/>
  <c r="J67" i="1"/>
  <c r="K67" i="1"/>
  <c r="L67" i="1"/>
  <c r="M67" i="1"/>
  <c r="N67" i="1"/>
  <c r="O67" i="1"/>
  <c r="P67" i="1"/>
  <c r="Q67" i="1"/>
  <c r="R67" i="1"/>
  <c r="I69" i="1"/>
  <c r="J69" i="1"/>
  <c r="K69" i="1"/>
  <c r="L69" i="1"/>
  <c r="M69" i="1"/>
  <c r="N69" i="1"/>
  <c r="O69" i="1"/>
  <c r="P69" i="1"/>
  <c r="Q69" i="1"/>
  <c r="R69" i="1"/>
  <c r="D74" i="1"/>
  <c r="I74" i="1"/>
  <c r="D75" i="1"/>
  <c r="I75" i="1"/>
  <c r="D87" i="1"/>
  <c r="I87" i="1"/>
  <c r="J87" i="1"/>
  <c r="K87" i="1"/>
  <c r="L87" i="1"/>
  <c r="M87" i="1"/>
  <c r="N87" i="1"/>
  <c r="O87" i="1"/>
  <c r="P87" i="1"/>
  <c r="Q87" i="1"/>
  <c r="R87" i="1"/>
  <c r="D89" i="1"/>
  <c r="I89" i="1"/>
  <c r="J90" i="1"/>
  <c r="K90" i="1"/>
  <c r="L90" i="1"/>
  <c r="M90" i="1"/>
  <c r="N90" i="1"/>
  <c r="O90" i="1"/>
  <c r="P90" i="1"/>
  <c r="Q90" i="1"/>
  <c r="R90" i="1"/>
  <c r="I91" i="1"/>
  <c r="J91" i="1"/>
  <c r="K91" i="1"/>
  <c r="L91" i="1"/>
  <c r="M91" i="1"/>
  <c r="N91" i="1"/>
  <c r="O91" i="1"/>
  <c r="P91" i="1"/>
  <c r="Q91" i="1"/>
  <c r="R91" i="1"/>
  <c r="J103" i="1"/>
  <c r="K103" i="1"/>
  <c r="L103" i="1"/>
  <c r="M103" i="1"/>
  <c r="N103" i="1"/>
  <c r="O103" i="1"/>
  <c r="P103" i="1"/>
  <c r="Q103" i="1"/>
  <c r="R103" i="1"/>
  <c r="I105" i="1"/>
  <c r="J105" i="1"/>
  <c r="K105" i="1"/>
  <c r="L105" i="1"/>
  <c r="M105" i="1"/>
  <c r="N105" i="1"/>
  <c r="O105" i="1"/>
  <c r="P105" i="1"/>
  <c r="Q105" i="1"/>
  <c r="R105" i="1"/>
  <c r="J128" i="1"/>
  <c r="K128" i="1"/>
  <c r="L128" i="1"/>
  <c r="M128" i="1"/>
  <c r="N128" i="1"/>
  <c r="O128" i="1"/>
  <c r="P128" i="1"/>
  <c r="Q128" i="1"/>
  <c r="R128" i="1"/>
  <c r="I130" i="1"/>
  <c r="J130" i="1"/>
  <c r="K130" i="1"/>
  <c r="L130" i="1"/>
  <c r="M130" i="1"/>
  <c r="N130" i="1"/>
  <c r="O130" i="1"/>
  <c r="P130" i="1"/>
  <c r="Q130" i="1"/>
  <c r="R130" i="1"/>
  <c r="I134" i="1"/>
  <c r="I135" i="1"/>
  <c r="I152" i="1"/>
  <c r="I153" i="1"/>
  <c r="I154" i="1"/>
  <c r="I156" i="1"/>
  <c r="I159" i="1"/>
  <c r="I160" i="1"/>
  <c r="D2" i="4"/>
  <c r="D3" i="4"/>
  <c r="D4" i="4"/>
  <c r="D6" i="4"/>
  <c r="E9" i="4"/>
  <c r="E10" i="4"/>
  <c r="E11" i="4"/>
  <c r="E12" i="4"/>
  <c r="E14" i="4"/>
  <c r="E15" i="4"/>
  <c r="E16" i="4"/>
  <c r="E17" i="4"/>
  <c r="E19" i="4"/>
  <c r="E20" i="4"/>
  <c r="E21" i="4"/>
  <c r="E22" i="4"/>
  <c r="E24" i="4"/>
  <c r="E25" i="4"/>
  <c r="B26" i="4"/>
  <c r="E26" i="4"/>
  <c r="E27" i="4"/>
  <c r="B28" i="4"/>
  <c r="E28" i="4"/>
  <c r="B30" i="4"/>
  <c r="E30" i="4"/>
  <c r="B32" i="4"/>
  <c r="B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<sst xmlns="http://schemas.openxmlformats.org/spreadsheetml/2006/main" count="5278" uniqueCount="250">
  <si>
    <t>First Year</t>
  </si>
  <si>
    <t>X</t>
  </si>
  <si>
    <t>Premissas</t>
  </si>
  <si>
    <t>D&amp;A (% Imob. e Intang.)</t>
  </si>
  <si>
    <t>Juros (% Dívida)</t>
  </si>
  <si>
    <t>Capex (R$)</t>
  </si>
  <si>
    <t>Unidade</t>
  </si>
  <si>
    <t>DRE</t>
  </si>
  <si>
    <t>Deduções Das Receitas</t>
  </si>
  <si>
    <t>Impostos sobre vendas</t>
  </si>
  <si>
    <t>Devoluções</t>
  </si>
  <si>
    <t>Receita Operacional Líquida</t>
  </si>
  <si>
    <t>Custo dos Produtos Vendidos</t>
  </si>
  <si>
    <t>Lucro Operacional Bruto</t>
  </si>
  <si>
    <t>Resultado Operacional</t>
  </si>
  <si>
    <t>Outros Resultados</t>
  </si>
  <si>
    <t>EBITDA</t>
  </si>
  <si>
    <t>Lucro Antes do Resultado Financeiro (EBIT)</t>
  </si>
  <si>
    <t>Receita Financeira</t>
  </si>
  <si>
    <t>Despesas Financeira</t>
  </si>
  <si>
    <t>Lucro Antes dos Impostos (EBT)</t>
  </si>
  <si>
    <t>Imposto de Renda Pessoa Jurídica - IRPJ</t>
  </si>
  <si>
    <t>Contribuição Social s/Lucro Líquido - CSLL</t>
  </si>
  <si>
    <t>Lucro Líquido Do Exercício</t>
  </si>
  <si>
    <t>CPV (% Faturamento)</t>
  </si>
  <si>
    <t>Receita Operacional Bruta</t>
  </si>
  <si>
    <t>Receita Financeira Líquida</t>
  </si>
  <si>
    <t>Crescimento da Receita (Var %)</t>
  </si>
  <si>
    <t>Prazo Médio de Recebimento (Dias)</t>
  </si>
  <si>
    <t>Prazo Médio de Estoque (Dias)</t>
  </si>
  <si>
    <t>Prazo Médio de Pagamentos (Dias)</t>
  </si>
  <si>
    <t>Captação Empréstimos (Pagamentos) (R$)</t>
  </si>
  <si>
    <t>SG&amp;A</t>
  </si>
  <si>
    <t>D&amp;A</t>
  </si>
  <si>
    <t>DFC</t>
  </si>
  <si>
    <t>CFO</t>
  </si>
  <si>
    <t>Var. NCG</t>
  </si>
  <si>
    <t>CFI</t>
  </si>
  <si>
    <t>CFF</t>
  </si>
  <si>
    <t>Outros</t>
  </si>
  <si>
    <t>Var. Caixa</t>
  </si>
  <si>
    <t>Abertura do Caixa</t>
  </si>
  <si>
    <t>Posição Final de Caixa</t>
  </si>
  <si>
    <t>Empresa:</t>
  </si>
  <si>
    <t>BP</t>
  </si>
  <si>
    <t>Ativo Circulante</t>
  </si>
  <si>
    <t>Caixa</t>
  </si>
  <si>
    <t>Contas a Receber</t>
  </si>
  <si>
    <t>Estoques</t>
  </si>
  <si>
    <t>Ativo Não Circulante</t>
  </si>
  <si>
    <t>Imobilizado e Intangível</t>
  </si>
  <si>
    <t>Total do Ativo</t>
  </si>
  <si>
    <t>Passivo Circulante</t>
  </si>
  <si>
    <t>Contas a Pagar</t>
  </si>
  <si>
    <t>Empréstimos e Financiamentos</t>
  </si>
  <si>
    <t>Passivo Não Circulante</t>
  </si>
  <si>
    <t>Total do Passivo</t>
  </si>
  <si>
    <t>Patrimônio Líquido</t>
  </si>
  <si>
    <t>Passivo + PL</t>
  </si>
  <si>
    <t>Check</t>
  </si>
  <si>
    <t>Tabela Auxiliar</t>
  </si>
  <si>
    <t>Posição Inicial da Dívida</t>
  </si>
  <si>
    <t>NCG</t>
  </si>
  <si>
    <t>Dívida</t>
  </si>
  <si>
    <t>Posição Final da Dívida</t>
  </si>
  <si>
    <t>(-) Juros</t>
  </si>
  <si>
    <t>(-) Dividendos Pagos</t>
  </si>
  <si>
    <t>Variação dos Empréstimos</t>
  </si>
  <si>
    <t>(+) Lucro Líquido</t>
  </si>
  <si>
    <t>(+) D&amp;A</t>
  </si>
  <si>
    <t>(+) Var. NCG</t>
  </si>
  <si>
    <t>(+) Capex</t>
  </si>
  <si>
    <t>(+) Variação dos Empréstimos</t>
  </si>
  <si>
    <t>SG&amp;A (% Faturamento)</t>
  </si>
  <si>
    <t>Indicadores</t>
  </si>
  <si>
    <t>CDI</t>
  </si>
  <si>
    <t>IPCA</t>
  </si>
  <si>
    <t>Imobilizado</t>
  </si>
  <si>
    <t>Abertura Imobilizado</t>
  </si>
  <si>
    <t>(+) CapEx</t>
  </si>
  <si>
    <t>Imobilizado Final</t>
  </si>
  <si>
    <t>(-) D&amp;A (Inputar manual)</t>
  </si>
  <si>
    <t>Revolver</t>
  </si>
  <si>
    <t>Caixa Disponível</t>
  </si>
  <si>
    <t>Var. dos Empréstimos do Não Circulante</t>
  </si>
  <si>
    <t>Dividendos Pagos</t>
  </si>
  <si>
    <t>Caixa Disponível Revolver</t>
  </si>
  <si>
    <t>Revolver Inicial</t>
  </si>
  <si>
    <t>Var. no Revolver</t>
  </si>
  <si>
    <t>Revolver Final</t>
  </si>
  <si>
    <t>Necessidade de Capital de Giro (NCG) (Inputar Manual)</t>
  </si>
  <si>
    <t>Juros do Revolver</t>
  </si>
  <si>
    <t>Taxa de Juros do Revolver</t>
  </si>
  <si>
    <t>Juros</t>
  </si>
  <si>
    <t>Juros Revolver (% Dívida)</t>
  </si>
  <si>
    <t>Total de Juros Revolver + LP</t>
  </si>
  <si>
    <t>DCF</t>
  </si>
  <si>
    <t>Parâmetros</t>
  </si>
  <si>
    <t>IR</t>
  </si>
  <si>
    <t>Crescimento na Perpetuidade</t>
  </si>
  <si>
    <t>Múltiplo EV/EBITDA</t>
  </si>
  <si>
    <t>Data Final do Ano</t>
  </si>
  <si>
    <t>Data do DCF</t>
  </si>
  <si>
    <t>Fluxo de Caixa Descontado</t>
  </si>
  <si>
    <t>Taxa de Desconto</t>
  </si>
  <si>
    <t>Entrada</t>
  </si>
  <si>
    <t>Saída</t>
  </si>
  <si>
    <t>Data</t>
  </si>
  <si>
    <t>Período</t>
  </si>
  <si>
    <t>Fração do Ano</t>
  </si>
  <si>
    <t>EBIT</t>
  </si>
  <si>
    <t>(-) Impostos</t>
  </si>
  <si>
    <t>NOPAT</t>
  </si>
  <si>
    <t>(-) D&amp;A</t>
  </si>
  <si>
    <t>EBIDA</t>
  </si>
  <si>
    <t>(-) CapEx</t>
  </si>
  <si>
    <t>FCFF</t>
  </si>
  <si>
    <t>FCFF Sensibilizado pelo Período</t>
  </si>
  <si>
    <t>TIR</t>
  </si>
  <si>
    <t xml:space="preserve"> </t>
  </si>
  <si>
    <t>Sacas/ano</t>
  </si>
  <si>
    <t>Preço da Saca</t>
  </si>
  <si>
    <t>https://www.bcb.gov.br/content/focus/focus/R20241227.pdf</t>
  </si>
  <si>
    <t>Prêmio Café Especial</t>
  </si>
  <si>
    <t>Conversa com Torrador</t>
  </si>
  <si>
    <t>Vendas (Unidades de 250g/Ano)</t>
  </si>
  <si>
    <t>Preço da Unidade (R$/Unidades de 250g)</t>
  </si>
  <si>
    <t>https://www.contabilizei.com.br/contabilidade-online/tabela-simples-nacional-completa/</t>
  </si>
  <si>
    <t>Devoluções (% Faturamento)</t>
  </si>
  <si>
    <t>Alíquota Simples Nacional (Anexo 2)</t>
  </si>
  <si>
    <t>Preço da Saca (R$)</t>
  </si>
  <si>
    <t>https://www.noticiasagricolas.com.br/cotacoes/cafe</t>
  </si>
  <si>
    <t>Exemplo de Empresa</t>
  </si>
  <si>
    <t>https://www.3coracoes.com.br/wp-content/uploads/2024/08/Demonstracoes-Financeira-2023-Tres-Coracoes-Alimentos-SA-BR-GAAP.pdf?x20808</t>
  </si>
  <si>
    <t>Outras Receitas (Despesas) Operacionais (% Faturamento)</t>
  </si>
  <si>
    <t>https://www.dme-pc.com.br/atendimento/tarifas</t>
  </si>
  <si>
    <t>Tributos (Não se Aplica no Simples)</t>
  </si>
  <si>
    <t>Sacas Compradas (Sacas/Ano)</t>
  </si>
  <si>
    <t>Preço GLP</t>
  </si>
  <si>
    <t>https://precos.petrobras.com.br/sele%C3%A7%C3%A3o-de-estados-glp</t>
  </si>
  <si>
    <t>Consumo GLP</t>
  </si>
  <si>
    <t>Consumo de Energia</t>
  </si>
  <si>
    <t>Preço Água</t>
  </si>
  <si>
    <t>Consumo Água</t>
  </si>
  <si>
    <t>https://kaffeetorradores.com/product/torrador-basico-15kg/</t>
  </si>
  <si>
    <t>Energia (R$/kWh) Grupo A4 - Modalidade Tarifária Verde</t>
  </si>
  <si>
    <t>R$</t>
  </si>
  <si>
    <t>Custos de torra</t>
  </si>
  <si>
    <t>Custos materiais</t>
  </si>
  <si>
    <t>Torrefação</t>
  </si>
  <si>
    <t>Tabela II Simples</t>
  </si>
  <si>
    <t>Preço café verde (R$/kg)</t>
  </si>
  <si>
    <t>Custos na torrefação</t>
  </si>
  <si>
    <t>Produção mensal (kg)</t>
  </si>
  <si>
    <t>Inclui INSS e FGTS</t>
  </si>
  <si>
    <t>Pacotinhos</t>
  </si>
  <si>
    <t>Saldo Devedor</t>
  </si>
  <si>
    <t>Volume</t>
  </si>
  <si>
    <t>Custos Mensais</t>
  </si>
  <si>
    <t>Ano</t>
  </si>
  <si>
    <t>Amortização</t>
  </si>
  <si>
    <t>Indexador</t>
  </si>
  <si>
    <t>CDI+</t>
  </si>
  <si>
    <t>Custos Anuais</t>
  </si>
  <si>
    <t>Prazo</t>
  </si>
  <si>
    <t>Custos Flat</t>
  </si>
  <si>
    <t>Carência Amort.</t>
  </si>
  <si>
    <t>Fundo de Despesa</t>
  </si>
  <si>
    <t>Data estimada emissão</t>
  </si>
  <si>
    <t>Trigger</t>
  </si>
  <si>
    <t>Mensal</t>
  </si>
  <si>
    <t>Fundo de Reserva</t>
  </si>
  <si>
    <t>Tipo Amortização</t>
  </si>
  <si>
    <t>SAC</t>
  </si>
  <si>
    <t>Volume Líquido</t>
  </si>
  <si>
    <t>#</t>
  </si>
  <si>
    <t>DATA</t>
  </si>
  <si>
    <t>AMORTIZAÇÃO</t>
  </si>
  <si>
    <t>TAXA EFETIVA</t>
  </si>
  <si>
    <t>JUROS</t>
  </si>
  <si>
    <t>PARCELA</t>
  </si>
  <si>
    <t>SALDO DEVEDOR</t>
  </si>
  <si>
    <t>Preço por pacotinho</t>
  </si>
  <si>
    <t>ANO</t>
  </si>
  <si>
    <t>Faturamento</t>
  </si>
  <si>
    <t>Lucro</t>
  </si>
  <si>
    <t>Margem</t>
  </si>
  <si>
    <t>Máquina de torra seminova</t>
  </si>
  <si>
    <t>Balança de comércio</t>
  </si>
  <si>
    <t>6 meses de aluguel</t>
  </si>
  <si>
    <t>Seguro</t>
  </si>
  <si>
    <t>Marketing</t>
  </si>
  <si>
    <t>Identidade visual</t>
  </si>
  <si>
    <t>Site</t>
  </si>
  <si>
    <t>Total</t>
  </si>
  <si>
    <t>CPV</t>
  </si>
  <si>
    <t>Outros Custos</t>
  </si>
  <si>
    <t>Peso do Pacotinho</t>
  </si>
  <si>
    <t>%</t>
  </si>
  <si>
    <t>Impostos (% Simples nacional)</t>
  </si>
  <si>
    <t>1 mês de aluguel</t>
  </si>
  <si>
    <t>1 mês de contabilidade</t>
  </si>
  <si>
    <t>Despesas</t>
  </si>
  <si>
    <t>Receitas</t>
  </si>
  <si>
    <t>Total receitas</t>
  </si>
  <si>
    <t>Venda de café</t>
  </si>
  <si>
    <t>Impostos Simples</t>
  </si>
  <si>
    <t>Preço Saca de Café</t>
  </si>
  <si>
    <t>Sacas vendidas</t>
  </si>
  <si>
    <t>Frete do café verde</t>
  </si>
  <si>
    <t>Pacotes</t>
  </si>
  <si>
    <t>Trabalho direto</t>
  </si>
  <si>
    <t>Outros materiais</t>
  </si>
  <si>
    <t>Aluguel do galpão</t>
  </si>
  <si>
    <t>Custo café verde</t>
  </si>
  <si>
    <t>Perda de peso na torra</t>
  </si>
  <si>
    <t>Água e luz</t>
  </si>
  <si>
    <t xml:space="preserve">GLP </t>
  </si>
  <si>
    <t>Perdas operacionais</t>
  </si>
  <si>
    <t>Pró-labore</t>
  </si>
  <si>
    <t>Marketing e Contabilidade</t>
  </si>
  <si>
    <t>Acumulado</t>
  </si>
  <si>
    <t>Despesas variáveis</t>
  </si>
  <si>
    <t>Despesas fixas</t>
  </si>
  <si>
    <t>Despesas iniciais</t>
  </si>
  <si>
    <t>Custos totais</t>
  </si>
  <si>
    <t>Outros custos</t>
  </si>
  <si>
    <t>Lucro mês</t>
  </si>
  <si>
    <t>12 meses de café</t>
  </si>
  <si>
    <t/>
  </si>
  <si>
    <t>✓</t>
  </si>
  <si>
    <t>6 meses de contabilidade</t>
  </si>
  <si>
    <t>PRÓXIMO PASSO: CONSERTAR OS JUROS E IMPOSTOS</t>
  </si>
  <si>
    <t>Faixa</t>
  </si>
  <si>
    <t>Alíquota</t>
  </si>
  <si>
    <t>1ª Faixa</t>
  </si>
  <si>
    <t>2ª Faixa</t>
  </si>
  <si>
    <t>3ª Faixa</t>
  </si>
  <si>
    <t>4ª Faixa</t>
  </si>
  <si>
    <t>5ª Faixa</t>
  </si>
  <si>
    <t>6ª Faixa</t>
  </si>
  <si>
    <t>Limite inferior últimos 12 meses</t>
  </si>
  <si>
    <t>VPL</t>
  </si>
  <si>
    <t>Quantidade</t>
  </si>
  <si>
    <t>Receita</t>
  </si>
  <si>
    <t>Custo fixo</t>
  </si>
  <si>
    <t>Custo variável</t>
  </si>
  <si>
    <t>Custo total</t>
  </si>
  <si>
    <t>Preço de venda</t>
  </si>
  <si>
    <t>Custo variável por unidade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</si>
</sst>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8" formatCode="&quot;R$&quot;\ #,##0.00;[Red]\-&quot;R$&quot;\ #,##0.00"/>
    <numFmt numFmtId="164" formatCode="0\P"/>
    <numFmt numFmtId="165" formatCode="#,##0_);\(#,##0\)"/>
    <numFmt numFmtId="166" formatCode="0.0%"/>
    <numFmt numFmtId="167" formatCode="0.00\ \p\o\r\ \k\g"/>
    <numFmt numFmtId="168" formatCode="#,#00\ &quot;unidades&quot;"/>
    <numFmt numFmtId="169" formatCode="0\ &quot;R$ p/ unidade&quot;"/>
    <numFmt numFmtId="170" formatCode="0.00&quot;kg&quot;"/>
    <numFmt numFmtId="171" formatCode="#,##0&quot; meses&quot;"/>
    <numFmt numFmtId="172" formatCode="0%\ &quot;markup&quot;"/>
    <numFmt numFmtId="173" formatCode="#,##0\ &quot;p/ mês&quot;"/>
    <numFmt numFmtId="174" formatCode="#,##0\ &quot;p/ saca&quot;"/>
    <numFmt numFmtId="175" formatCode="0.00000%"/>
    <numFmt numFmtId="176" formatCode="&quot;Mês&quot;\ 0"/>
    <numFmt numFmtId="177" formatCode="0\ &quot;sacas vendidas&quot;"/>
    <numFmt numFmtId="178" formatCode="0\ &quot;Reais por pacotinho&quot;"/>
    <numFmt numFmtId="179" formatCode="0.00\ &quot;fator de crescimento&quot;"/>
    <numFmt numFmtId="180" formatCode="0\ &quot;meses de café&quot;"/>
  </numFmts>
  <fonts count="23" x14ac:knownFonts="1">
    <font>
      <sz val="11"/>
      <color theme="1"/>
      <name val="Calibri"/>
      <family val="2"/>
      <scheme val="minor"/>
    </font>
    <font>
      <sz val="11"/>
      <color theme="1"/>
      <name val="Leelawadee"/>
      <family val="2"/>
    </font>
    <font>
      <sz val="11"/>
      <color theme="1"/>
      <name val="Leelawadee"/>
      <family val="2"/>
    </font>
    <font>
      <sz val="11"/>
      <color theme="1"/>
      <name val="Leelawadee"/>
      <family val="2"/>
    </font>
    <font>
      <sz val="11"/>
      <color theme="1"/>
      <name val="Leelawadee"/>
      <family val="2"/>
    </font>
    <font>
      <sz val="11"/>
      <color theme="1"/>
      <name val="Leelawadee"/>
      <family val="2"/>
    </font>
    <font>
      <sz val="11"/>
      <color theme="1"/>
      <name val="Calibri"/>
      <family val="2"/>
      <scheme val="minor"/>
    </font>
    <font>
      <b/>
      <sz val="11"/>
      <color theme="0"/>
      <name val="Leelawadee"/>
      <family val="2"/>
    </font>
    <font>
      <b/>
      <sz val="11"/>
      <color theme="1"/>
      <name val="Leelawadee"/>
      <family val="2"/>
    </font>
    <font>
      <sz val="10"/>
      <color rgb="FF000000"/>
      <name val="Times New Roman"/>
      <family val="1"/>
    </font>
    <font>
      <b/>
      <sz val="11"/>
      <name val="Leelawadee"/>
      <family val="2"/>
    </font>
    <font>
      <sz val="11"/>
      <name val="Leelawadee"/>
      <family val="2"/>
    </font>
    <font>
      <b/>
      <sz val="11"/>
      <color rgb="FF000000"/>
      <name val="Leelawadee"/>
      <family val="2"/>
    </font>
    <font>
      <i/>
      <u/>
      <sz val="11"/>
      <color theme="1"/>
      <name val="Leelawadee"/>
      <family val="2"/>
    </font>
    <font>
      <i/>
      <sz val="11"/>
      <color rgb="FF000000"/>
      <name val="Leelawadee"/>
      <family val="2"/>
    </font>
    <font>
      <sz val="11"/>
      <color rgb="FFFF0000"/>
      <name val="Leelawadee"/>
      <family val="2"/>
    </font>
    <font>
      <u/>
      <sz val="11"/>
      <color theme="10"/>
      <name val="Calibri"/>
      <family val="2"/>
      <scheme val="minor"/>
    </font>
    <font>
      <b/>
      <sz val="12"/>
      <color theme="1"/>
      <name val="Leelawadee"/>
      <family val="2"/>
    </font>
    <font>
      <sz val="11"/>
      <color theme="0"/>
      <name val="Leelawadee"/>
      <family val="2"/>
    </font>
    <font>
      <sz val="11"/>
      <color rgb="FF0070C0"/>
      <name val="Leelawadee"/>
      <family val="2"/>
    </font>
    <font>
      <sz val="11"/>
      <color theme="5" tint="-0.249977111117893"/>
      <name val="Leelawadee"/>
      <family val="2"/>
    </font>
    <font>
      <sz val="11"/>
      <color theme="7" tint="-0.249977111117893"/>
      <name val="Leelawadee"/>
      <family val="2"/>
    </font>
    <font>
      <sz val="8"/>
      <name val="Calibri"/>
      <family val="2"/>
      <scheme val="minor"/>
    </font>
  </fonts>
  <fills count="8">
    <fill>
      <patternFill patternType="none"/>
    </fill>
    <fill>
      <patternFill patternType="gray125"/>
    </fill>
    <fill>
      <patternFill patternType="solid">
        <fgColor theme="0"/>
        <bgColor indexed="64"/>
      </patternFill>
    </fill>
    <fill>
      <patternFill patternType="solid">
        <fgColor rgb="FFE7E6E6"/>
        <bgColor indexed="64"/>
      </patternFill>
    </fill>
    <fill>
      <patternFill patternType="solid">
        <fgColor theme="0"/>
        <bgColor theme="0"/>
      </patternFill>
    </fill>
    <fill>
      <patternFill patternType="solid">
        <fgColor rgb="FF634832"/>
        <bgColor indexed="64"/>
      </patternFill>
    </fill>
    <fill>
      <patternFill patternType="solid">
        <fgColor theme="7" tint="0.59999389629810485"/>
        <bgColor indexed="64"/>
      </patternFill>
    </fill>
    <fill>
      <patternFill patternType="solid">
        <fgColor rgb="FFFFC000"/>
        <bgColor indexed="64"/>
      </patternFill>
    </fill>
  </fills>
  <borders count="4">
    <border>
      <left/>
      <right/>
      <top/>
      <bottom/>
      <diagonal/>
    </border>
    <border>
      <left/>
      <right/>
      <top style="thin">
        <color indexed="64"/>
      </top>
      <bottom style="thin">
        <color indexed="64"/>
      </bottom>
      <diagonal/>
    </border>
    <border>
      <left/>
      <right style="thin">
        <color indexed="64"/>
      </right>
      <top/>
      <bottom/>
      <diagonal/>
    </border>
    <border>
      <left/>
      <right/>
      <top/>
      <bottom style="thin">
        <color indexed="64"/>
      </bottom>
      <diagonal/>
    </border>
  </borders>
  <cellStyleXfs count="4">
    <xf numFmtId="0" fontId="0" fillId="0" borderId="0"/>
    <xf numFmtId="9" fontId="6" fillId="0" borderId="0" applyFont="0" applyFill="0" applyBorder="0" applyAlignment="0" applyProtection="0"/>
    <xf numFmtId="0" fontId="9" fillId="0" borderId="0"/>
    <xf numFmtId="0" fontId="16" fillId="0" borderId="0" applyNumberFormat="0" applyFill="0" applyBorder="0" applyAlignment="0" applyProtection="0"/>
  </cellStyleXfs>
  <cellXfs count="131">
    <xf numFmtId="0" fontId="0" fillId="0" borderId="0" xfId="0"/>
    <xf numFmtId="0" fontId="8" fillId="0" borderId="0" xfId="0"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4" fillId="0" borderId="0" xfId="0" applyFont="1" applyAlignment="1">
      <alignment horizontal="left" vertical="center"/>
    </xf>
    <xf numFmtId="0" fontId="5" fillId="0" borderId="0" xfId="0" applyFont="1" applyAlignment="1">
      <alignment horizontal="left" vertical="center"/>
    </xf>
    <xf numFmtId="0" fontId="10" fillId="2" borderId="0" xfId="2" applyFont="1" applyFill="1" applyAlignment="1">
      <alignment horizontal="left" vertical="top" indent="2"/>
    </xf>
    <xf numFmtId="0" fontId="11" fillId="2" borderId="0" xfId="2" applyFont="1" applyFill="1" applyAlignment="1">
      <alignment horizontal="left" vertical="top" indent="5"/>
    </xf>
    <xf numFmtId="0" fontId="10" fillId="3" borderId="1" xfId="2" applyFont="1" applyFill="1" applyBorder="1" applyAlignment="1">
      <alignment horizontal="left" vertical="top" indent="1"/>
    </xf>
    <xf numFmtId="0" fontId="10" fillId="2" borderId="0" xfId="2" applyFont="1" applyFill="1" applyAlignment="1">
      <alignment horizontal="left" vertical="center" indent="2"/>
    </xf>
    <xf numFmtId="0" fontId="11" fillId="2" borderId="0" xfId="2" applyFont="1" applyFill="1" applyAlignment="1">
      <alignment horizontal="left" vertical="center" indent="5"/>
    </xf>
    <xf numFmtId="165" fontId="12" fillId="4" borderId="0" xfId="0" applyNumberFormat="1" applyFont="1" applyFill="1" applyAlignment="1">
      <alignment horizontal="center" vertical="center" shrinkToFit="1"/>
    </xf>
    <xf numFmtId="0" fontId="10" fillId="2" borderId="0" xfId="2" applyFont="1" applyFill="1" applyAlignment="1">
      <alignment horizontal="center" vertical="center"/>
    </xf>
    <xf numFmtId="0" fontId="11" fillId="2" borderId="0" xfId="2" applyFont="1" applyFill="1" applyAlignment="1">
      <alignment horizontal="center" vertical="center"/>
    </xf>
    <xf numFmtId="0" fontId="10" fillId="3" borderId="1" xfId="2" applyFont="1" applyFill="1" applyBorder="1" applyAlignment="1">
      <alignment horizontal="center" vertical="center"/>
    </xf>
    <xf numFmtId="0" fontId="11" fillId="2" borderId="0" xfId="2" applyFont="1" applyFill="1" applyAlignment="1">
      <alignment horizontal="left" vertical="center" indent="2"/>
    </xf>
    <xf numFmtId="165" fontId="10" fillId="3" borderId="1" xfId="2" applyNumberFormat="1" applyFont="1" applyFill="1" applyBorder="1" applyAlignment="1">
      <alignment horizontal="center" vertical="center"/>
    </xf>
    <xf numFmtId="165" fontId="5" fillId="0" borderId="0" xfId="0" applyNumberFormat="1" applyFont="1" applyAlignment="1">
      <alignment horizontal="center" vertical="center"/>
    </xf>
    <xf numFmtId="165" fontId="11" fillId="2" borderId="0" xfId="2" applyNumberFormat="1" applyFont="1" applyFill="1" applyAlignment="1">
      <alignment horizontal="center" vertical="center"/>
    </xf>
    <xf numFmtId="165" fontId="8" fillId="0" borderId="0" xfId="0" applyNumberFormat="1" applyFont="1" applyAlignment="1">
      <alignment horizontal="center" vertical="center"/>
    </xf>
    <xf numFmtId="165" fontId="10" fillId="2" borderId="0" xfId="2" applyNumberFormat="1" applyFont="1" applyFill="1" applyAlignment="1">
      <alignment horizontal="center" vertical="center"/>
    </xf>
    <xf numFmtId="0" fontId="8" fillId="0" borderId="0" xfId="0" applyFont="1" applyAlignment="1">
      <alignment horizontal="left" vertical="center"/>
    </xf>
    <xf numFmtId="0" fontId="10" fillId="3" borderId="1" xfId="2" applyFont="1" applyFill="1" applyBorder="1" applyAlignment="1">
      <alignment horizontal="left" vertical="top"/>
    </xf>
    <xf numFmtId="3" fontId="12" fillId="3" borderId="1" xfId="2" applyNumberFormat="1" applyFont="1" applyFill="1" applyBorder="1" applyAlignment="1">
      <alignment horizontal="center" vertical="center" shrinkToFit="1"/>
    </xf>
    <xf numFmtId="0" fontId="2" fillId="0" borderId="0" xfId="0" applyFont="1" applyAlignment="1">
      <alignment horizontal="left" vertical="center"/>
    </xf>
    <xf numFmtId="3" fontId="10" fillId="3" borderId="1" xfId="2" applyNumberFormat="1" applyFont="1" applyFill="1" applyBorder="1" applyAlignment="1">
      <alignment horizontal="center" vertical="top"/>
    </xf>
    <xf numFmtId="0" fontId="13" fillId="0" borderId="0" xfId="0" applyFont="1" applyAlignment="1">
      <alignment horizontal="center" vertical="center"/>
    </xf>
    <xf numFmtId="3" fontId="5" fillId="0" borderId="0" xfId="0" applyNumberFormat="1" applyFont="1" applyAlignment="1">
      <alignment horizontal="center" vertical="center"/>
    </xf>
    <xf numFmtId="3" fontId="14" fillId="2" borderId="0" xfId="2" applyNumberFormat="1" applyFont="1" applyFill="1" applyAlignment="1">
      <alignment horizontal="center" vertical="center"/>
    </xf>
    <xf numFmtId="0" fontId="3" fillId="0" borderId="0" xfId="0" applyFont="1" applyAlignment="1">
      <alignment horizontal="left" vertical="center"/>
    </xf>
    <xf numFmtId="0" fontId="4" fillId="2" borderId="0" xfId="0" applyFont="1" applyFill="1" applyAlignment="1">
      <alignment horizontal="center" vertical="center"/>
    </xf>
    <xf numFmtId="1" fontId="7" fillId="2" borderId="0" xfId="2" applyNumberFormat="1" applyFont="1" applyFill="1" applyAlignment="1">
      <alignment horizontal="center" vertical="center" shrinkToFit="1"/>
    </xf>
    <xf numFmtId="0" fontId="5" fillId="2" borderId="0" xfId="0" applyFont="1" applyFill="1" applyAlignment="1">
      <alignment horizontal="center" vertical="center"/>
    </xf>
    <xf numFmtId="0" fontId="11" fillId="2" borderId="0" xfId="2" applyFont="1" applyFill="1" applyAlignment="1">
      <alignment horizontal="left" vertical="center"/>
    </xf>
    <xf numFmtId="10" fontId="5" fillId="0" borderId="0" xfId="0" applyNumberFormat="1" applyFont="1" applyAlignment="1">
      <alignment horizontal="center" vertical="center"/>
    </xf>
    <xf numFmtId="0" fontId="1" fillId="0" borderId="0" xfId="0" applyFont="1"/>
    <xf numFmtId="0" fontId="1" fillId="0" borderId="0" xfId="0" applyFont="1" applyAlignment="1">
      <alignment horizontal="left" vertical="center"/>
    </xf>
    <xf numFmtId="0" fontId="1" fillId="0" borderId="0" xfId="0" applyFont="1" applyAlignment="1">
      <alignment vertical="center"/>
    </xf>
    <xf numFmtId="14" fontId="5" fillId="0" borderId="0" xfId="0" applyNumberFormat="1" applyFont="1" applyAlignment="1">
      <alignment horizontal="center" vertical="center"/>
    </xf>
    <xf numFmtId="14" fontId="1" fillId="0" borderId="0" xfId="0" applyNumberFormat="1" applyFont="1" applyAlignment="1">
      <alignment horizontal="center" vertical="center"/>
    </xf>
    <xf numFmtId="2" fontId="5" fillId="0" borderId="0" xfId="0" applyNumberFormat="1" applyFont="1" applyAlignment="1">
      <alignment horizontal="center" vertical="center"/>
    </xf>
    <xf numFmtId="0" fontId="15" fillId="0" borderId="0" xfId="0" applyFont="1" applyAlignment="1">
      <alignment horizontal="center" vertical="center"/>
    </xf>
    <xf numFmtId="0" fontId="7" fillId="5" borderId="0" xfId="0" applyFont="1" applyFill="1" applyAlignment="1">
      <alignment horizontal="centerContinuous" vertical="center"/>
    </xf>
    <xf numFmtId="0" fontId="7" fillId="5" borderId="0" xfId="0" applyFont="1" applyFill="1" applyAlignment="1">
      <alignment horizontal="center" vertical="center"/>
    </xf>
    <xf numFmtId="0" fontId="1" fillId="0" borderId="0" xfId="0" applyFont="1" applyAlignment="1">
      <alignment horizontal="center" vertical="center"/>
    </xf>
    <xf numFmtId="2" fontId="1" fillId="0" borderId="0" xfId="0" applyNumberFormat="1" applyFont="1" applyAlignment="1">
      <alignment horizontal="center" vertical="center"/>
    </xf>
    <xf numFmtId="9" fontId="1" fillId="0" borderId="0" xfId="0" applyNumberFormat="1" applyFont="1" applyAlignment="1">
      <alignment horizontal="center" vertical="center"/>
    </xf>
    <xf numFmtId="0" fontId="1" fillId="2" borderId="0" xfId="0" applyFont="1" applyFill="1" applyAlignment="1">
      <alignment horizontal="center" vertical="center"/>
    </xf>
    <xf numFmtId="0" fontId="16" fillId="0" borderId="0" xfId="3" applyAlignment="1">
      <alignment horizontal="left" vertical="center"/>
    </xf>
    <xf numFmtId="0" fontId="1" fillId="0" borderId="2" xfId="0" applyFont="1" applyBorder="1" applyAlignment="1">
      <alignment horizontal="center" vertical="center"/>
    </xf>
    <xf numFmtId="3" fontId="1" fillId="0" borderId="0" xfId="0" applyNumberFormat="1" applyFont="1" applyAlignment="1">
      <alignment horizontal="center" vertical="center"/>
    </xf>
    <xf numFmtId="4" fontId="1" fillId="0" borderId="0" xfId="0" applyNumberFormat="1" applyFont="1" applyAlignment="1">
      <alignment horizontal="center" vertical="center"/>
    </xf>
    <xf numFmtId="9" fontId="5" fillId="0" borderId="0" xfId="1" applyFont="1" applyAlignment="1">
      <alignment horizontal="center" vertical="center"/>
    </xf>
    <xf numFmtId="166" fontId="5" fillId="0" borderId="0" xfId="1" applyNumberFormat="1" applyFont="1" applyAlignment="1">
      <alignment horizontal="center" vertical="center"/>
    </xf>
    <xf numFmtId="166" fontId="7" fillId="2" borderId="0" xfId="1" applyNumberFormat="1" applyFont="1" applyFill="1" applyAlignment="1">
      <alignment horizontal="center" vertical="center" shrinkToFit="1"/>
    </xf>
    <xf numFmtId="0" fontId="16" fillId="0" borderId="0" xfId="3"/>
    <xf numFmtId="2" fontId="1" fillId="0" borderId="0" xfId="0" applyNumberFormat="1" applyFont="1"/>
    <xf numFmtId="0" fontId="8" fillId="0" borderId="0" xfId="0" applyFont="1" applyAlignment="1">
      <alignment vertical="center"/>
    </xf>
    <xf numFmtId="10" fontId="1" fillId="0" borderId="0" xfId="1" applyNumberFormat="1" applyFont="1"/>
    <xf numFmtId="0" fontId="17" fillId="0" borderId="0" xfId="0" applyFont="1" applyAlignment="1">
      <alignment horizontal="center" vertical="center"/>
    </xf>
    <xf numFmtId="9" fontId="1" fillId="0" borderId="0" xfId="1" applyNumberFormat="1" applyFont="1"/>
    <xf numFmtId="10" fontId="1" fillId="0" borderId="0" xfId="0" applyNumberFormat="1" applyFont="1" applyAlignment="1">
      <alignment horizontal="center" vertical="center"/>
    </xf>
    <xf numFmtId="3" fontId="17" fillId="0" borderId="0" xfId="0" applyNumberFormat="1" applyFont="1" applyAlignment="1">
      <alignment horizontal="center" vertical="center"/>
    </xf>
    <xf numFmtId="165" fontId="1" fillId="0" borderId="0" xfId="0" applyNumberFormat="1" applyFont="1" applyAlignment="1">
      <alignment horizontal="center" vertical="center"/>
    </xf>
    <xf numFmtId="167" fontId="1" fillId="0" borderId="0" xfId="0" applyNumberFormat="1" applyFont="1" applyAlignment="1">
      <alignment horizontal="center" vertical="center"/>
    </xf>
    <xf numFmtId="168" fontId="1" fillId="0" borderId="0" xfId="0" applyNumberFormat="1" applyFont="1" applyAlignment="1">
      <alignment horizontal="center" vertical="center"/>
    </xf>
    <xf numFmtId="9" fontId="1" fillId="0" borderId="0" xfId="1" applyFont="1" applyAlignment="1">
      <alignment horizontal="center" vertical="center"/>
    </xf>
    <xf numFmtId="169" fontId="1" fillId="0" borderId="0" xfId="0" applyNumberFormat="1" applyFont="1" applyAlignment="1">
      <alignment horizontal="center" vertical="center"/>
    </xf>
    <xf numFmtId="3" fontId="8" fillId="0" borderId="0" xfId="0" applyNumberFormat="1" applyFont="1" applyAlignment="1">
      <alignment horizontal="center" vertical="center"/>
    </xf>
    <xf numFmtId="170" fontId="1" fillId="0" borderId="0" xfId="0" applyNumberFormat="1" applyFont="1" applyAlignment="1">
      <alignment horizontal="center" vertical="center"/>
    </xf>
    <xf numFmtId="0" fontId="8" fillId="2" borderId="0" xfId="0" applyFont="1" applyFill="1" applyAlignment="1">
      <alignment horizontal="center" vertical="center"/>
    </xf>
    <xf numFmtId="0" fontId="1" fillId="2" borderId="0" xfId="0" applyFont="1" applyFill="1"/>
    <xf numFmtId="0" fontId="8" fillId="2" borderId="0" xfId="0" applyFont="1" applyFill="1" applyAlignment="1">
      <alignment horizontal="right" vertical="center"/>
    </xf>
    <xf numFmtId="10" fontId="1" fillId="6" borderId="0" xfId="1" applyNumberFormat="1" applyFont="1" applyFill="1" applyAlignment="1">
      <alignment horizontal="center" vertical="center"/>
    </xf>
    <xf numFmtId="10" fontId="1" fillId="2" borderId="0" xfId="1" applyNumberFormat="1" applyFont="1" applyFill="1" applyAlignment="1">
      <alignment horizontal="center" vertical="center"/>
    </xf>
    <xf numFmtId="3" fontId="1" fillId="2" borderId="0" xfId="0" applyNumberFormat="1" applyFont="1" applyFill="1" applyAlignment="1">
      <alignment horizontal="center" vertical="center"/>
    </xf>
    <xf numFmtId="171" fontId="1" fillId="2" borderId="0" xfId="0" applyNumberFormat="1" applyFont="1" applyFill="1" applyAlignment="1">
      <alignment horizontal="center" vertical="center"/>
    </xf>
    <xf numFmtId="3" fontId="1" fillId="2" borderId="0" xfId="0" applyNumberFormat="1" applyFont="1" applyFill="1" applyAlignment="1">
      <alignment horizontal="center"/>
    </xf>
    <xf numFmtId="14" fontId="1" fillId="2" borderId="0" xfId="0" applyNumberFormat="1" applyFont="1" applyFill="1" applyAlignment="1">
      <alignment horizontal="center" vertical="center"/>
    </xf>
    <xf numFmtId="3" fontId="1" fillId="7" borderId="0" xfId="0" applyNumberFormat="1" applyFont="1" applyFill="1" applyAlignment="1">
      <alignment horizontal="center"/>
    </xf>
    <xf numFmtId="0" fontId="1" fillId="2" borderId="0" xfId="0" applyFont="1" applyFill="1" applyAlignment="1">
      <alignment horizontal="left"/>
    </xf>
    <xf numFmtId="4" fontId="1" fillId="2" borderId="0" xfId="0" applyNumberFormat="1" applyFont="1" applyFill="1" applyAlignment="1">
      <alignment horizontal="center" vertical="center"/>
    </xf>
    <xf numFmtId="9" fontId="1" fillId="0" borderId="0" xfId="1" applyFont="1"/>
    <xf numFmtId="172" fontId="1" fillId="0" borderId="0" xfId="0" applyNumberFormat="1" applyFont="1" applyAlignment="1">
      <alignment horizontal="center" vertical="center"/>
    </xf>
    <xf numFmtId="1" fontId="1" fillId="2" borderId="0" xfId="0" applyNumberFormat="1" applyFont="1" applyFill="1" applyAlignment="1">
      <alignment horizontal="center" vertical="center"/>
    </xf>
    <xf numFmtId="16" fontId="1" fillId="2" borderId="0" xfId="0" applyNumberFormat="1" applyFont="1" applyFill="1" applyAlignment="1">
      <alignment horizontal="center" vertical="center"/>
    </xf>
    <xf numFmtId="9" fontId="8" fillId="0" borderId="0" xfId="1" applyFont="1" applyAlignment="1">
      <alignment horizontal="center" vertical="center"/>
    </xf>
    <xf numFmtId="173" fontId="1" fillId="0" borderId="0" xfId="0" applyNumberFormat="1" applyFont="1" applyAlignment="1">
      <alignment horizontal="center" vertical="center"/>
    </xf>
    <xf numFmtId="174" fontId="1" fillId="0" borderId="0" xfId="0" applyNumberFormat="1" applyFont="1" applyAlignment="1">
      <alignment horizontal="center" vertical="center"/>
    </xf>
    <xf numFmtId="0" fontId="18" fillId="5" borderId="0" xfId="0" applyFont="1" applyFill="1" applyAlignment="1">
      <alignment horizontal="center" vertical="center"/>
    </xf>
    <xf numFmtId="0" fontId="18" fillId="5" borderId="0" xfId="0" applyFont="1" applyFill="1" applyAlignment="1">
      <alignment horizontal="right"/>
    </xf>
    <xf numFmtId="0" fontId="18" fillId="5" borderId="0" xfId="0" applyFont="1" applyFill="1" applyAlignment="1">
      <alignment horizontal="right" vertical="center"/>
    </xf>
    <xf numFmtId="175" fontId="1" fillId="0" borderId="0" xfId="1" applyNumberFormat="1" applyFont="1"/>
    <xf numFmtId="164" fontId="7" fillId="5" borderId="0" xfId="2" applyNumberFormat="1" applyFont="1" applyFill="1" applyAlignment="1">
      <alignment horizontal="center" vertical="center" shrinkToFit="1"/>
    </xf>
    <xf numFmtId="170" fontId="8" fillId="0" borderId="0" xfId="0" applyNumberFormat="1" applyFont="1" applyAlignment="1">
      <alignment horizontal="center" vertical="center"/>
    </xf>
    <xf numFmtId="166" fontId="1" fillId="0" borderId="0" xfId="1" applyNumberFormat="1" applyFont="1" applyAlignment="1">
      <alignment horizontal="center" vertical="center"/>
    </xf>
    <xf numFmtId="9" fontId="1" fillId="0" borderId="0" xfId="1" applyNumberFormat="1" applyFont="1" applyAlignment="1">
      <alignment horizontal="center" vertical="center"/>
    </xf>
    <xf numFmtId="9" fontId="8" fillId="0" borderId="0" xfId="1" applyNumberFormat="1" applyFont="1" applyAlignment="1">
      <alignment horizontal="center" vertical="center"/>
    </xf>
    <xf numFmtId="176" fontId="18" fillId="5" borderId="0" xfId="0" applyNumberFormat="1" applyFont="1" applyFill="1" applyAlignment="1">
      <alignment horizontal="center" vertical="center"/>
    </xf>
    <xf numFmtId="176" fontId="7" fillId="5" borderId="0" xfId="0" applyNumberFormat="1" applyFont="1" applyFill="1" applyAlignment="1">
      <alignment horizontal="center" vertical="center"/>
    </xf>
    <xf numFmtId="165" fontId="7" fillId="5" borderId="0" xfId="0" applyNumberFormat="1" applyFont="1" applyFill="1" applyAlignment="1">
      <alignment horizontal="center" vertical="center"/>
    </xf>
    <xf numFmtId="177" fontId="1" fillId="0" borderId="0" xfId="0" applyNumberFormat="1" applyFont="1" applyAlignment="1">
      <alignment horizontal="center" vertical="center"/>
    </xf>
    <xf numFmtId="0" fontId="19" fillId="0" borderId="0" xfId="0" applyFont="1" applyAlignment="1">
      <alignment horizontal="center" vertical="center"/>
    </xf>
    <xf numFmtId="0" fontId="19" fillId="0" borderId="0" xfId="0" applyFont="1" applyAlignment="1">
      <alignment horizontal="left" vertical="center"/>
    </xf>
    <xf numFmtId="165" fontId="19" fillId="0" borderId="0" xfId="0" applyNumberFormat="1" applyFont="1" applyAlignment="1">
      <alignment horizontal="center" vertical="center"/>
    </xf>
    <xf numFmtId="0" fontId="19" fillId="0" borderId="0" xfId="0" applyFont="1" applyAlignment="1">
      <alignment vertical="center"/>
    </xf>
    <xf numFmtId="0" fontId="20" fillId="0" borderId="0" xfId="0" applyFont="1" applyAlignment="1">
      <alignment horizontal="center" vertical="center"/>
    </xf>
    <xf numFmtId="0" fontId="20" fillId="0" borderId="0" xfId="0" applyFont="1" applyAlignment="1">
      <alignment vertical="center"/>
    </xf>
    <xf numFmtId="165" fontId="20" fillId="0" borderId="0" xfId="0" applyNumberFormat="1" applyFont="1" applyAlignment="1">
      <alignment horizontal="center" vertical="center"/>
    </xf>
    <xf numFmtId="0" fontId="21" fillId="0" borderId="0" xfId="0" applyFont="1" applyAlignment="1">
      <alignment horizontal="center" vertical="center"/>
    </xf>
    <xf numFmtId="0" fontId="21" fillId="0" borderId="0" xfId="0" applyFont="1" applyAlignment="1">
      <alignment vertical="center"/>
    </xf>
    <xf numFmtId="165" fontId="21" fillId="0" borderId="0" xfId="0" applyNumberFormat="1" applyFont="1" applyAlignment="1">
      <alignment horizontal="center" vertical="center"/>
    </xf>
    <xf numFmtId="166" fontId="21" fillId="0" borderId="0" xfId="1" applyNumberFormat="1" applyFont="1" applyAlignment="1">
      <alignment horizontal="center" vertical="center"/>
    </xf>
    <xf numFmtId="169" fontId="21" fillId="0" borderId="0" xfId="0" applyNumberFormat="1" applyFont="1" applyAlignment="1">
      <alignment horizontal="center" vertical="center"/>
    </xf>
    <xf numFmtId="9" fontId="21" fillId="0" borderId="0" xfId="0" applyNumberFormat="1" applyFont="1" applyAlignment="1">
      <alignment horizontal="center" vertical="center"/>
    </xf>
    <xf numFmtId="9" fontId="21" fillId="0" borderId="0" xfId="1" applyNumberFormat="1" applyFont="1" applyAlignment="1">
      <alignment horizontal="center" vertical="center"/>
    </xf>
    <xf numFmtId="167" fontId="21" fillId="0" borderId="0" xfId="0" applyNumberFormat="1" applyFont="1" applyAlignment="1">
      <alignment horizontal="center" vertical="center"/>
    </xf>
    <xf numFmtId="166" fontId="1" fillId="0" borderId="0" xfId="0" applyNumberFormat="1" applyFont="1" applyAlignment="1">
      <alignment horizontal="center" vertical="center"/>
    </xf>
    <xf numFmtId="178" fontId="1" fillId="0" borderId="0" xfId="0" applyNumberFormat="1" applyFont="1" applyAlignment="1">
      <alignment horizontal="center" vertical="center"/>
    </xf>
    <xf numFmtId="179" fontId="1" fillId="0" borderId="0" xfId="0" applyNumberFormat="1" applyFont="1" applyAlignment="1">
      <alignment horizontal="center" vertical="center"/>
    </xf>
    <xf numFmtId="3" fontId="10" fillId="3" borderId="1" xfId="2" applyNumberFormat="1" applyFont="1" applyFill="1" applyBorder="1" applyAlignment="1">
      <alignment horizontal="center" vertical="center"/>
    </xf>
    <xf numFmtId="180" fontId="1" fillId="0" borderId="0" xfId="0" applyNumberFormat="1" applyFont="1" applyAlignment="1">
      <alignment horizontal="center" vertical="center"/>
    </xf>
    <xf numFmtId="0" fontId="18" fillId="0" borderId="0" xfId="0" applyFont="1" applyAlignment="1">
      <alignment horizontal="center" vertical="center"/>
    </xf>
    <xf numFmtId="0" fontId="21" fillId="0" borderId="0" xfId="0" applyFont="1" applyAlignment="1">
      <alignment horizontal="left" vertical="center"/>
    </xf>
    <xf numFmtId="8" fontId="1" fillId="0" borderId="0" xfId="0" applyNumberFormat="1" applyFont="1" applyAlignment="1">
      <alignment vertical="center"/>
    </xf>
    <xf numFmtId="10" fontId="1" fillId="0" borderId="0" xfId="0" applyNumberFormat="1" applyFont="1" applyAlignment="1">
      <alignment vertical="center"/>
    </xf>
    <xf numFmtId="0" fontId="8" fillId="0" borderId="3" xfId="0" applyFont="1" applyBorder="1" applyAlignment="1">
      <alignment horizontal="center" vertical="center"/>
    </xf>
    <xf numFmtId="166" fontId="1" fillId="0" borderId="0" xfId="1" applyNumberFormat="1" applyFont="1"/>
    <xf numFmtId="0" fontId="8" fillId="0" borderId="0" xfId="0" applyFont="1" applyAlignment="1">
      <alignment horizontal="center"/>
    </xf>
    <xf numFmtId="0" fontId="1" fillId="5" borderId="0" xfId="0" applyFont="1" applyFill="1" applyAlignment="1">
      <alignment horizontal="center" vertical="center"/>
    </xf>
    <xf numFmtId="0" fontId="1" fillId="5" borderId="0" xfId="0" applyFont="1" applyFill="1"/>
  </cellXfs>
  <cellStyles count="4">
    <cellStyle name="Hiperlink" xfId="3" builtinId="8"/>
    <cellStyle name="Normal" xfId="0" builtinId="0"/>
    <cellStyle name="Normal 2" xfId="2" xr:uid="{097EC823-A48F-48F3-9810-2E365F9DD7BF}"/>
    <cellStyle name="Porcentagem" xfId="1" builtinId="5"/>
  </cellStyles>
  <dxfs count="5">
    <dxf>
      <font>
        <b/>
        <i val="0"/>
        <color rgb="FFFF0000"/>
      </font>
    </dxf>
    <dxf>
      <font>
        <b/>
        <i val="0"/>
        <color rgb="FFFF0000"/>
      </font>
    </dxf>
    <dxf>
      <font>
        <b/>
        <i val="0"/>
        <color rgb="FFFF0000"/>
      </font>
    </dxf>
    <dxf>
      <font>
        <b/>
        <i val="0"/>
        <color rgb="FFFF0000"/>
      </font>
    </dxf>
    <dxf>
      <font>
        <b/>
        <i val="0"/>
        <color theme="4"/>
      </font>
    </dxf>
  </dxfs>
  <tableStyles count="0" defaultTableStyle="TableStyleMedium2" defaultPivotStyle="PivotStyleLight16"/>
  <colors>
    <mruColors>
      <color rgb="FF634832"/>
      <color rgb="FF302F2F"/>
      <color rgb="FF45322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'Ponto de Equilíbrio'!$B$2</c:f>
              <c:strCache>
                <c:ptCount val="1"/>
                <c:pt idx="0">
                  <c:v>Receita</c:v>
                </c:pt>
              </c:strCache>
            </c:strRef>
          </c:tx>
          <c:spPr>
            <a:ln w="28575" cap="rnd">
              <a:solidFill>
                <a:schemeClr val="accent1"/>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Equilíbrio'!$B$3:$B$9</c:f>
              <c:numCache>
                <c:formatCode>#,##0_);\(#,##0\)</c:formatCode>
                <c:ptCount val="7"/>
                <c:pt idx="0">
                  <c:v>0</c:v>
                </c:pt>
                <c:pt idx="1">
                  <c:v>2000</c:v>
                </c:pt>
                <c:pt idx="2">
                  <c:v>4000</c:v>
                </c:pt>
                <c:pt idx="3">
                  <c:v>6000</c:v>
                </c:pt>
                <c:pt idx="4">
                  <c:v>8000</c:v>
                </c:pt>
                <c:pt idx="5">
                  <c:v>10000</c:v>
                </c:pt>
                <c:pt idx="6">
                  <c:v>12000</c:v>
                </c:pt>
              </c:numCache>
            </c:numRef>
          </c:val>
          <c:smooth val="0"/>
          <c:extLst>
            <c:ext xmlns:c16="http://schemas.microsoft.com/office/drawing/2014/chart" uri="{C3380CC4-5D6E-409C-BE32-E72D297353CC}">
              <c16:uniqueId val="{00000000-6CAC-41AD-A059-1AAB7674BFE3}"/>
            </c:ext>
          </c:extLst>
        </c:ser>
        <c:ser>
          <c:idx val="1"/>
          <c:order val="1"/>
          <c:tx>
            <c:strRef>
              <c:f>'Ponto de Equilíbrio'!$C$2</c:f>
              <c:strCache>
                <c:ptCount val="1"/>
                <c:pt idx="0">
                  <c:v>Custo fixo</c:v>
                </c:pt>
              </c:strCache>
            </c:strRef>
          </c:tx>
          <c:spPr>
            <a:ln w="28575" cap="rnd">
              <a:solidFill>
                <a:schemeClr val="accent2"/>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Equilíbrio'!$C$3:$C$9</c:f>
              <c:numCache>
                <c:formatCode>#,##0_);\(#,##0\)</c:formatCode>
                <c:ptCount val="7"/>
                <c:pt idx="0">
                  <c:v>2000</c:v>
                </c:pt>
                <c:pt idx="1">
                  <c:v>2000</c:v>
                </c:pt>
                <c:pt idx="2">
                  <c:v>2000</c:v>
                </c:pt>
                <c:pt idx="3">
                  <c:v>2000</c:v>
                </c:pt>
                <c:pt idx="4">
                  <c:v>2000</c:v>
                </c:pt>
                <c:pt idx="5">
                  <c:v>2000</c:v>
                </c:pt>
                <c:pt idx="6">
                  <c:v>2000</c:v>
                </c:pt>
              </c:numCache>
            </c:numRef>
          </c:val>
          <c:smooth val="0"/>
          <c:extLst>
            <c:ext xmlns:c16="http://schemas.microsoft.com/office/drawing/2014/chart" uri="{C3380CC4-5D6E-409C-BE32-E72D297353CC}">
              <c16:uniqueId val="{00000001-6CAC-41AD-A059-1AAB7674BFE3}"/>
            </c:ext>
          </c:extLst>
        </c:ser>
        <c:ser>
          <c:idx val="2"/>
          <c:order val="2"/>
          <c:tx>
            <c:strRef>
              <c:f>'Ponto de Equilíbrio'!$D$2</c:f>
              <c:strCache>
                <c:ptCount val="1"/>
                <c:pt idx="0">
                  <c:v>Custo variável</c:v>
                </c:pt>
              </c:strCache>
            </c:strRef>
          </c:tx>
          <c:spPr>
            <a:ln w="28575" cap="rnd">
              <a:solidFill>
                <a:schemeClr val="accent6">
                  <a:lumMod val="75000"/>
                </a:schemeClr>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Equilíbrio'!$D$3:$D$9</c:f>
              <c:numCache>
                <c:formatCode>#,##0_);\(#,##0\)</c:formatCode>
                <c:ptCount val="7"/>
                <c:pt idx="0">
                  <c:v>0</c:v>
                </c:pt>
                <c:pt idx="1">
                  <c:v>1550</c:v>
                </c:pt>
                <c:pt idx="2">
                  <c:v>3100</c:v>
                </c:pt>
                <c:pt idx="3">
                  <c:v>4650</c:v>
                </c:pt>
                <c:pt idx="4">
                  <c:v>6200</c:v>
                </c:pt>
                <c:pt idx="5">
                  <c:v>7750</c:v>
                </c:pt>
                <c:pt idx="6">
                  <c:v>9300</c:v>
                </c:pt>
              </c:numCache>
            </c:numRef>
          </c:val>
          <c:smooth val="0"/>
          <c:extLst>
            <c:ext xmlns:c16="http://schemas.microsoft.com/office/drawing/2014/chart" uri="{C3380CC4-5D6E-409C-BE32-E72D297353CC}">
              <c16:uniqueId val="{00000002-6CAC-41AD-A059-1AAB7674BFE3}"/>
            </c:ext>
          </c:extLst>
        </c:ser>
        <c:ser>
          <c:idx val="3"/>
          <c:order val="3"/>
          <c:tx>
            <c:strRef>
              <c:f>'Ponto de Equilíbrio'!$E$2</c:f>
              <c:strCache>
                <c:ptCount val="1"/>
                <c:pt idx="0">
                  <c:v>Custo total</c:v>
                </c:pt>
              </c:strCache>
            </c:strRef>
          </c:tx>
          <c:spPr>
            <a:ln w="28575" cap="rnd">
              <a:solidFill>
                <a:schemeClr val="accent4"/>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Equilíbrio'!$E$3:$E$9</c:f>
              <c:numCache>
                <c:formatCode>#,##0_);\(#,##0\)</c:formatCode>
                <c:ptCount val="7"/>
                <c:pt idx="0">
                  <c:v>2000</c:v>
                </c:pt>
                <c:pt idx="1">
                  <c:v>3550</c:v>
                </c:pt>
                <c:pt idx="2">
                  <c:v>5100</c:v>
                </c:pt>
                <c:pt idx="3">
                  <c:v>6650</c:v>
                </c:pt>
                <c:pt idx="4">
                  <c:v>8200</c:v>
                </c:pt>
                <c:pt idx="5">
                  <c:v>9750</c:v>
                </c:pt>
                <c:pt idx="6">
                  <c:v>11300</c:v>
                </c:pt>
              </c:numCache>
            </c:numRef>
          </c:val>
          <c:smooth val="0"/>
          <c:extLst>
            <c:ext xmlns:c16="http://schemas.microsoft.com/office/drawing/2014/chart" uri="{C3380CC4-5D6E-409C-BE32-E72D297353CC}">
              <c16:uniqueId val="{00000003-6CAC-41AD-A059-1AAB7674BFE3}"/>
            </c:ext>
          </c:extLst>
        </c:ser>
        <c:dLbls>
          <c:showLegendKey val="0"/>
          <c:showVal val="0"/>
          <c:showCatName val="0"/>
          <c:showSerName val="0"/>
          <c:showPercent val="0"/>
          <c:showBubbleSize val="0"/>
        </c:dLbls>
        <c:smooth val="0"/>
        <c:axId val="643544840"/>
        <c:axId val="643540248"/>
      </c:lineChart>
      <c:catAx>
        <c:axId val="643544840"/>
        <c:scaling>
          <c:orientation val="minMax"/>
        </c:scaling>
        <c:delete val="0"/>
        <c:axPos val="b"/>
        <c:numFmt formatCode="#,##0_);\(#,##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pt-BR"/>
          </a:p>
        </c:txPr>
        <c:crossAx val="643540248"/>
        <c:crosses val="autoZero"/>
        <c:auto val="1"/>
        <c:lblAlgn val="ctr"/>
        <c:lblOffset val="100"/>
        <c:noMultiLvlLbl val="0"/>
      </c:catAx>
      <c:valAx>
        <c:axId val="643540248"/>
        <c:scaling>
          <c:orientation val="minMax"/>
        </c:scaling>
        <c:delete val="0"/>
        <c:axPos val="l"/>
        <c:majorGridlines>
          <c:spPr>
            <a:ln w="6350" cap="flat" cmpd="sng" algn="ctr">
              <a:solidFill>
                <a:schemeClr val="bg1">
                  <a:lumMod val="50000"/>
                  <a:alpha val="70000"/>
                </a:schemeClr>
              </a:solidFill>
              <a:prstDash val="sysDash"/>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pt-BR"/>
          </a:p>
        </c:txPr>
        <c:crossAx val="643544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pt-BR"/>
        </a:p>
      </c:txPr>
    </c:legend>
    <c:plotVisOnly val="1"/>
    <c:dispBlanksAs val="gap"/>
    <c:showDLblsOverMax val="0"/>
  </c:chart>
  <c:spPr>
    <a:solidFill>
      <a:srgbClr val="302F2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304800</xdr:colOff>
      <xdr:row>10</xdr:row>
      <xdr:rowOff>166687</xdr:rowOff>
    </xdr:from>
    <xdr:to>
      <xdr:col>7</xdr:col>
      <xdr:colOff>742950</xdr:colOff>
      <xdr:row>34</xdr:row>
      <xdr:rowOff>104775</xdr:rowOff>
    </xdr:to>
    <xdr:graphicFrame macro="">
      <xdr:nvGraphicFramePr>
        <xdr:cNvPr id="2" name="Gráfico 1">
          <a:extLst>
            <a:ext uri="{FF2B5EF4-FFF2-40B4-BE49-F238E27FC236}">
              <a16:creationId xmlns:a16="http://schemas.microsoft.com/office/drawing/2014/main" id="{942976C0-89A2-4C15-8A0E-E6524FA8CC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dme-pc.com.br/atendimento/tarifa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62"/>
  <sheetViews>
    <sheetView showGridLines="0" topLeftCell="A16" zoomScaleNormal="100" workbookViewId="0">
      <selection activeCell="D143" sqref="D143"/>
    </sheetView>
  </sheetViews>
  <sheetFormatPr defaultColWidth="9.140625" defaultRowHeight="15" outlineLevelRow="1" x14ac:dyDescent="0.25"/>
  <cols>
    <col min="1" max="1" width="2.28515625" style="5" customWidth="1"/>
    <col min="2" max="2" width="57.28515625" style="2" bestFit="1" customWidth="1"/>
    <col min="3" max="3" width="3.140625" style="5" customWidth="1"/>
    <col min="4" max="18" width="11.85546875" style="2" customWidth="1"/>
    <col min="19" max="19" width="11.85546875" style="2" bestFit="1" customWidth="1"/>
    <col min="20" max="16384" width="9.140625" style="2"/>
  </cols>
  <sheetData>
    <row r="1" spans="1:26" x14ac:dyDescent="0.25">
      <c r="A1" s="44"/>
      <c r="B1" s="21" t="s">
        <v>43</v>
      </c>
      <c r="C1" s="2"/>
      <c r="D1" s="3"/>
      <c r="F1" s="1" t="s">
        <v>0</v>
      </c>
      <c r="G1" s="2">
        <v>2025</v>
      </c>
      <c r="I1" s="1" t="s">
        <v>6</v>
      </c>
      <c r="J1" s="44" t="s">
        <v>146</v>
      </c>
    </row>
    <row r="3" spans="1:26" x14ac:dyDescent="0.25">
      <c r="A3" s="3" t="s">
        <v>1</v>
      </c>
      <c r="B3" s="43" t="s">
        <v>2</v>
      </c>
      <c r="C3" s="42"/>
      <c r="D3" s="93">
        <f>$G$1</f>
        <v>2025</v>
      </c>
      <c r="E3" s="93">
        <f t="shared" ref="E3:R3" si="0">D3+1</f>
        <v>2026</v>
      </c>
      <c r="F3" s="93">
        <f t="shared" si="0"/>
        <v>2027</v>
      </c>
      <c r="G3" s="93">
        <f t="shared" si="0"/>
        <v>2028</v>
      </c>
      <c r="H3" s="93">
        <f t="shared" si="0"/>
        <v>2029</v>
      </c>
      <c r="I3" s="93">
        <f t="shared" si="0"/>
        <v>2030</v>
      </c>
      <c r="J3" s="93">
        <f t="shared" si="0"/>
        <v>2031</v>
      </c>
      <c r="K3" s="93">
        <f t="shared" si="0"/>
        <v>2032</v>
      </c>
      <c r="L3" s="93">
        <f t="shared" si="0"/>
        <v>2033</v>
      </c>
      <c r="M3" s="93">
        <f t="shared" si="0"/>
        <v>2034</v>
      </c>
      <c r="N3" s="93">
        <f t="shared" si="0"/>
        <v>2035</v>
      </c>
      <c r="O3" s="93">
        <f t="shared" si="0"/>
        <v>2036</v>
      </c>
      <c r="P3" s="93">
        <f t="shared" si="0"/>
        <v>2037</v>
      </c>
      <c r="Q3" s="93">
        <f t="shared" si="0"/>
        <v>2038</v>
      </c>
      <c r="R3" s="93">
        <f t="shared" si="0"/>
        <v>2039</v>
      </c>
    </row>
    <row r="4" spans="1:26" s="32" customFormat="1" x14ac:dyDescent="0.25">
      <c r="A4" s="30"/>
      <c r="B4" s="31"/>
      <c r="C4" s="31"/>
      <c r="D4" s="54"/>
      <c r="E4" s="54"/>
      <c r="F4" s="54"/>
      <c r="G4" s="54"/>
      <c r="H4" s="54"/>
      <c r="I4" s="54"/>
      <c r="J4" s="54"/>
      <c r="K4" s="54"/>
      <c r="L4" s="54"/>
      <c r="M4" s="54"/>
      <c r="N4" s="54"/>
      <c r="O4" s="54"/>
      <c r="P4" s="54"/>
      <c r="Q4" s="54"/>
      <c r="R4" s="54"/>
      <c r="T4" s="47" t="s">
        <v>119</v>
      </c>
    </row>
    <row r="5" spans="1:26" x14ac:dyDescent="0.25">
      <c r="A5" s="2"/>
      <c r="B5" s="4" t="s">
        <v>27</v>
      </c>
      <c r="C5" s="2"/>
      <c r="D5" s="53"/>
      <c r="E5" s="53">
        <v>-1</v>
      </c>
      <c r="F5" s="53" t="s">
        <v>229</v>
      </c>
      <c r="G5" s="53" t="s">
        <v>229</v>
      </c>
      <c r="H5" s="53" t="s">
        <v>229</v>
      </c>
      <c r="I5" s="53"/>
      <c r="J5" s="53"/>
      <c r="K5" s="53"/>
      <c r="L5" s="53"/>
      <c r="M5" s="53"/>
      <c r="N5" s="53"/>
      <c r="O5" s="53"/>
      <c r="P5" s="53"/>
      <c r="Q5" s="53"/>
      <c r="R5" s="53"/>
    </row>
    <row r="6" spans="1:26" x14ac:dyDescent="0.25">
      <c r="A6" s="2"/>
      <c r="B6" s="36" t="s">
        <v>199</v>
      </c>
      <c r="C6" s="2"/>
      <c r="D6" s="53">
        <f>Precificação!$C$26</f>
        <v>7.8E-2</v>
      </c>
      <c r="E6" s="53"/>
      <c r="F6" s="53"/>
      <c r="G6" s="53"/>
      <c r="H6" s="53"/>
      <c r="I6" s="53"/>
      <c r="J6" s="53"/>
      <c r="K6" s="53"/>
      <c r="L6" s="53"/>
      <c r="M6" s="53"/>
      <c r="N6" s="53"/>
      <c r="O6" s="53"/>
      <c r="P6" s="53"/>
      <c r="Q6" s="53"/>
      <c r="R6" s="53"/>
      <c r="U6" s="44"/>
      <c r="V6" s="44"/>
      <c r="W6" s="44"/>
      <c r="X6" s="44"/>
      <c r="Y6" s="44"/>
      <c r="Z6" s="44"/>
    </row>
    <row r="7" spans="1:26" x14ac:dyDescent="0.25">
      <c r="A7" s="2"/>
      <c r="B7" s="36" t="s">
        <v>128</v>
      </c>
      <c r="C7" s="2"/>
      <c r="D7" s="53">
        <v>0.01</v>
      </c>
      <c r="E7" s="53"/>
      <c r="F7" s="53"/>
      <c r="G7" s="53"/>
      <c r="H7" s="53"/>
      <c r="I7" s="53"/>
      <c r="J7" s="53"/>
      <c r="K7" s="53"/>
      <c r="L7" s="53"/>
      <c r="M7" s="53"/>
      <c r="N7" s="53"/>
      <c r="O7" s="53"/>
      <c r="P7" s="53"/>
      <c r="Q7" s="53"/>
      <c r="R7" s="53"/>
      <c r="U7" s="44"/>
      <c r="V7" s="44"/>
      <c r="W7" s="44"/>
      <c r="X7" s="44"/>
      <c r="Y7" s="44"/>
      <c r="Z7" s="44"/>
    </row>
    <row r="8" spans="1:26" x14ac:dyDescent="0.25">
      <c r="A8" s="2"/>
      <c r="B8" s="4" t="s">
        <v>24</v>
      </c>
      <c r="C8" s="2"/>
      <c r="D8" s="53">
        <f ca="1">-Precificação!$D$5/Precificação!$D$2</f>
        <v>0.46752445778937973</v>
      </c>
      <c r="E8" s="53"/>
      <c r="F8" s="53"/>
      <c r="G8" s="53"/>
      <c r="H8" s="53"/>
      <c r="I8" s="53"/>
      <c r="J8" s="53"/>
      <c r="K8" s="53"/>
      <c r="L8" s="53"/>
      <c r="M8" s="53"/>
      <c r="N8" s="53"/>
      <c r="O8" s="53"/>
      <c r="P8" s="53"/>
      <c r="Q8" s="53"/>
      <c r="R8" s="53"/>
      <c r="U8" s="44"/>
      <c r="V8" s="44"/>
      <c r="W8" s="44"/>
      <c r="X8" s="44"/>
      <c r="Y8" s="44"/>
      <c r="Z8" s="44"/>
    </row>
    <row r="9" spans="1:26" x14ac:dyDescent="0.25">
      <c r="A9" s="2"/>
      <c r="B9" s="4" t="s">
        <v>73</v>
      </c>
      <c r="C9" s="2"/>
      <c r="D9" s="53">
        <f ca="1">-Precificação!$D$6/Precificação!$D$2</f>
        <v>0.35604892556804985</v>
      </c>
      <c r="E9" s="53"/>
      <c r="F9" s="53"/>
      <c r="G9" s="53"/>
      <c r="H9" s="53"/>
      <c r="I9" s="53"/>
      <c r="J9" s="53"/>
      <c r="K9" s="53"/>
      <c r="L9" s="53"/>
      <c r="M9" s="53"/>
      <c r="N9" s="53"/>
      <c r="O9" s="53"/>
      <c r="P9" s="53"/>
      <c r="Q9" s="53"/>
      <c r="R9" s="53"/>
      <c r="U9" s="44"/>
      <c r="V9" s="44"/>
      <c r="W9" s="44"/>
      <c r="X9" s="44"/>
      <c r="Y9" s="44"/>
      <c r="Z9" s="44"/>
    </row>
    <row r="10" spans="1:26" x14ac:dyDescent="0.25">
      <c r="A10" s="2"/>
      <c r="B10" s="4" t="s">
        <v>3</v>
      </c>
      <c r="C10" s="2"/>
      <c r="D10" s="53">
        <f>Precificação!C25</f>
        <v>0</v>
      </c>
      <c r="E10" s="53"/>
      <c r="F10" s="53"/>
      <c r="G10" s="53"/>
      <c r="H10" s="53"/>
      <c r="I10" s="53"/>
      <c r="J10" s="53"/>
      <c r="K10" s="53"/>
      <c r="L10" s="53"/>
      <c r="M10" s="53"/>
      <c r="N10" s="53"/>
      <c r="O10" s="53"/>
      <c r="P10" s="53"/>
      <c r="Q10" s="53"/>
      <c r="R10" s="53"/>
      <c r="U10" s="44"/>
      <c r="V10" s="44"/>
      <c r="W10" s="44"/>
      <c r="X10" s="44"/>
      <c r="Y10" s="44"/>
      <c r="Z10" s="44"/>
    </row>
    <row r="11" spans="1:26" x14ac:dyDescent="0.25">
      <c r="A11" s="2"/>
      <c r="B11" s="36" t="s">
        <v>4</v>
      </c>
      <c r="C11" s="2"/>
      <c r="D11" s="53"/>
      <c r="E11" s="53"/>
      <c r="F11" s="53"/>
      <c r="G11" s="53"/>
      <c r="H11" s="53"/>
      <c r="I11" s="53"/>
      <c r="J11" s="53"/>
      <c r="K11" s="53"/>
      <c r="L11" s="53"/>
      <c r="M11" s="53"/>
      <c r="N11" s="53"/>
      <c r="O11" s="53"/>
      <c r="P11" s="53"/>
      <c r="Q11" s="53"/>
      <c r="R11" s="53"/>
      <c r="U11" s="44"/>
      <c r="V11" s="44"/>
      <c r="W11" s="44"/>
      <c r="X11" s="44"/>
      <c r="Y11" s="44"/>
      <c r="Z11" s="44"/>
    </row>
    <row r="12" spans="1:26" x14ac:dyDescent="0.25">
      <c r="A12" s="2"/>
      <c r="B12" s="4" t="s">
        <v>94</v>
      </c>
      <c r="C12" s="2"/>
      <c r="D12" s="53"/>
      <c r="E12" s="53"/>
      <c r="F12" s="53"/>
      <c r="G12" s="53"/>
      <c r="H12" s="53"/>
      <c r="I12" s="53"/>
      <c r="J12" s="53"/>
      <c r="K12" s="53"/>
      <c r="L12" s="53"/>
      <c r="M12" s="53"/>
      <c r="N12" s="53"/>
      <c r="O12" s="53"/>
      <c r="P12" s="53"/>
      <c r="Q12" s="53"/>
      <c r="R12" s="53"/>
      <c r="U12" s="44"/>
      <c r="V12" s="44"/>
      <c r="W12" s="44"/>
      <c r="X12" s="44"/>
      <c r="Y12" s="44"/>
      <c r="Z12" s="44"/>
    </row>
    <row r="13" spans="1:26" x14ac:dyDescent="0.25">
      <c r="A13" s="2"/>
      <c r="B13" s="4" t="s">
        <v>28</v>
      </c>
      <c r="C13" s="2"/>
      <c r="D13" s="17"/>
      <c r="E13" s="17"/>
      <c r="F13" s="17"/>
      <c r="G13" s="17"/>
      <c r="H13" s="17"/>
      <c r="I13" s="17"/>
      <c r="J13" s="17"/>
      <c r="K13" s="17"/>
      <c r="L13" s="17"/>
      <c r="M13" s="17"/>
      <c r="N13" s="17"/>
      <c r="O13" s="17"/>
      <c r="P13" s="17"/>
      <c r="Q13" s="17"/>
      <c r="R13" s="17"/>
      <c r="U13" s="44"/>
      <c r="V13" s="46"/>
      <c r="W13" s="46"/>
      <c r="X13" s="46"/>
      <c r="Y13" s="46"/>
      <c r="Z13" s="46"/>
    </row>
    <row r="14" spans="1:26" x14ac:dyDescent="0.25">
      <c r="A14" s="2"/>
      <c r="B14" s="4" t="s">
        <v>29</v>
      </c>
      <c r="C14" s="2"/>
      <c r="D14" s="17"/>
      <c r="E14" s="17"/>
      <c r="F14" s="17"/>
      <c r="G14" s="17"/>
      <c r="H14" s="17"/>
      <c r="I14" s="17"/>
      <c r="J14" s="17"/>
      <c r="K14" s="17"/>
      <c r="L14" s="17"/>
      <c r="M14" s="17"/>
      <c r="N14" s="17"/>
      <c r="O14" s="17"/>
      <c r="P14" s="17"/>
      <c r="Q14" s="17"/>
      <c r="R14" s="17"/>
    </row>
    <row r="15" spans="1:26" x14ac:dyDescent="0.25">
      <c r="A15" s="2"/>
      <c r="B15" s="4" t="s">
        <v>30</v>
      </c>
      <c r="C15" s="2"/>
      <c r="D15" s="17"/>
      <c r="E15" s="17"/>
      <c r="F15" s="17"/>
      <c r="G15" s="17"/>
      <c r="H15" s="17"/>
      <c r="I15" s="17"/>
      <c r="J15" s="17"/>
      <c r="K15" s="17"/>
      <c r="L15" s="17"/>
      <c r="M15" s="17"/>
      <c r="N15" s="17"/>
      <c r="O15" s="17"/>
      <c r="P15" s="17"/>
      <c r="Q15" s="17"/>
      <c r="R15" s="17"/>
    </row>
    <row r="16" spans="1:26" x14ac:dyDescent="0.25">
      <c r="A16" s="2"/>
      <c r="B16" s="36" t="s">
        <v>134</v>
      </c>
      <c r="C16" s="2"/>
      <c r="D16" s="17"/>
      <c r="E16" s="17"/>
      <c r="F16" s="17"/>
      <c r="G16" s="17"/>
      <c r="H16" s="17"/>
      <c r="I16" s="17"/>
      <c r="J16" s="17"/>
      <c r="K16" s="17"/>
      <c r="L16" s="17"/>
      <c r="M16" s="17"/>
      <c r="N16" s="17"/>
      <c r="O16" s="17"/>
      <c r="P16" s="17"/>
      <c r="Q16" s="17"/>
      <c r="R16" s="17"/>
    </row>
    <row r="17" spans="1:18" x14ac:dyDescent="0.25">
      <c r="A17" s="2"/>
      <c r="B17" s="4" t="s">
        <v>5</v>
      </c>
      <c r="C17" s="2"/>
      <c r="D17" s="17"/>
      <c r="E17" s="17"/>
      <c r="F17" s="17"/>
      <c r="G17" s="17"/>
      <c r="H17" s="17"/>
      <c r="I17" s="17"/>
      <c r="J17" s="17"/>
      <c r="K17" s="17"/>
      <c r="L17" s="17"/>
      <c r="M17" s="17"/>
      <c r="N17" s="17"/>
      <c r="O17" s="17"/>
      <c r="P17" s="17"/>
      <c r="Q17" s="17"/>
      <c r="R17" s="17"/>
    </row>
    <row r="18" spans="1:18" x14ac:dyDescent="0.25">
      <c r="A18" s="2"/>
      <c r="B18" s="4" t="s">
        <v>31</v>
      </c>
      <c r="C18" s="2"/>
      <c r="D18" s="17"/>
      <c r="E18" s="17"/>
      <c r="F18" s="17"/>
      <c r="G18" s="17"/>
      <c r="H18" s="17"/>
      <c r="I18" s="17"/>
      <c r="J18" s="17"/>
      <c r="K18" s="17"/>
      <c r="L18" s="17"/>
      <c r="M18" s="17"/>
      <c r="N18" s="17"/>
      <c r="O18" s="17"/>
      <c r="P18" s="17"/>
      <c r="Q18" s="17"/>
      <c r="R18" s="17"/>
    </row>
    <row r="19" spans="1:18" s="50" customFormat="1" x14ac:dyDescent="0.25">
      <c r="A19" s="2"/>
      <c r="B19" s="36" t="s">
        <v>125</v>
      </c>
      <c r="C19" s="44"/>
      <c r="D19" s="50">
        <f>Precificação!B5*12</f>
        <v>8640</v>
      </c>
    </row>
    <row r="20" spans="1:18" x14ac:dyDescent="0.25">
      <c r="A20" s="2"/>
      <c r="B20" s="36" t="s">
        <v>126</v>
      </c>
      <c r="C20" s="44"/>
      <c r="D20" s="50">
        <f ca="1">Precificação!B34</f>
        <v>46.859699402988575</v>
      </c>
      <c r="E20" s="44"/>
      <c r="F20" s="44"/>
      <c r="G20" s="44"/>
      <c r="H20" s="17"/>
      <c r="I20" s="17"/>
      <c r="J20" s="17"/>
      <c r="K20" s="17"/>
      <c r="L20" s="17"/>
      <c r="M20" s="17"/>
      <c r="N20" s="17"/>
      <c r="O20" s="17"/>
      <c r="P20" s="17"/>
      <c r="Q20" s="17"/>
      <c r="R20" s="17"/>
    </row>
    <row r="21" spans="1:18" x14ac:dyDescent="0.25">
      <c r="A21" s="2"/>
      <c r="B21" s="36" t="s">
        <v>137</v>
      </c>
      <c r="C21" s="44"/>
      <c r="D21" s="44">
        <f>'Investimento Inicial'!C5</f>
        <v>45</v>
      </c>
      <c r="E21" s="44"/>
      <c r="F21" s="44"/>
      <c r="G21" s="44"/>
      <c r="H21" s="17"/>
      <c r="I21" s="17"/>
      <c r="J21" s="17"/>
      <c r="K21" s="17"/>
      <c r="L21" s="17"/>
      <c r="M21" s="17"/>
      <c r="N21" s="17"/>
      <c r="O21" s="17"/>
      <c r="P21" s="17"/>
      <c r="Q21" s="17"/>
      <c r="R21" s="17"/>
    </row>
    <row r="22" spans="1:18" s="51" customFormat="1" x14ac:dyDescent="0.25">
      <c r="A22" s="2"/>
      <c r="B22" s="36" t="s">
        <v>130</v>
      </c>
      <c r="C22" s="44"/>
      <c r="D22" s="51">
        <f>Precificação!B4*60</f>
        <v>3100</v>
      </c>
      <c r="E22" s="51">
        <f t="shared" ref="E22:R22" si="1">D22</f>
        <v>3100</v>
      </c>
      <c r="F22" s="51">
        <f t="shared" si="1"/>
        <v>3100</v>
      </c>
      <c r="G22" s="51">
        <f t="shared" si="1"/>
        <v>3100</v>
      </c>
      <c r="H22" s="51">
        <f t="shared" si="1"/>
        <v>3100</v>
      </c>
      <c r="I22" s="51">
        <f t="shared" si="1"/>
        <v>3100</v>
      </c>
      <c r="J22" s="51">
        <f t="shared" si="1"/>
        <v>3100</v>
      </c>
      <c r="K22" s="51">
        <f t="shared" si="1"/>
        <v>3100</v>
      </c>
      <c r="L22" s="51">
        <f t="shared" si="1"/>
        <v>3100</v>
      </c>
      <c r="M22" s="51">
        <f t="shared" si="1"/>
        <v>3100</v>
      </c>
      <c r="N22" s="51">
        <f t="shared" si="1"/>
        <v>3100</v>
      </c>
      <c r="O22" s="51">
        <f t="shared" si="1"/>
        <v>3100</v>
      </c>
      <c r="P22" s="51">
        <f t="shared" si="1"/>
        <v>3100</v>
      </c>
      <c r="Q22" s="51">
        <f t="shared" si="1"/>
        <v>3100</v>
      </c>
      <c r="R22" s="51">
        <f t="shared" si="1"/>
        <v>3100</v>
      </c>
    </row>
    <row r="23" spans="1:18" x14ac:dyDescent="0.25">
      <c r="A23" s="2"/>
      <c r="B23" s="4"/>
      <c r="C23" s="45"/>
      <c r="D23" s="45"/>
      <c r="E23" s="45"/>
      <c r="F23" s="45"/>
      <c r="G23" s="45"/>
      <c r="H23" s="17"/>
      <c r="I23" s="17"/>
      <c r="J23" s="17"/>
      <c r="K23" s="17"/>
      <c r="L23" s="17"/>
      <c r="M23" s="17"/>
      <c r="N23" s="17"/>
      <c r="O23" s="17"/>
      <c r="P23" s="17"/>
      <c r="Q23" s="17"/>
      <c r="R23" s="17"/>
    </row>
    <row r="24" spans="1:18" x14ac:dyDescent="0.25">
      <c r="A24" s="4" t="s">
        <v>1</v>
      </c>
      <c r="B24" s="43" t="s">
        <v>7</v>
      </c>
      <c r="C24" s="42"/>
      <c r="D24" s="93">
        <f>$G$1</f>
        <v>2025</v>
      </c>
      <c r="E24" s="93">
        <f t="shared" ref="E24:R24" si="2">D24+1</f>
        <v>2026</v>
      </c>
      <c r="F24" s="93">
        <f t="shared" si="2"/>
        <v>2027</v>
      </c>
      <c r="G24" s="93">
        <f t="shared" si="2"/>
        <v>2028</v>
      </c>
      <c r="H24" s="93">
        <f t="shared" si="2"/>
        <v>2029</v>
      </c>
      <c r="I24" s="93">
        <f t="shared" si="2"/>
        <v>2030</v>
      </c>
      <c r="J24" s="93">
        <f t="shared" si="2"/>
        <v>2031</v>
      </c>
      <c r="K24" s="93">
        <f t="shared" si="2"/>
        <v>2032</v>
      </c>
      <c r="L24" s="93">
        <f t="shared" si="2"/>
        <v>2033</v>
      </c>
      <c r="M24" s="93">
        <f t="shared" si="2"/>
        <v>2034</v>
      </c>
      <c r="N24" s="93">
        <f t="shared" si="2"/>
        <v>2035</v>
      </c>
      <c r="O24" s="93">
        <f t="shared" si="2"/>
        <v>2036</v>
      </c>
      <c r="P24" s="93">
        <f t="shared" si="2"/>
        <v>2037</v>
      </c>
      <c r="Q24" s="93">
        <f t="shared" si="2"/>
        <v>2038</v>
      </c>
      <c r="R24" s="93">
        <f t="shared" si="2"/>
        <v>2039</v>
      </c>
    </row>
    <row r="26" spans="1:18" x14ac:dyDescent="0.25">
      <c r="B26" s="22" t="s">
        <v>25</v>
      </c>
      <c r="C26" s="14"/>
      <c r="D26" s="16">
        <f t="shared" ref="D26:R26" ca="1" si="3">D19*D20</f>
        <v>404867.80284182128</v>
      </c>
      <c r="E26" s="16">
        <f t="shared" si="3"/>
        <v>0</v>
      </c>
      <c r="F26" s="16">
        <f t="shared" si="3"/>
        <v>0</v>
      </c>
      <c r="G26" s="16">
        <f t="shared" si="3"/>
        <v>0</v>
      </c>
      <c r="H26" s="16">
        <f t="shared" si="3"/>
        <v>0</v>
      </c>
      <c r="I26" s="16">
        <f t="shared" si="3"/>
        <v>0</v>
      </c>
      <c r="J26" s="16">
        <f t="shared" si="3"/>
        <v>0</v>
      </c>
      <c r="K26" s="16">
        <f t="shared" si="3"/>
        <v>0</v>
      </c>
      <c r="L26" s="16">
        <f t="shared" si="3"/>
        <v>0</v>
      </c>
      <c r="M26" s="16">
        <f t="shared" si="3"/>
        <v>0</v>
      </c>
      <c r="N26" s="16">
        <f t="shared" si="3"/>
        <v>0</v>
      </c>
      <c r="O26" s="16">
        <f t="shared" si="3"/>
        <v>0</v>
      </c>
      <c r="P26" s="16">
        <f t="shared" si="3"/>
        <v>0</v>
      </c>
      <c r="Q26" s="16">
        <f t="shared" si="3"/>
        <v>0</v>
      </c>
      <c r="R26" s="16">
        <f t="shared" si="3"/>
        <v>0</v>
      </c>
    </row>
    <row r="27" spans="1:18" x14ac:dyDescent="0.25">
      <c r="B27" s="6" t="s">
        <v>8</v>
      </c>
      <c r="C27" s="12"/>
      <c r="D27" s="20">
        <f t="shared" ref="D27:R27" ca="1" si="4">D28+D29</f>
        <v>35628.366650080272</v>
      </c>
      <c r="E27" s="20">
        <f t="shared" si="4"/>
        <v>0</v>
      </c>
      <c r="F27" s="20">
        <f t="shared" si="4"/>
        <v>0</v>
      </c>
      <c r="G27" s="20">
        <f t="shared" si="4"/>
        <v>0</v>
      </c>
      <c r="H27" s="20">
        <f t="shared" si="4"/>
        <v>0</v>
      </c>
      <c r="I27" s="20">
        <f t="shared" si="4"/>
        <v>0</v>
      </c>
      <c r="J27" s="20">
        <f t="shared" si="4"/>
        <v>0</v>
      </c>
      <c r="K27" s="20">
        <f t="shared" si="4"/>
        <v>0</v>
      </c>
      <c r="L27" s="20">
        <f t="shared" si="4"/>
        <v>0</v>
      </c>
      <c r="M27" s="20">
        <f t="shared" si="4"/>
        <v>0</v>
      </c>
      <c r="N27" s="20">
        <f t="shared" si="4"/>
        <v>0</v>
      </c>
      <c r="O27" s="20">
        <f t="shared" si="4"/>
        <v>0</v>
      </c>
      <c r="P27" s="20">
        <f t="shared" si="4"/>
        <v>0</v>
      </c>
      <c r="Q27" s="20">
        <f t="shared" si="4"/>
        <v>0</v>
      </c>
      <c r="R27" s="20">
        <f t="shared" si="4"/>
        <v>0</v>
      </c>
    </row>
    <row r="28" spans="1:18" x14ac:dyDescent="0.25">
      <c r="B28" s="7" t="s">
        <v>9</v>
      </c>
      <c r="C28" s="13"/>
      <c r="D28" s="17">
        <f ca="1">D6*D26</f>
        <v>31579.688621662059</v>
      </c>
      <c r="E28" s="17"/>
      <c r="F28" s="17"/>
      <c r="G28" s="17"/>
      <c r="H28" s="17"/>
      <c r="I28" s="17">
        <f t="shared" ref="I28:R28" si="5">H28*(1+I6)</f>
        <v>0</v>
      </c>
      <c r="J28" s="17">
        <f t="shared" si="5"/>
        <v>0</v>
      </c>
      <c r="K28" s="17">
        <f t="shared" si="5"/>
        <v>0</v>
      </c>
      <c r="L28" s="17">
        <f t="shared" si="5"/>
        <v>0</v>
      </c>
      <c r="M28" s="17">
        <f t="shared" si="5"/>
        <v>0</v>
      </c>
      <c r="N28" s="17">
        <f t="shared" si="5"/>
        <v>0</v>
      </c>
      <c r="O28" s="17">
        <f t="shared" si="5"/>
        <v>0</v>
      </c>
      <c r="P28" s="17">
        <f t="shared" si="5"/>
        <v>0</v>
      </c>
      <c r="Q28" s="17">
        <f t="shared" si="5"/>
        <v>0</v>
      </c>
      <c r="R28" s="17">
        <f t="shared" si="5"/>
        <v>0</v>
      </c>
    </row>
    <row r="29" spans="1:18" x14ac:dyDescent="0.25">
      <c r="B29" s="7" t="s">
        <v>10</v>
      </c>
      <c r="C29" s="13"/>
      <c r="D29" s="18">
        <f ca="1">$D$7*$D$26</f>
        <v>4048.6780284182128</v>
      </c>
      <c r="E29" s="18"/>
      <c r="F29" s="18"/>
      <c r="G29" s="18"/>
      <c r="H29" s="18"/>
      <c r="I29" s="18"/>
      <c r="J29" s="18"/>
      <c r="K29" s="18"/>
      <c r="L29" s="18"/>
      <c r="M29" s="18"/>
      <c r="N29" s="18"/>
      <c r="O29" s="18"/>
      <c r="P29" s="18"/>
      <c r="Q29" s="18"/>
      <c r="R29" s="18"/>
    </row>
    <row r="30" spans="1:18" x14ac:dyDescent="0.25">
      <c r="B30" s="22" t="s">
        <v>11</v>
      </c>
      <c r="C30" s="14"/>
      <c r="D30" s="16">
        <f t="shared" ref="D30:R30" ca="1" si="6">D26-D27</f>
        <v>369239.43619174103</v>
      </c>
      <c r="E30" s="16">
        <f t="shared" si="6"/>
        <v>0</v>
      </c>
      <c r="F30" s="16">
        <f t="shared" si="6"/>
        <v>0</v>
      </c>
      <c r="G30" s="16">
        <f t="shared" si="6"/>
        <v>0</v>
      </c>
      <c r="H30" s="16">
        <f t="shared" si="6"/>
        <v>0</v>
      </c>
      <c r="I30" s="16">
        <f t="shared" si="6"/>
        <v>0</v>
      </c>
      <c r="J30" s="16">
        <f t="shared" si="6"/>
        <v>0</v>
      </c>
      <c r="K30" s="16">
        <f t="shared" si="6"/>
        <v>0</v>
      </c>
      <c r="L30" s="16">
        <f t="shared" si="6"/>
        <v>0</v>
      </c>
      <c r="M30" s="16">
        <f t="shared" si="6"/>
        <v>0</v>
      </c>
      <c r="N30" s="16">
        <f t="shared" si="6"/>
        <v>0</v>
      </c>
      <c r="O30" s="16">
        <f t="shared" si="6"/>
        <v>0</v>
      </c>
      <c r="P30" s="16">
        <f t="shared" si="6"/>
        <v>0</v>
      </c>
      <c r="Q30" s="16">
        <f t="shared" si="6"/>
        <v>0</v>
      </c>
      <c r="R30" s="16">
        <f t="shared" si="6"/>
        <v>0</v>
      </c>
    </row>
    <row r="31" spans="1:18" x14ac:dyDescent="0.25">
      <c r="B31" s="6" t="s">
        <v>12</v>
      </c>
      <c r="C31" s="13"/>
      <c r="D31" s="18">
        <f ca="1">$D$8*D26</f>
        <v>189285.59999999998</v>
      </c>
      <c r="E31" s="18"/>
      <c r="F31" s="18"/>
      <c r="G31" s="18"/>
      <c r="H31" s="18"/>
      <c r="I31" s="18">
        <f t="shared" ref="I31:R31" si="7">H31*(1+I8)</f>
        <v>0</v>
      </c>
      <c r="J31" s="18">
        <f t="shared" si="7"/>
        <v>0</v>
      </c>
      <c r="K31" s="18">
        <f t="shared" si="7"/>
        <v>0</v>
      </c>
      <c r="L31" s="18">
        <f t="shared" si="7"/>
        <v>0</v>
      </c>
      <c r="M31" s="18">
        <f t="shared" si="7"/>
        <v>0</v>
      </c>
      <c r="N31" s="18">
        <f t="shared" si="7"/>
        <v>0</v>
      </c>
      <c r="O31" s="18">
        <f t="shared" si="7"/>
        <v>0</v>
      </c>
      <c r="P31" s="18">
        <f t="shared" si="7"/>
        <v>0</v>
      </c>
      <c r="Q31" s="18">
        <f t="shared" si="7"/>
        <v>0</v>
      </c>
      <c r="R31" s="18">
        <f t="shared" si="7"/>
        <v>0</v>
      </c>
    </row>
    <row r="32" spans="1:18" x14ac:dyDescent="0.25">
      <c r="B32" s="22" t="s">
        <v>13</v>
      </c>
      <c r="C32" s="14"/>
      <c r="D32" s="16">
        <f t="shared" ref="D32:R32" ca="1" si="8">D30-D31</f>
        <v>179953.83619174105</v>
      </c>
      <c r="E32" s="16">
        <f t="shared" si="8"/>
        <v>0</v>
      </c>
      <c r="F32" s="16">
        <f t="shared" si="8"/>
        <v>0</v>
      </c>
      <c r="G32" s="16">
        <f t="shared" si="8"/>
        <v>0</v>
      </c>
      <c r="H32" s="16">
        <f t="shared" si="8"/>
        <v>0</v>
      </c>
      <c r="I32" s="16">
        <f t="shared" si="8"/>
        <v>0</v>
      </c>
      <c r="J32" s="16">
        <f t="shared" si="8"/>
        <v>0</v>
      </c>
      <c r="K32" s="16">
        <f t="shared" si="8"/>
        <v>0</v>
      </c>
      <c r="L32" s="16">
        <f t="shared" si="8"/>
        <v>0</v>
      </c>
      <c r="M32" s="16">
        <f t="shared" si="8"/>
        <v>0</v>
      </c>
      <c r="N32" s="16">
        <f t="shared" si="8"/>
        <v>0</v>
      </c>
      <c r="O32" s="16">
        <f t="shared" si="8"/>
        <v>0</v>
      </c>
      <c r="P32" s="16">
        <f t="shared" si="8"/>
        <v>0</v>
      </c>
      <c r="Q32" s="16">
        <f t="shared" si="8"/>
        <v>0</v>
      </c>
      <c r="R32" s="16">
        <f t="shared" si="8"/>
        <v>0</v>
      </c>
    </row>
    <row r="33" spans="1:18" x14ac:dyDescent="0.25">
      <c r="B33" s="9" t="s">
        <v>32</v>
      </c>
      <c r="C33" s="12"/>
      <c r="D33" s="18">
        <f ca="1">$D$9*$D$26</f>
        <v>144152.74619892752</v>
      </c>
      <c r="E33" s="18"/>
      <c r="F33" s="18"/>
      <c r="G33" s="18"/>
      <c r="H33" s="18"/>
      <c r="I33" s="18">
        <f t="shared" ref="I33:R33" si="9">H33+(1*I9)</f>
        <v>0</v>
      </c>
      <c r="J33" s="18">
        <f t="shared" si="9"/>
        <v>0</v>
      </c>
      <c r="K33" s="18">
        <f t="shared" si="9"/>
        <v>0</v>
      </c>
      <c r="L33" s="18">
        <f t="shared" si="9"/>
        <v>0</v>
      </c>
      <c r="M33" s="18">
        <f t="shared" si="9"/>
        <v>0</v>
      </c>
      <c r="N33" s="18">
        <f t="shared" si="9"/>
        <v>0</v>
      </c>
      <c r="O33" s="18">
        <f t="shared" si="9"/>
        <v>0</v>
      </c>
      <c r="P33" s="18">
        <f t="shared" si="9"/>
        <v>0</v>
      </c>
      <c r="Q33" s="18">
        <f t="shared" si="9"/>
        <v>0</v>
      </c>
      <c r="R33" s="18">
        <f t="shared" si="9"/>
        <v>0</v>
      </c>
    </row>
    <row r="34" spans="1:18" x14ac:dyDescent="0.25">
      <c r="B34" s="22" t="s">
        <v>14</v>
      </c>
      <c r="C34" s="14"/>
      <c r="D34" s="16">
        <f t="shared" ref="D34:R34" ca="1" si="10">D32-D33</f>
        <v>35801.089992813533</v>
      </c>
      <c r="E34" s="16">
        <f t="shared" si="10"/>
        <v>0</v>
      </c>
      <c r="F34" s="16">
        <f t="shared" si="10"/>
        <v>0</v>
      </c>
      <c r="G34" s="16">
        <f t="shared" si="10"/>
        <v>0</v>
      </c>
      <c r="H34" s="16">
        <f t="shared" si="10"/>
        <v>0</v>
      </c>
      <c r="I34" s="16">
        <f t="shared" si="10"/>
        <v>0</v>
      </c>
      <c r="J34" s="16">
        <f t="shared" si="10"/>
        <v>0</v>
      </c>
      <c r="K34" s="16">
        <f t="shared" si="10"/>
        <v>0</v>
      </c>
      <c r="L34" s="16">
        <f t="shared" si="10"/>
        <v>0</v>
      </c>
      <c r="M34" s="16">
        <f t="shared" si="10"/>
        <v>0</v>
      </c>
      <c r="N34" s="16">
        <f t="shared" si="10"/>
        <v>0</v>
      </c>
      <c r="O34" s="16">
        <f t="shared" si="10"/>
        <v>0</v>
      </c>
      <c r="P34" s="16">
        <f t="shared" si="10"/>
        <v>0</v>
      </c>
      <c r="Q34" s="16">
        <f t="shared" si="10"/>
        <v>0</v>
      </c>
      <c r="R34" s="16">
        <f t="shared" si="10"/>
        <v>0</v>
      </c>
    </row>
    <row r="35" spans="1:18" x14ac:dyDescent="0.25">
      <c r="B35" s="9" t="s">
        <v>15</v>
      </c>
      <c r="C35" s="13"/>
      <c r="D35" s="18">
        <v>0</v>
      </c>
      <c r="E35" s="18"/>
      <c r="F35" s="18"/>
      <c r="G35" s="18"/>
      <c r="H35" s="18"/>
      <c r="I35" s="18">
        <f t="shared" ref="I35:R35" si="11">H35</f>
        <v>0</v>
      </c>
      <c r="J35" s="18">
        <f t="shared" si="11"/>
        <v>0</v>
      </c>
      <c r="K35" s="18">
        <f t="shared" si="11"/>
        <v>0</v>
      </c>
      <c r="L35" s="18">
        <f t="shared" si="11"/>
        <v>0</v>
      </c>
      <c r="M35" s="18">
        <f t="shared" si="11"/>
        <v>0</v>
      </c>
      <c r="N35" s="18">
        <f t="shared" si="11"/>
        <v>0</v>
      </c>
      <c r="O35" s="18">
        <f t="shared" si="11"/>
        <v>0</v>
      </c>
      <c r="P35" s="18">
        <f t="shared" si="11"/>
        <v>0</v>
      </c>
      <c r="Q35" s="18">
        <f t="shared" si="11"/>
        <v>0</v>
      </c>
      <c r="R35" s="18">
        <f t="shared" si="11"/>
        <v>0</v>
      </c>
    </row>
    <row r="36" spans="1:18" x14ac:dyDescent="0.25">
      <c r="B36" s="22" t="s">
        <v>17</v>
      </c>
      <c r="C36" s="14"/>
      <c r="D36" s="16">
        <f t="shared" ref="D36:R36" ca="1" si="12">D34+D35</f>
        <v>35801.089992813533</v>
      </c>
      <c r="E36" s="16">
        <f t="shared" si="12"/>
        <v>0</v>
      </c>
      <c r="F36" s="16">
        <f t="shared" si="12"/>
        <v>0</v>
      </c>
      <c r="G36" s="16">
        <f t="shared" si="12"/>
        <v>0</v>
      </c>
      <c r="H36" s="16">
        <f t="shared" si="12"/>
        <v>0</v>
      </c>
      <c r="I36" s="16">
        <f t="shared" si="12"/>
        <v>0</v>
      </c>
      <c r="J36" s="16">
        <f t="shared" si="12"/>
        <v>0</v>
      </c>
      <c r="K36" s="16">
        <f t="shared" si="12"/>
        <v>0</v>
      </c>
      <c r="L36" s="16">
        <f t="shared" si="12"/>
        <v>0</v>
      </c>
      <c r="M36" s="16">
        <f t="shared" si="12"/>
        <v>0</v>
      </c>
      <c r="N36" s="16">
        <f t="shared" si="12"/>
        <v>0</v>
      </c>
      <c r="O36" s="16">
        <f t="shared" si="12"/>
        <v>0</v>
      </c>
      <c r="P36" s="16">
        <f t="shared" si="12"/>
        <v>0</v>
      </c>
      <c r="Q36" s="16">
        <f t="shared" si="12"/>
        <v>0</v>
      </c>
      <c r="R36" s="16">
        <f t="shared" si="12"/>
        <v>0</v>
      </c>
    </row>
    <row r="37" spans="1:18" x14ac:dyDescent="0.25">
      <c r="B37" s="9" t="s">
        <v>26</v>
      </c>
      <c r="C37" s="11"/>
      <c r="D37" s="20">
        <f t="shared" ref="D37:R37" si="13">D38-D39</f>
        <v>-12938.098691941514</v>
      </c>
      <c r="E37" s="20">
        <f t="shared" si="13"/>
        <v>0</v>
      </c>
      <c r="F37" s="20">
        <f t="shared" si="13"/>
        <v>0</v>
      </c>
      <c r="G37" s="20">
        <f t="shared" si="13"/>
        <v>0</v>
      </c>
      <c r="H37" s="20">
        <f t="shared" si="13"/>
        <v>0</v>
      </c>
      <c r="I37" s="20">
        <f t="shared" ca="1" si="13"/>
        <v>0</v>
      </c>
      <c r="J37" s="20">
        <f t="shared" si="13"/>
        <v>0</v>
      </c>
      <c r="K37" s="20">
        <f t="shared" si="13"/>
        <v>0</v>
      </c>
      <c r="L37" s="20">
        <f t="shared" si="13"/>
        <v>0</v>
      </c>
      <c r="M37" s="20">
        <f t="shared" si="13"/>
        <v>0</v>
      </c>
      <c r="N37" s="20">
        <f t="shared" si="13"/>
        <v>0</v>
      </c>
      <c r="O37" s="20">
        <f t="shared" si="13"/>
        <v>0</v>
      </c>
      <c r="P37" s="20">
        <f t="shared" si="13"/>
        <v>0</v>
      </c>
      <c r="Q37" s="20">
        <f t="shared" si="13"/>
        <v>0</v>
      </c>
      <c r="R37" s="20">
        <f t="shared" si="13"/>
        <v>0</v>
      </c>
    </row>
    <row r="38" spans="1:18" x14ac:dyDescent="0.25">
      <c r="B38" s="7" t="s">
        <v>18</v>
      </c>
      <c r="C38" s="12"/>
      <c r="D38" s="18"/>
      <c r="E38" s="18"/>
      <c r="F38" s="18"/>
      <c r="G38" s="18"/>
      <c r="H38" s="18"/>
      <c r="I38" s="18">
        <f t="shared" ref="I38:R38" si="14">H38*(1+I108)</f>
        <v>0</v>
      </c>
      <c r="J38" s="18">
        <f t="shared" si="14"/>
        <v>0</v>
      </c>
      <c r="K38" s="18">
        <f t="shared" si="14"/>
        <v>0</v>
      </c>
      <c r="L38" s="18">
        <f t="shared" si="14"/>
        <v>0</v>
      </c>
      <c r="M38" s="18">
        <f t="shared" si="14"/>
        <v>0</v>
      </c>
      <c r="N38" s="18">
        <f t="shared" si="14"/>
        <v>0</v>
      </c>
      <c r="O38" s="18">
        <f t="shared" si="14"/>
        <v>0</v>
      </c>
      <c r="P38" s="18">
        <f t="shared" si="14"/>
        <v>0</v>
      </c>
      <c r="Q38" s="18">
        <f t="shared" si="14"/>
        <v>0</v>
      </c>
      <c r="R38" s="18">
        <f t="shared" si="14"/>
        <v>0</v>
      </c>
    </row>
    <row r="39" spans="1:18" x14ac:dyDescent="0.25">
      <c r="B39" s="7" t="s">
        <v>19</v>
      </c>
      <c r="C39" s="12"/>
      <c r="D39" s="18">
        <f>'Simulação Empréstimo'!K6</f>
        <v>12938.098691941514</v>
      </c>
      <c r="E39" s="18"/>
      <c r="F39" s="18"/>
      <c r="G39" s="18"/>
      <c r="H39" s="18"/>
      <c r="I39" s="18">
        <f t="shared" ref="I39:R39" ca="1" si="15">I135</f>
        <v>0</v>
      </c>
      <c r="J39" s="18">
        <f t="shared" si="15"/>
        <v>0</v>
      </c>
      <c r="K39" s="18">
        <f t="shared" si="15"/>
        <v>0</v>
      </c>
      <c r="L39" s="18">
        <f t="shared" si="15"/>
        <v>0</v>
      </c>
      <c r="M39" s="18">
        <f t="shared" si="15"/>
        <v>0</v>
      </c>
      <c r="N39" s="18">
        <f t="shared" si="15"/>
        <v>0</v>
      </c>
      <c r="O39" s="18">
        <f t="shared" si="15"/>
        <v>0</v>
      </c>
      <c r="P39" s="18">
        <f t="shared" si="15"/>
        <v>0</v>
      </c>
      <c r="Q39" s="18">
        <f t="shared" si="15"/>
        <v>0</v>
      </c>
      <c r="R39" s="18">
        <f t="shared" si="15"/>
        <v>0</v>
      </c>
    </row>
    <row r="40" spans="1:18" x14ac:dyDescent="0.25">
      <c r="B40" s="22" t="s">
        <v>20</v>
      </c>
      <c r="C40" s="14"/>
      <c r="D40" s="16">
        <f t="shared" ref="D40:R40" ca="1" si="16">D36+D37</f>
        <v>22862.991300872018</v>
      </c>
      <c r="E40" s="16">
        <f t="shared" si="16"/>
        <v>0</v>
      </c>
      <c r="F40" s="16">
        <f t="shared" si="16"/>
        <v>0</v>
      </c>
      <c r="G40" s="16">
        <f t="shared" si="16"/>
        <v>0</v>
      </c>
      <c r="H40" s="16">
        <f t="shared" si="16"/>
        <v>0</v>
      </c>
      <c r="I40" s="16">
        <f t="shared" ca="1" si="16"/>
        <v>0</v>
      </c>
      <c r="J40" s="16">
        <f t="shared" si="16"/>
        <v>0</v>
      </c>
      <c r="K40" s="16">
        <f t="shared" si="16"/>
        <v>0</v>
      </c>
      <c r="L40" s="16">
        <f t="shared" si="16"/>
        <v>0</v>
      </c>
      <c r="M40" s="16">
        <f t="shared" si="16"/>
        <v>0</v>
      </c>
      <c r="N40" s="16">
        <f t="shared" si="16"/>
        <v>0</v>
      </c>
      <c r="O40" s="16">
        <f t="shared" si="16"/>
        <v>0</v>
      </c>
      <c r="P40" s="16">
        <f t="shared" si="16"/>
        <v>0</v>
      </c>
      <c r="Q40" s="16">
        <f t="shared" si="16"/>
        <v>0</v>
      </c>
      <c r="R40" s="16">
        <f t="shared" si="16"/>
        <v>0</v>
      </c>
    </row>
    <row r="41" spans="1:18" hidden="1" outlineLevel="1" x14ac:dyDescent="0.25">
      <c r="B41" s="9" t="s">
        <v>136</v>
      </c>
      <c r="C41" s="13"/>
      <c r="D41" s="18">
        <f t="shared" ref="D41:R41" si="17">D42+D43</f>
        <v>0</v>
      </c>
      <c r="E41" s="18">
        <f t="shared" si="17"/>
        <v>0</v>
      </c>
      <c r="F41" s="18">
        <f t="shared" si="17"/>
        <v>0</v>
      </c>
      <c r="G41" s="18">
        <f t="shared" si="17"/>
        <v>0</v>
      </c>
      <c r="H41" s="18">
        <f t="shared" si="17"/>
        <v>0</v>
      </c>
      <c r="I41" s="18">
        <f t="shared" si="17"/>
        <v>0</v>
      </c>
      <c r="J41" s="18">
        <f t="shared" si="17"/>
        <v>0</v>
      </c>
      <c r="K41" s="18">
        <f t="shared" si="17"/>
        <v>0</v>
      </c>
      <c r="L41" s="18">
        <f t="shared" si="17"/>
        <v>0</v>
      </c>
      <c r="M41" s="18">
        <f t="shared" si="17"/>
        <v>0</v>
      </c>
      <c r="N41" s="18">
        <f t="shared" si="17"/>
        <v>0</v>
      </c>
      <c r="O41" s="18">
        <f t="shared" si="17"/>
        <v>0</v>
      </c>
      <c r="P41" s="18">
        <f t="shared" si="17"/>
        <v>0</v>
      </c>
      <c r="Q41" s="18">
        <f t="shared" si="17"/>
        <v>0</v>
      </c>
      <c r="R41" s="18">
        <f t="shared" si="17"/>
        <v>0</v>
      </c>
    </row>
    <row r="42" spans="1:18" hidden="1" outlineLevel="1" x14ac:dyDescent="0.25">
      <c r="B42" s="10" t="s">
        <v>21</v>
      </c>
      <c r="C42" s="13"/>
      <c r="D42" s="18"/>
      <c r="E42" s="18"/>
      <c r="F42" s="18"/>
      <c r="G42" s="18"/>
      <c r="H42" s="18"/>
      <c r="I42" s="18">
        <v>0</v>
      </c>
      <c r="J42" s="18">
        <v>0</v>
      </c>
      <c r="K42" s="18">
        <v>0</v>
      </c>
      <c r="L42" s="18">
        <v>0</v>
      </c>
      <c r="M42" s="18">
        <v>0</v>
      </c>
      <c r="N42" s="18">
        <v>0</v>
      </c>
      <c r="O42" s="18">
        <v>0</v>
      </c>
      <c r="P42" s="18">
        <v>0</v>
      </c>
      <c r="Q42" s="18">
        <v>0</v>
      </c>
      <c r="R42" s="18">
        <v>0</v>
      </c>
    </row>
    <row r="43" spans="1:18" hidden="1" outlineLevel="1" x14ac:dyDescent="0.25">
      <c r="B43" s="7" t="s">
        <v>22</v>
      </c>
      <c r="C43" s="13"/>
      <c r="D43" s="18"/>
      <c r="E43" s="18"/>
      <c r="F43" s="18"/>
      <c r="G43" s="18"/>
      <c r="H43" s="18"/>
      <c r="I43" s="18">
        <v>0</v>
      </c>
      <c r="J43" s="18">
        <v>0</v>
      </c>
      <c r="K43" s="18">
        <v>0</v>
      </c>
      <c r="L43" s="18">
        <v>0</v>
      </c>
      <c r="M43" s="18">
        <v>0</v>
      </c>
      <c r="N43" s="18">
        <v>0</v>
      </c>
      <c r="O43" s="18">
        <v>0</v>
      </c>
      <c r="P43" s="18">
        <v>0</v>
      </c>
      <c r="Q43" s="18">
        <v>0</v>
      </c>
      <c r="R43" s="18">
        <v>0</v>
      </c>
    </row>
    <row r="44" spans="1:18" collapsed="1" x14ac:dyDescent="0.25">
      <c r="B44" s="22" t="s">
        <v>23</v>
      </c>
      <c r="C44" s="14"/>
      <c r="D44" s="16">
        <f t="shared" ref="D44:R44" ca="1" si="18">D40-D41</f>
        <v>22862.991300872018</v>
      </c>
      <c r="E44" s="16">
        <f t="shared" si="18"/>
        <v>0</v>
      </c>
      <c r="F44" s="16">
        <f t="shared" si="18"/>
        <v>0</v>
      </c>
      <c r="G44" s="16">
        <f t="shared" si="18"/>
        <v>0</v>
      </c>
      <c r="H44" s="16">
        <f t="shared" si="18"/>
        <v>0</v>
      </c>
      <c r="I44" s="16">
        <f t="shared" ca="1" si="18"/>
        <v>0</v>
      </c>
      <c r="J44" s="16">
        <f t="shared" si="18"/>
        <v>0</v>
      </c>
      <c r="K44" s="16">
        <f t="shared" si="18"/>
        <v>0</v>
      </c>
      <c r="L44" s="16">
        <f t="shared" si="18"/>
        <v>0</v>
      </c>
      <c r="M44" s="16">
        <f t="shared" si="18"/>
        <v>0</v>
      </c>
      <c r="N44" s="16">
        <f t="shared" si="18"/>
        <v>0</v>
      </c>
      <c r="O44" s="16">
        <f t="shared" si="18"/>
        <v>0</v>
      </c>
      <c r="P44" s="16">
        <f t="shared" si="18"/>
        <v>0</v>
      </c>
      <c r="Q44" s="16">
        <f t="shared" si="18"/>
        <v>0</v>
      </c>
      <c r="R44" s="16">
        <f t="shared" si="18"/>
        <v>0</v>
      </c>
    </row>
    <row r="45" spans="1:18" x14ac:dyDescent="0.25">
      <c r="B45" s="15" t="s">
        <v>33</v>
      </c>
      <c r="C45" s="2"/>
      <c r="D45" s="17">
        <f>$D$10*$D$56</f>
        <v>0</v>
      </c>
      <c r="E45" s="17"/>
      <c r="F45" s="17"/>
      <c r="G45" s="17"/>
      <c r="H45" s="17"/>
      <c r="I45" s="17">
        <f t="shared" ref="I45:R45" si="19">I10*I56</f>
        <v>0</v>
      </c>
      <c r="J45" s="17">
        <f t="shared" si="19"/>
        <v>0</v>
      </c>
      <c r="K45" s="17">
        <f t="shared" si="19"/>
        <v>0</v>
      </c>
      <c r="L45" s="17">
        <f t="shared" si="19"/>
        <v>0</v>
      </c>
      <c r="M45" s="17">
        <f t="shared" si="19"/>
        <v>0</v>
      </c>
      <c r="N45" s="17">
        <f t="shared" si="19"/>
        <v>0</v>
      </c>
      <c r="O45" s="17">
        <f t="shared" si="19"/>
        <v>0</v>
      </c>
      <c r="P45" s="17">
        <f t="shared" si="19"/>
        <v>0</v>
      </c>
      <c r="Q45" s="17">
        <f t="shared" si="19"/>
        <v>0</v>
      </c>
      <c r="R45" s="17">
        <f t="shared" si="19"/>
        <v>0</v>
      </c>
    </row>
    <row r="46" spans="1:18" x14ac:dyDescent="0.25">
      <c r="B46" s="9" t="s">
        <v>16</v>
      </c>
      <c r="C46" s="4"/>
      <c r="D46" s="19">
        <f t="shared" ref="D46:R46" ca="1" si="20">D36+D45</f>
        <v>35801.089992813533</v>
      </c>
      <c r="E46" s="19">
        <f t="shared" si="20"/>
        <v>0</v>
      </c>
      <c r="F46" s="19">
        <f t="shared" si="20"/>
        <v>0</v>
      </c>
      <c r="G46" s="19">
        <f t="shared" si="20"/>
        <v>0</v>
      </c>
      <c r="H46" s="19">
        <f t="shared" si="20"/>
        <v>0</v>
      </c>
      <c r="I46" s="19">
        <f t="shared" si="20"/>
        <v>0</v>
      </c>
      <c r="J46" s="19">
        <f t="shared" si="20"/>
        <v>0</v>
      </c>
      <c r="K46" s="19">
        <f t="shared" si="20"/>
        <v>0</v>
      </c>
      <c r="L46" s="19">
        <f t="shared" si="20"/>
        <v>0</v>
      </c>
      <c r="M46" s="19">
        <f t="shared" si="20"/>
        <v>0</v>
      </c>
      <c r="N46" s="19">
        <f t="shared" si="20"/>
        <v>0</v>
      </c>
      <c r="O46" s="19">
        <f t="shared" si="20"/>
        <v>0</v>
      </c>
      <c r="P46" s="19">
        <f t="shared" si="20"/>
        <v>0</v>
      </c>
      <c r="Q46" s="19">
        <f t="shared" si="20"/>
        <v>0</v>
      </c>
      <c r="R46" s="19">
        <f t="shared" si="20"/>
        <v>0</v>
      </c>
    </row>
    <row r="47" spans="1:18" x14ac:dyDescent="0.25">
      <c r="D47" s="52"/>
    </row>
    <row r="48" spans="1:18" x14ac:dyDescent="0.25">
      <c r="A48" s="4" t="s">
        <v>1</v>
      </c>
      <c r="B48" s="43" t="s">
        <v>44</v>
      </c>
      <c r="C48" s="42"/>
      <c r="D48" s="93">
        <f>$G$1</f>
        <v>2025</v>
      </c>
      <c r="E48" s="93">
        <f t="shared" ref="E48:R48" si="21">D48+1</f>
        <v>2026</v>
      </c>
      <c r="F48" s="93">
        <f t="shared" si="21"/>
        <v>2027</v>
      </c>
      <c r="G48" s="93">
        <f t="shared" si="21"/>
        <v>2028</v>
      </c>
      <c r="H48" s="93">
        <f t="shared" si="21"/>
        <v>2029</v>
      </c>
      <c r="I48" s="93">
        <f t="shared" si="21"/>
        <v>2030</v>
      </c>
      <c r="J48" s="93">
        <f t="shared" si="21"/>
        <v>2031</v>
      </c>
      <c r="K48" s="93">
        <f t="shared" si="21"/>
        <v>2032</v>
      </c>
      <c r="L48" s="93">
        <f t="shared" si="21"/>
        <v>2033</v>
      </c>
      <c r="M48" s="93">
        <f t="shared" si="21"/>
        <v>2034</v>
      </c>
      <c r="N48" s="93">
        <f t="shared" si="21"/>
        <v>2035</v>
      </c>
      <c r="O48" s="93">
        <f t="shared" si="21"/>
        <v>2036</v>
      </c>
      <c r="P48" s="93">
        <f t="shared" si="21"/>
        <v>2037</v>
      </c>
      <c r="Q48" s="93">
        <f t="shared" si="21"/>
        <v>2038</v>
      </c>
      <c r="R48" s="93">
        <f t="shared" si="21"/>
        <v>2039</v>
      </c>
    </row>
    <row r="50" spans="2:18" x14ac:dyDescent="0.25">
      <c r="B50" s="22" t="s">
        <v>45</v>
      </c>
      <c r="C50" s="22"/>
      <c r="D50" s="16">
        <f t="shared" ref="D50:R50" si="22">SUM(D51:D53)</f>
        <v>0</v>
      </c>
      <c r="E50" s="16">
        <f t="shared" si="22"/>
        <v>0</v>
      </c>
      <c r="F50" s="16">
        <f t="shared" si="22"/>
        <v>0</v>
      </c>
      <c r="G50" s="16">
        <f t="shared" si="22"/>
        <v>0</v>
      </c>
      <c r="H50" s="16">
        <f t="shared" si="22"/>
        <v>0</v>
      </c>
      <c r="I50" s="16">
        <f t="shared" ca="1" si="22"/>
        <v>0</v>
      </c>
      <c r="J50" s="16">
        <f t="shared" ca="1" si="22"/>
        <v>0</v>
      </c>
      <c r="K50" s="16">
        <f t="shared" ca="1" si="22"/>
        <v>0</v>
      </c>
      <c r="L50" s="16">
        <f t="shared" ca="1" si="22"/>
        <v>0</v>
      </c>
      <c r="M50" s="16">
        <f t="shared" ca="1" si="22"/>
        <v>0</v>
      </c>
      <c r="N50" s="16">
        <f t="shared" ca="1" si="22"/>
        <v>0</v>
      </c>
      <c r="O50" s="16">
        <f t="shared" ca="1" si="22"/>
        <v>0</v>
      </c>
      <c r="P50" s="16">
        <f t="shared" ca="1" si="22"/>
        <v>0</v>
      </c>
      <c r="Q50" s="16">
        <f t="shared" ca="1" si="22"/>
        <v>0</v>
      </c>
      <c r="R50" s="16">
        <f t="shared" ca="1" si="22"/>
        <v>0</v>
      </c>
    </row>
    <row r="51" spans="2:18" x14ac:dyDescent="0.25">
      <c r="B51" s="29" t="s">
        <v>46</v>
      </c>
      <c r="I51" s="18">
        <f t="shared" ref="I51:R51" ca="1" si="23">I91</f>
        <v>0</v>
      </c>
      <c r="J51" s="18">
        <f t="shared" ca="1" si="23"/>
        <v>0</v>
      </c>
      <c r="K51" s="18">
        <f t="shared" ca="1" si="23"/>
        <v>0</v>
      </c>
      <c r="L51" s="18">
        <f t="shared" ca="1" si="23"/>
        <v>0</v>
      </c>
      <c r="M51" s="18">
        <f t="shared" ca="1" si="23"/>
        <v>0</v>
      </c>
      <c r="N51" s="18">
        <f t="shared" ca="1" si="23"/>
        <v>0</v>
      </c>
      <c r="O51" s="18">
        <f t="shared" ca="1" si="23"/>
        <v>0</v>
      </c>
      <c r="P51" s="18">
        <f t="shared" ca="1" si="23"/>
        <v>0</v>
      </c>
      <c r="Q51" s="18">
        <f t="shared" ca="1" si="23"/>
        <v>0</v>
      </c>
      <c r="R51" s="18">
        <f t="shared" ca="1" si="23"/>
        <v>0</v>
      </c>
    </row>
    <row r="52" spans="2:18" x14ac:dyDescent="0.25">
      <c r="B52" s="29" t="s">
        <v>47</v>
      </c>
      <c r="I52" s="18">
        <f t="shared" ref="I52:R52" si="24">I26*I13/365</f>
        <v>0</v>
      </c>
      <c r="J52" s="18">
        <f t="shared" si="24"/>
        <v>0</v>
      </c>
      <c r="K52" s="18">
        <f t="shared" si="24"/>
        <v>0</v>
      </c>
      <c r="L52" s="18">
        <f t="shared" si="24"/>
        <v>0</v>
      </c>
      <c r="M52" s="18">
        <f t="shared" si="24"/>
        <v>0</v>
      </c>
      <c r="N52" s="18">
        <f t="shared" si="24"/>
        <v>0</v>
      </c>
      <c r="O52" s="18">
        <f t="shared" si="24"/>
        <v>0</v>
      </c>
      <c r="P52" s="18">
        <f t="shared" si="24"/>
        <v>0</v>
      </c>
      <c r="Q52" s="18">
        <f t="shared" si="24"/>
        <v>0</v>
      </c>
      <c r="R52" s="18">
        <f t="shared" si="24"/>
        <v>0</v>
      </c>
    </row>
    <row r="53" spans="2:18" x14ac:dyDescent="0.25">
      <c r="B53" s="29" t="s">
        <v>48</v>
      </c>
      <c r="I53" s="18">
        <f t="shared" ref="I53:R53" si="25">I31*I14/365</f>
        <v>0</v>
      </c>
      <c r="J53" s="18">
        <f t="shared" si="25"/>
        <v>0</v>
      </c>
      <c r="K53" s="18">
        <f t="shared" si="25"/>
        <v>0</v>
      </c>
      <c r="L53" s="18">
        <f t="shared" si="25"/>
        <v>0</v>
      </c>
      <c r="M53" s="18">
        <f t="shared" si="25"/>
        <v>0</v>
      </c>
      <c r="N53" s="18">
        <f t="shared" si="25"/>
        <v>0</v>
      </c>
      <c r="O53" s="18">
        <f t="shared" si="25"/>
        <v>0</v>
      </c>
      <c r="P53" s="18">
        <f t="shared" si="25"/>
        <v>0</v>
      </c>
      <c r="Q53" s="18">
        <f t="shared" si="25"/>
        <v>0</v>
      </c>
      <c r="R53" s="18">
        <f t="shared" si="25"/>
        <v>0</v>
      </c>
    </row>
    <row r="54" spans="2:18" x14ac:dyDescent="0.25">
      <c r="B54" s="24" t="s">
        <v>39</v>
      </c>
      <c r="I54" s="18">
        <f t="shared" ref="I54:R54" si="26">H54</f>
        <v>0</v>
      </c>
      <c r="J54" s="18">
        <f t="shared" si="26"/>
        <v>0</v>
      </c>
      <c r="K54" s="18">
        <f t="shared" si="26"/>
        <v>0</v>
      </c>
      <c r="L54" s="18">
        <f t="shared" si="26"/>
        <v>0</v>
      </c>
      <c r="M54" s="18">
        <f t="shared" si="26"/>
        <v>0</v>
      </c>
      <c r="N54" s="18">
        <f t="shared" si="26"/>
        <v>0</v>
      </c>
      <c r="O54" s="18">
        <f t="shared" si="26"/>
        <v>0</v>
      </c>
      <c r="P54" s="18">
        <f t="shared" si="26"/>
        <v>0</v>
      </c>
      <c r="Q54" s="18">
        <f t="shared" si="26"/>
        <v>0</v>
      </c>
      <c r="R54" s="18">
        <f t="shared" si="26"/>
        <v>0</v>
      </c>
    </row>
    <row r="55" spans="2:18" x14ac:dyDescent="0.25">
      <c r="B55" s="22" t="s">
        <v>49</v>
      </c>
      <c r="C55" s="22"/>
      <c r="D55" s="23">
        <f t="shared" ref="D55:R55" si="27">SUM(D56:D57)</f>
        <v>0</v>
      </c>
      <c r="E55" s="23">
        <f t="shared" si="27"/>
        <v>0</v>
      </c>
      <c r="F55" s="23">
        <f t="shared" si="27"/>
        <v>0</v>
      </c>
      <c r="G55" s="23">
        <f t="shared" si="27"/>
        <v>0</v>
      </c>
      <c r="H55" s="23">
        <f t="shared" si="27"/>
        <v>0</v>
      </c>
      <c r="I55" s="23">
        <f t="shared" si="27"/>
        <v>0</v>
      </c>
      <c r="J55" s="23">
        <f t="shared" si="27"/>
        <v>0</v>
      </c>
      <c r="K55" s="23">
        <f t="shared" si="27"/>
        <v>0</v>
      </c>
      <c r="L55" s="23">
        <f t="shared" si="27"/>
        <v>0</v>
      </c>
      <c r="M55" s="23">
        <f t="shared" si="27"/>
        <v>0</v>
      </c>
      <c r="N55" s="23">
        <f t="shared" si="27"/>
        <v>0</v>
      </c>
      <c r="O55" s="23">
        <f t="shared" si="27"/>
        <v>0</v>
      </c>
      <c r="P55" s="23">
        <f t="shared" si="27"/>
        <v>0</v>
      </c>
      <c r="Q55" s="23">
        <f t="shared" si="27"/>
        <v>0</v>
      </c>
      <c r="R55" s="23">
        <f t="shared" si="27"/>
        <v>0</v>
      </c>
    </row>
    <row r="56" spans="2:18" x14ac:dyDescent="0.25">
      <c r="B56" s="29" t="s">
        <v>50</v>
      </c>
      <c r="I56" s="2">
        <f t="shared" ref="I56:R56" si="28">I115</f>
        <v>0</v>
      </c>
      <c r="J56" s="2">
        <f t="shared" si="28"/>
        <v>0</v>
      </c>
      <c r="K56" s="2">
        <f t="shared" si="28"/>
        <v>0</v>
      </c>
      <c r="L56" s="2">
        <f t="shared" si="28"/>
        <v>0</v>
      </c>
      <c r="M56" s="2">
        <f t="shared" si="28"/>
        <v>0</v>
      </c>
      <c r="N56" s="2">
        <f t="shared" si="28"/>
        <v>0</v>
      </c>
      <c r="O56" s="2">
        <f t="shared" si="28"/>
        <v>0</v>
      </c>
      <c r="P56" s="2">
        <f t="shared" si="28"/>
        <v>0</v>
      </c>
      <c r="Q56" s="2">
        <f t="shared" si="28"/>
        <v>0</v>
      </c>
      <c r="R56" s="2">
        <f t="shared" si="28"/>
        <v>0</v>
      </c>
    </row>
    <row r="57" spans="2:18" x14ac:dyDescent="0.25">
      <c r="B57" s="29" t="s">
        <v>39</v>
      </c>
      <c r="I57" s="2">
        <f t="shared" ref="I57:R57" si="29">H57</f>
        <v>0</v>
      </c>
      <c r="J57" s="2">
        <f t="shared" si="29"/>
        <v>0</v>
      </c>
      <c r="K57" s="2">
        <f t="shared" si="29"/>
        <v>0</v>
      </c>
      <c r="L57" s="2">
        <f t="shared" si="29"/>
        <v>0</v>
      </c>
      <c r="M57" s="2">
        <f t="shared" si="29"/>
        <v>0</v>
      </c>
      <c r="N57" s="2">
        <f t="shared" si="29"/>
        <v>0</v>
      </c>
      <c r="O57" s="2">
        <f t="shared" si="29"/>
        <v>0</v>
      </c>
      <c r="P57" s="2">
        <f t="shared" si="29"/>
        <v>0</v>
      </c>
      <c r="Q57" s="2">
        <f t="shared" si="29"/>
        <v>0</v>
      </c>
      <c r="R57" s="2">
        <f t="shared" si="29"/>
        <v>0</v>
      </c>
    </row>
    <row r="58" spans="2:18" x14ac:dyDescent="0.25">
      <c r="B58" s="22" t="s">
        <v>51</v>
      </c>
      <c r="C58" s="22"/>
      <c r="D58" s="23">
        <f t="shared" ref="D58:R58" si="30">D55+D50</f>
        <v>0</v>
      </c>
      <c r="E58" s="23">
        <f t="shared" si="30"/>
        <v>0</v>
      </c>
      <c r="F58" s="23">
        <f t="shared" si="30"/>
        <v>0</v>
      </c>
      <c r="G58" s="23">
        <f t="shared" si="30"/>
        <v>0</v>
      </c>
      <c r="H58" s="23">
        <f t="shared" si="30"/>
        <v>0</v>
      </c>
      <c r="I58" s="23">
        <f t="shared" ca="1" si="30"/>
        <v>0</v>
      </c>
      <c r="J58" s="23">
        <f t="shared" ca="1" si="30"/>
        <v>0</v>
      </c>
      <c r="K58" s="23">
        <f t="shared" ca="1" si="30"/>
        <v>0</v>
      </c>
      <c r="L58" s="23">
        <f t="shared" ca="1" si="30"/>
        <v>0</v>
      </c>
      <c r="M58" s="23">
        <f t="shared" ca="1" si="30"/>
        <v>0</v>
      </c>
      <c r="N58" s="23">
        <f t="shared" ca="1" si="30"/>
        <v>0</v>
      </c>
      <c r="O58" s="23">
        <f t="shared" ca="1" si="30"/>
        <v>0</v>
      </c>
      <c r="P58" s="23">
        <f t="shared" ca="1" si="30"/>
        <v>0</v>
      </c>
      <c r="Q58" s="23">
        <f t="shared" ca="1" si="30"/>
        <v>0</v>
      </c>
      <c r="R58" s="23">
        <f t="shared" ca="1" si="30"/>
        <v>0</v>
      </c>
    </row>
    <row r="60" spans="2:18" x14ac:dyDescent="0.25">
      <c r="B60" s="22" t="s">
        <v>52</v>
      </c>
      <c r="C60" s="22"/>
      <c r="D60" s="23">
        <f t="shared" ref="D60:R60" si="31">SUM(D61:D63)</f>
        <v>0</v>
      </c>
      <c r="E60" s="23">
        <f t="shared" si="31"/>
        <v>0</v>
      </c>
      <c r="F60" s="23">
        <f t="shared" si="31"/>
        <v>0</v>
      </c>
      <c r="G60" s="23">
        <f t="shared" si="31"/>
        <v>0</v>
      </c>
      <c r="H60" s="23">
        <f t="shared" si="31"/>
        <v>0</v>
      </c>
      <c r="I60" s="23">
        <f t="shared" ca="1" si="31"/>
        <v>0</v>
      </c>
      <c r="J60" s="23">
        <f t="shared" ca="1" si="31"/>
        <v>0</v>
      </c>
      <c r="K60" s="23">
        <f t="shared" ca="1" si="31"/>
        <v>0</v>
      </c>
      <c r="L60" s="23">
        <f t="shared" ca="1" si="31"/>
        <v>0</v>
      </c>
      <c r="M60" s="23">
        <f t="shared" ca="1" si="31"/>
        <v>0</v>
      </c>
      <c r="N60" s="23">
        <f t="shared" ca="1" si="31"/>
        <v>0</v>
      </c>
      <c r="O60" s="23">
        <f t="shared" ca="1" si="31"/>
        <v>0</v>
      </c>
      <c r="P60" s="23">
        <f t="shared" ca="1" si="31"/>
        <v>0</v>
      </c>
      <c r="Q60" s="23">
        <f t="shared" ca="1" si="31"/>
        <v>0</v>
      </c>
      <c r="R60" s="23">
        <f t="shared" ca="1" si="31"/>
        <v>0</v>
      </c>
    </row>
    <row r="61" spans="2:18" x14ac:dyDescent="0.25">
      <c r="B61" s="29" t="s">
        <v>54</v>
      </c>
      <c r="I61" s="2">
        <f t="shared" ref="I61:R61" ca="1" si="32">I130</f>
        <v>0</v>
      </c>
      <c r="J61" s="2">
        <f t="shared" ca="1" si="32"/>
        <v>0</v>
      </c>
      <c r="K61" s="2">
        <f t="shared" ca="1" si="32"/>
        <v>0</v>
      </c>
      <c r="L61" s="2">
        <f t="shared" ca="1" si="32"/>
        <v>0</v>
      </c>
      <c r="M61" s="2">
        <f t="shared" ca="1" si="32"/>
        <v>0</v>
      </c>
      <c r="N61" s="2">
        <f t="shared" ca="1" si="32"/>
        <v>0</v>
      </c>
      <c r="O61" s="2">
        <f t="shared" ca="1" si="32"/>
        <v>0</v>
      </c>
      <c r="P61" s="2">
        <f t="shared" ca="1" si="32"/>
        <v>0</v>
      </c>
      <c r="Q61" s="2">
        <f t="shared" ca="1" si="32"/>
        <v>0</v>
      </c>
      <c r="R61" s="2">
        <f t="shared" ca="1" si="32"/>
        <v>0</v>
      </c>
    </row>
    <row r="62" spans="2:18" x14ac:dyDescent="0.25">
      <c r="B62" s="29" t="s">
        <v>53</v>
      </c>
      <c r="I62" s="2">
        <f t="shared" ref="I62:R62" si="33">I31*I15/365</f>
        <v>0</v>
      </c>
      <c r="J62" s="2">
        <f t="shared" si="33"/>
        <v>0</v>
      </c>
      <c r="K62" s="2">
        <f t="shared" si="33"/>
        <v>0</v>
      </c>
      <c r="L62" s="2">
        <f t="shared" si="33"/>
        <v>0</v>
      </c>
      <c r="M62" s="2">
        <f t="shared" si="33"/>
        <v>0</v>
      </c>
      <c r="N62" s="2">
        <f t="shared" si="33"/>
        <v>0</v>
      </c>
      <c r="O62" s="2">
        <f t="shared" si="33"/>
        <v>0</v>
      </c>
      <c r="P62" s="2">
        <f t="shared" si="33"/>
        <v>0</v>
      </c>
      <c r="Q62" s="2">
        <f t="shared" si="33"/>
        <v>0</v>
      </c>
      <c r="R62" s="2">
        <f t="shared" si="33"/>
        <v>0</v>
      </c>
    </row>
    <row r="63" spans="2:18" x14ac:dyDescent="0.25">
      <c r="B63" s="24" t="s">
        <v>39</v>
      </c>
      <c r="I63" s="2">
        <f t="shared" ref="I63:R63" si="34">H63</f>
        <v>0</v>
      </c>
      <c r="J63" s="2">
        <f t="shared" si="34"/>
        <v>0</v>
      </c>
      <c r="K63" s="2">
        <f t="shared" si="34"/>
        <v>0</v>
      </c>
      <c r="L63" s="2">
        <f t="shared" si="34"/>
        <v>0</v>
      </c>
      <c r="M63" s="2">
        <f t="shared" si="34"/>
        <v>0</v>
      </c>
      <c r="N63" s="2">
        <f t="shared" si="34"/>
        <v>0</v>
      </c>
      <c r="O63" s="2">
        <f t="shared" si="34"/>
        <v>0</v>
      </c>
      <c r="P63" s="2">
        <f t="shared" si="34"/>
        <v>0</v>
      </c>
      <c r="Q63" s="2">
        <f t="shared" si="34"/>
        <v>0</v>
      </c>
      <c r="R63" s="2">
        <f t="shared" si="34"/>
        <v>0</v>
      </c>
    </row>
    <row r="64" spans="2:18" x14ac:dyDescent="0.25">
      <c r="B64" s="22" t="s">
        <v>55</v>
      </c>
      <c r="C64" s="22"/>
      <c r="D64" s="23">
        <f t="shared" ref="D64:R64" si="35">SUM(D65:D66)</f>
        <v>0</v>
      </c>
      <c r="E64" s="23">
        <f t="shared" si="35"/>
        <v>0</v>
      </c>
      <c r="F64" s="23">
        <f t="shared" si="35"/>
        <v>0</v>
      </c>
      <c r="G64" s="23">
        <f t="shared" si="35"/>
        <v>0</v>
      </c>
      <c r="H64" s="23">
        <f t="shared" si="35"/>
        <v>0</v>
      </c>
      <c r="I64" s="23">
        <f t="shared" si="35"/>
        <v>0</v>
      </c>
      <c r="J64" s="23">
        <f t="shared" si="35"/>
        <v>0</v>
      </c>
      <c r="K64" s="23">
        <f t="shared" si="35"/>
        <v>0</v>
      </c>
      <c r="L64" s="23">
        <f t="shared" si="35"/>
        <v>0</v>
      </c>
      <c r="M64" s="23">
        <f t="shared" si="35"/>
        <v>0</v>
      </c>
      <c r="N64" s="23">
        <f t="shared" si="35"/>
        <v>0</v>
      </c>
      <c r="O64" s="23">
        <f t="shared" si="35"/>
        <v>0</v>
      </c>
      <c r="P64" s="23">
        <f t="shared" si="35"/>
        <v>0</v>
      </c>
      <c r="Q64" s="23">
        <f t="shared" si="35"/>
        <v>0</v>
      </c>
      <c r="R64" s="23">
        <f t="shared" si="35"/>
        <v>0</v>
      </c>
    </row>
    <row r="65" spans="1:18" x14ac:dyDescent="0.25">
      <c r="B65" s="29" t="s">
        <v>54</v>
      </c>
    </row>
    <row r="66" spans="1:18" x14ac:dyDescent="0.25">
      <c r="B66" s="24" t="s">
        <v>39</v>
      </c>
      <c r="I66" s="2">
        <f t="shared" ref="I66:R66" si="36">H66</f>
        <v>0</v>
      </c>
      <c r="J66" s="2">
        <f t="shared" si="36"/>
        <v>0</v>
      </c>
      <c r="K66" s="2">
        <f t="shared" si="36"/>
        <v>0</v>
      </c>
      <c r="L66" s="2">
        <f t="shared" si="36"/>
        <v>0</v>
      </c>
      <c r="M66" s="2">
        <f t="shared" si="36"/>
        <v>0</v>
      </c>
      <c r="N66" s="2">
        <f t="shared" si="36"/>
        <v>0</v>
      </c>
      <c r="O66" s="2">
        <f t="shared" si="36"/>
        <v>0</v>
      </c>
      <c r="P66" s="2">
        <f t="shared" si="36"/>
        <v>0</v>
      </c>
      <c r="Q66" s="2">
        <f t="shared" si="36"/>
        <v>0</v>
      </c>
      <c r="R66" s="2">
        <f t="shared" si="36"/>
        <v>0</v>
      </c>
    </row>
    <row r="67" spans="1:18" x14ac:dyDescent="0.25">
      <c r="B67" s="22" t="s">
        <v>56</v>
      </c>
      <c r="C67" s="22"/>
      <c r="D67" s="23">
        <f t="shared" ref="D67:R67" si="37">D64+D60</f>
        <v>0</v>
      </c>
      <c r="E67" s="23">
        <f t="shared" si="37"/>
        <v>0</v>
      </c>
      <c r="F67" s="23">
        <f t="shared" si="37"/>
        <v>0</v>
      </c>
      <c r="G67" s="23">
        <f t="shared" si="37"/>
        <v>0</v>
      </c>
      <c r="H67" s="23">
        <f t="shared" si="37"/>
        <v>0</v>
      </c>
      <c r="I67" s="23">
        <f t="shared" ca="1" si="37"/>
        <v>0</v>
      </c>
      <c r="J67" s="23">
        <f t="shared" ca="1" si="37"/>
        <v>0</v>
      </c>
      <c r="K67" s="23">
        <f t="shared" ca="1" si="37"/>
        <v>0</v>
      </c>
      <c r="L67" s="23">
        <f t="shared" ca="1" si="37"/>
        <v>0</v>
      </c>
      <c r="M67" s="23">
        <f t="shared" ca="1" si="37"/>
        <v>0</v>
      </c>
      <c r="N67" s="23">
        <f t="shared" ca="1" si="37"/>
        <v>0</v>
      </c>
      <c r="O67" s="23">
        <f t="shared" ca="1" si="37"/>
        <v>0</v>
      </c>
      <c r="P67" s="23">
        <f t="shared" ca="1" si="37"/>
        <v>0</v>
      </c>
      <c r="Q67" s="23">
        <f t="shared" ca="1" si="37"/>
        <v>0</v>
      </c>
      <c r="R67" s="23">
        <f t="shared" ca="1" si="37"/>
        <v>0</v>
      </c>
    </row>
    <row r="68" spans="1:18" x14ac:dyDescent="0.25">
      <c r="B68" s="21" t="s">
        <v>57</v>
      </c>
    </row>
    <row r="69" spans="1:18" x14ac:dyDescent="0.25">
      <c r="B69" s="22" t="s">
        <v>58</v>
      </c>
      <c r="C69" s="22"/>
      <c r="D69" s="25">
        <f t="shared" ref="D69:R69" si="38">D67+D68</f>
        <v>0</v>
      </c>
      <c r="E69" s="25">
        <f t="shared" si="38"/>
        <v>0</v>
      </c>
      <c r="F69" s="25">
        <f t="shared" si="38"/>
        <v>0</v>
      </c>
      <c r="G69" s="25">
        <f t="shared" si="38"/>
        <v>0</v>
      </c>
      <c r="H69" s="25">
        <f t="shared" si="38"/>
        <v>0</v>
      </c>
      <c r="I69" s="25">
        <f t="shared" ca="1" si="38"/>
        <v>0</v>
      </c>
      <c r="J69" s="25">
        <f t="shared" ca="1" si="38"/>
        <v>0</v>
      </c>
      <c r="K69" s="25">
        <f t="shared" ca="1" si="38"/>
        <v>0</v>
      </c>
      <c r="L69" s="25">
        <f t="shared" ca="1" si="38"/>
        <v>0</v>
      </c>
      <c r="M69" s="25">
        <f t="shared" ca="1" si="38"/>
        <v>0</v>
      </c>
      <c r="N69" s="25">
        <f t="shared" ca="1" si="38"/>
        <v>0</v>
      </c>
      <c r="O69" s="25">
        <f t="shared" ca="1" si="38"/>
        <v>0</v>
      </c>
      <c r="P69" s="25">
        <f t="shared" ca="1" si="38"/>
        <v>0</v>
      </c>
      <c r="Q69" s="25">
        <f t="shared" ca="1" si="38"/>
        <v>0</v>
      </c>
      <c r="R69" s="25">
        <f t="shared" ca="1" si="38"/>
        <v>0</v>
      </c>
    </row>
    <row r="70" spans="1:18" x14ac:dyDescent="0.25">
      <c r="B70" s="26" t="s">
        <v>59</v>
      </c>
      <c r="D70" s="28" t="s">
        <v>230</v>
      </c>
      <c r="E70" s="28" t="s">
        <v>230</v>
      </c>
      <c r="F70" s="28" t="s">
        <v>230</v>
      </c>
      <c r="G70" s="28" t="s">
        <v>230</v>
      </c>
      <c r="H70" s="28" t="s">
        <v>230</v>
      </c>
      <c r="I70" s="28" t="s">
        <v>230</v>
      </c>
      <c r="J70" s="28" t="s">
        <v>230</v>
      </c>
      <c r="K70" s="28" t="s">
        <v>230</v>
      </c>
      <c r="L70" s="28" t="s">
        <v>230</v>
      </c>
      <c r="M70" s="28" t="s">
        <v>230</v>
      </c>
      <c r="N70" s="28" t="s">
        <v>230</v>
      </c>
      <c r="O70" s="28" t="s">
        <v>230</v>
      </c>
      <c r="P70" s="28" t="s">
        <v>230</v>
      </c>
      <c r="Q70" s="28" t="s">
        <v>230</v>
      </c>
      <c r="R70" s="28" t="s">
        <v>230</v>
      </c>
    </row>
    <row r="72" spans="1:18" x14ac:dyDescent="0.25">
      <c r="A72" s="4" t="s">
        <v>1</v>
      </c>
      <c r="B72" s="43" t="s">
        <v>34</v>
      </c>
      <c r="C72" s="42"/>
      <c r="D72" s="93">
        <f>$G$1</f>
        <v>2025</v>
      </c>
      <c r="E72" s="93">
        <f t="shared" ref="E72:R72" si="39">D72+1</f>
        <v>2026</v>
      </c>
      <c r="F72" s="93">
        <f t="shared" si="39"/>
        <v>2027</v>
      </c>
      <c r="G72" s="93">
        <f t="shared" si="39"/>
        <v>2028</v>
      </c>
      <c r="H72" s="93">
        <f t="shared" si="39"/>
        <v>2029</v>
      </c>
      <c r="I72" s="93">
        <f t="shared" si="39"/>
        <v>2030</v>
      </c>
      <c r="J72" s="93">
        <f t="shared" si="39"/>
        <v>2031</v>
      </c>
      <c r="K72" s="93">
        <f t="shared" si="39"/>
        <v>2032</v>
      </c>
      <c r="L72" s="93">
        <f t="shared" si="39"/>
        <v>2033</v>
      </c>
      <c r="M72" s="93">
        <f t="shared" si="39"/>
        <v>2034</v>
      </c>
      <c r="N72" s="93">
        <f t="shared" si="39"/>
        <v>2035</v>
      </c>
      <c r="O72" s="93">
        <f t="shared" si="39"/>
        <v>2036</v>
      </c>
      <c r="P72" s="93">
        <f t="shared" si="39"/>
        <v>2037</v>
      </c>
      <c r="Q72" s="93">
        <f t="shared" si="39"/>
        <v>2038</v>
      </c>
      <c r="R72" s="93">
        <f t="shared" si="39"/>
        <v>2039</v>
      </c>
    </row>
    <row r="73" spans="1:18" x14ac:dyDescent="0.25">
      <c r="C73" s="2"/>
    </row>
    <row r="74" spans="1:18" x14ac:dyDescent="0.25">
      <c r="B74" s="22" t="s">
        <v>35</v>
      </c>
      <c r="C74" s="8"/>
      <c r="D74" s="16">
        <f t="shared" ref="D74:R74" ca="1" si="40">SUM(D75:D77)</f>
        <v>22862.991300872018</v>
      </c>
      <c r="E74" s="16">
        <f t="shared" si="40"/>
        <v>0</v>
      </c>
      <c r="F74" s="16">
        <f t="shared" si="40"/>
        <v>0</v>
      </c>
      <c r="G74" s="16">
        <f t="shared" si="40"/>
        <v>0</v>
      </c>
      <c r="H74" s="16">
        <f t="shared" si="40"/>
        <v>0</v>
      </c>
      <c r="I74" s="16">
        <f t="shared" ca="1" si="40"/>
        <v>0</v>
      </c>
      <c r="J74" s="16">
        <f t="shared" si="40"/>
        <v>0</v>
      </c>
      <c r="K74" s="16">
        <f t="shared" si="40"/>
        <v>0</v>
      </c>
      <c r="L74" s="16">
        <f t="shared" si="40"/>
        <v>0</v>
      </c>
      <c r="M74" s="16">
        <f t="shared" si="40"/>
        <v>0</v>
      </c>
      <c r="N74" s="16">
        <f t="shared" si="40"/>
        <v>0</v>
      </c>
      <c r="O74" s="16">
        <f t="shared" si="40"/>
        <v>0</v>
      </c>
      <c r="P74" s="16">
        <f t="shared" si="40"/>
        <v>0</v>
      </c>
      <c r="Q74" s="16">
        <f t="shared" si="40"/>
        <v>0</v>
      </c>
      <c r="R74" s="16">
        <f t="shared" si="40"/>
        <v>0</v>
      </c>
    </row>
    <row r="75" spans="1:18" x14ac:dyDescent="0.25">
      <c r="B75" s="15" t="s">
        <v>68</v>
      </c>
      <c r="D75" s="17">
        <f t="shared" ref="D75:R75" ca="1" si="41">D44</f>
        <v>22862.991300872018</v>
      </c>
      <c r="E75" s="17">
        <f t="shared" si="41"/>
        <v>0</v>
      </c>
      <c r="F75" s="17">
        <f t="shared" si="41"/>
        <v>0</v>
      </c>
      <c r="G75" s="17">
        <f t="shared" si="41"/>
        <v>0</v>
      </c>
      <c r="H75" s="17">
        <f t="shared" si="41"/>
        <v>0</v>
      </c>
      <c r="I75" s="17">
        <f t="shared" ca="1" si="41"/>
        <v>0</v>
      </c>
      <c r="J75" s="17">
        <f t="shared" si="41"/>
        <v>0</v>
      </c>
      <c r="K75" s="17">
        <f t="shared" si="41"/>
        <v>0</v>
      </c>
      <c r="L75" s="17">
        <f t="shared" si="41"/>
        <v>0</v>
      </c>
      <c r="M75" s="17">
        <f t="shared" si="41"/>
        <v>0</v>
      </c>
      <c r="N75" s="17">
        <f t="shared" si="41"/>
        <v>0</v>
      </c>
      <c r="O75" s="17">
        <f t="shared" si="41"/>
        <v>0</v>
      </c>
      <c r="P75" s="17">
        <f t="shared" si="41"/>
        <v>0</v>
      </c>
      <c r="Q75" s="17">
        <f t="shared" si="41"/>
        <v>0</v>
      </c>
      <c r="R75" s="17">
        <f t="shared" si="41"/>
        <v>0</v>
      </c>
    </row>
    <row r="76" spans="1:18" x14ac:dyDescent="0.25">
      <c r="B76" s="15" t="s">
        <v>69</v>
      </c>
      <c r="D76" s="17">
        <f t="shared" ref="D76:R76" si="42">D45</f>
        <v>0</v>
      </c>
      <c r="E76" s="17">
        <f t="shared" si="42"/>
        <v>0</v>
      </c>
      <c r="F76" s="17">
        <f t="shared" si="42"/>
        <v>0</v>
      </c>
      <c r="G76" s="17">
        <f t="shared" si="42"/>
        <v>0</v>
      </c>
      <c r="H76" s="17">
        <f t="shared" si="42"/>
        <v>0</v>
      </c>
      <c r="I76" s="17">
        <f t="shared" si="42"/>
        <v>0</v>
      </c>
      <c r="J76" s="17">
        <f t="shared" si="42"/>
        <v>0</v>
      </c>
      <c r="K76" s="17">
        <f t="shared" si="42"/>
        <v>0</v>
      </c>
      <c r="L76" s="17">
        <f t="shared" si="42"/>
        <v>0</v>
      </c>
      <c r="M76" s="17">
        <f t="shared" si="42"/>
        <v>0</v>
      </c>
      <c r="N76" s="17">
        <f t="shared" si="42"/>
        <v>0</v>
      </c>
      <c r="O76" s="17">
        <f t="shared" si="42"/>
        <v>0</v>
      </c>
      <c r="P76" s="17">
        <f t="shared" si="42"/>
        <v>0</v>
      </c>
      <c r="Q76" s="17">
        <f t="shared" si="42"/>
        <v>0</v>
      </c>
      <c r="R76" s="17">
        <f t="shared" si="42"/>
        <v>0</v>
      </c>
    </row>
    <row r="77" spans="1:18" x14ac:dyDescent="0.25">
      <c r="B77" s="15" t="s">
        <v>70</v>
      </c>
      <c r="D77" s="17">
        <f t="shared" ref="D77:R77" si="43">D99</f>
        <v>0</v>
      </c>
      <c r="E77" s="17">
        <f t="shared" si="43"/>
        <v>0</v>
      </c>
      <c r="F77" s="17">
        <f t="shared" si="43"/>
        <v>0</v>
      </c>
      <c r="G77" s="17">
        <f t="shared" si="43"/>
        <v>0</v>
      </c>
      <c r="H77" s="17">
        <f t="shared" si="43"/>
        <v>0</v>
      </c>
      <c r="I77" s="17">
        <f t="shared" si="43"/>
        <v>0</v>
      </c>
      <c r="J77" s="17">
        <f t="shared" si="43"/>
        <v>0</v>
      </c>
      <c r="K77" s="17">
        <f t="shared" si="43"/>
        <v>0</v>
      </c>
      <c r="L77" s="17">
        <f t="shared" si="43"/>
        <v>0</v>
      </c>
      <c r="M77" s="17">
        <f t="shared" si="43"/>
        <v>0</v>
      </c>
      <c r="N77" s="17">
        <f t="shared" si="43"/>
        <v>0</v>
      </c>
      <c r="O77" s="17">
        <f t="shared" si="43"/>
        <v>0</v>
      </c>
      <c r="P77" s="17">
        <f t="shared" si="43"/>
        <v>0</v>
      </c>
      <c r="Q77" s="17">
        <f t="shared" si="43"/>
        <v>0</v>
      </c>
      <c r="R77" s="17">
        <f t="shared" si="43"/>
        <v>0</v>
      </c>
    </row>
    <row r="79" spans="1:18" x14ac:dyDescent="0.25">
      <c r="B79" s="22" t="s">
        <v>37</v>
      </c>
      <c r="C79" s="8"/>
      <c r="D79" s="14">
        <f t="shared" ref="D79:R79" si="44">D80</f>
        <v>0</v>
      </c>
      <c r="E79" s="14">
        <f t="shared" si="44"/>
        <v>0</v>
      </c>
      <c r="F79" s="14">
        <f t="shared" si="44"/>
        <v>0</v>
      </c>
      <c r="G79" s="14">
        <f t="shared" si="44"/>
        <v>0</v>
      </c>
      <c r="H79" s="14">
        <f t="shared" si="44"/>
        <v>0</v>
      </c>
      <c r="I79" s="14">
        <f t="shared" si="44"/>
        <v>0</v>
      </c>
      <c r="J79" s="14">
        <f t="shared" si="44"/>
        <v>0</v>
      </c>
      <c r="K79" s="14">
        <f t="shared" si="44"/>
        <v>0</v>
      </c>
      <c r="L79" s="14">
        <f t="shared" si="44"/>
        <v>0</v>
      </c>
      <c r="M79" s="14">
        <f t="shared" si="44"/>
        <v>0</v>
      </c>
      <c r="N79" s="14">
        <f t="shared" si="44"/>
        <v>0</v>
      </c>
      <c r="O79" s="14">
        <f t="shared" si="44"/>
        <v>0</v>
      </c>
      <c r="P79" s="14">
        <f t="shared" si="44"/>
        <v>0</v>
      </c>
      <c r="Q79" s="14">
        <f t="shared" si="44"/>
        <v>0</v>
      </c>
      <c r="R79" s="14">
        <f t="shared" si="44"/>
        <v>0</v>
      </c>
    </row>
    <row r="80" spans="1:18" x14ac:dyDescent="0.25">
      <c r="B80" s="15" t="s">
        <v>71</v>
      </c>
    </row>
    <row r="82" spans="1:18" x14ac:dyDescent="0.25">
      <c r="B82" s="22" t="s">
        <v>38</v>
      </c>
      <c r="C82" s="8"/>
      <c r="D82" s="14">
        <f t="shared" ref="D82:R82" si="45">D83-D84-D85</f>
        <v>0</v>
      </c>
      <c r="E82" s="14">
        <f t="shared" si="45"/>
        <v>0</v>
      </c>
      <c r="F82" s="14">
        <f t="shared" si="45"/>
        <v>0</v>
      </c>
      <c r="G82" s="14">
        <f t="shared" si="45"/>
        <v>0</v>
      </c>
      <c r="H82" s="14">
        <f t="shared" si="45"/>
        <v>0</v>
      </c>
      <c r="I82" s="14">
        <f t="shared" si="45"/>
        <v>0</v>
      </c>
      <c r="J82" s="14">
        <f t="shared" si="45"/>
        <v>0</v>
      </c>
      <c r="K82" s="14">
        <f t="shared" si="45"/>
        <v>0</v>
      </c>
      <c r="L82" s="14">
        <f t="shared" si="45"/>
        <v>0</v>
      </c>
      <c r="M82" s="14">
        <f t="shared" si="45"/>
        <v>0</v>
      </c>
      <c r="N82" s="14">
        <f t="shared" si="45"/>
        <v>0</v>
      </c>
      <c r="O82" s="14">
        <f t="shared" si="45"/>
        <v>0</v>
      </c>
      <c r="P82" s="14">
        <f t="shared" si="45"/>
        <v>0</v>
      </c>
      <c r="Q82" s="14">
        <f t="shared" si="45"/>
        <v>0</v>
      </c>
      <c r="R82" s="14">
        <f t="shared" si="45"/>
        <v>0</v>
      </c>
    </row>
    <row r="83" spans="1:18" x14ac:dyDescent="0.25">
      <c r="B83" s="15" t="s">
        <v>72</v>
      </c>
    </row>
    <row r="84" spans="1:18" x14ac:dyDescent="0.25">
      <c r="B84" s="15" t="s">
        <v>65</v>
      </c>
    </row>
    <row r="85" spans="1:18" x14ac:dyDescent="0.25">
      <c r="B85" s="15" t="s">
        <v>66</v>
      </c>
    </row>
    <row r="87" spans="1:18" x14ac:dyDescent="0.25">
      <c r="B87" s="22" t="s">
        <v>39</v>
      </c>
      <c r="C87" s="8"/>
      <c r="D87" s="16">
        <f t="shared" ref="D87:R87" ca="1" si="46">D91-D89-D90</f>
        <v>-22862.991300872018</v>
      </c>
      <c r="E87" s="16">
        <f t="shared" si="46"/>
        <v>0</v>
      </c>
      <c r="F87" s="16">
        <f t="shared" si="46"/>
        <v>0</v>
      </c>
      <c r="G87" s="16">
        <f t="shared" si="46"/>
        <v>0</v>
      </c>
      <c r="H87" s="16">
        <f t="shared" si="46"/>
        <v>0</v>
      </c>
      <c r="I87" s="16">
        <f t="shared" ca="1" si="46"/>
        <v>0</v>
      </c>
      <c r="J87" s="16">
        <f t="shared" ca="1" si="46"/>
        <v>0</v>
      </c>
      <c r="K87" s="16">
        <f t="shared" ca="1" si="46"/>
        <v>0</v>
      </c>
      <c r="L87" s="16">
        <f t="shared" ca="1" si="46"/>
        <v>0</v>
      </c>
      <c r="M87" s="16">
        <f t="shared" ca="1" si="46"/>
        <v>0</v>
      </c>
      <c r="N87" s="16">
        <f t="shared" ca="1" si="46"/>
        <v>0</v>
      </c>
      <c r="O87" s="16">
        <f t="shared" ca="1" si="46"/>
        <v>0</v>
      </c>
      <c r="P87" s="16">
        <f t="shared" ca="1" si="46"/>
        <v>0</v>
      </c>
      <c r="Q87" s="16">
        <f t="shared" ca="1" si="46"/>
        <v>0</v>
      </c>
      <c r="R87" s="16">
        <f t="shared" ca="1" si="46"/>
        <v>0</v>
      </c>
    </row>
    <row r="89" spans="1:18" x14ac:dyDescent="0.25">
      <c r="B89" s="15" t="s">
        <v>40</v>
      </c>
      <c r="D89" s="17">
        <f t="shared" ref="D89:R89" ca="1" si="47">D82+D79+D74</f>
        <v>22862.991300872018</v>
      </c>
      <c r="E89" s="17">
        <f t="shared" si="47"/>
        <v>0</v>
      </c>
      <c r="F89" s="17">
        <f t="shared" si="47"/>
        <v>0</v>
      </c>
      <c r="G89" s="17">
        <f t="shared" si="47"/>
        <v>0</v>
      </c>
      <c r="H89" s="17">
        <f t="shared" si="47"/>
        <v>0</v>
      </c>
      <c r="I89" s="17">
        <f t="shared" ca="1" si="47"/>
        <v>0</v>
      </c>
      <c r="J89" s="17">
        <f t="shared" si="47"/>
        <v>0</v>
      </c>
      <c r="K89" s="17">
        <f t="shared" si="47"/>
        <v>0</v>
      </c>
      <c r="L89" s="17">
        <f t="shared" si="47"/>
        <v>0</v>
      </c>
      <c r="M89" s="17">
        <f t="shared" si="47"/>
        <v>0</v>
      </c>
      <c r="N89" s="17">
        <f t="shared" si="47"/>
        <v>0</v>
      </c>
      <c r="O89" s="17">
        <f t="shared" si="47"/>
        <v>0</v>
      </c>
      <c r="P89" s="17">
        <f t="shared" si="47"/>
        <v>0</v>
      </c>
      <c r="Q89" s="17">
        <f t="shared" si="47"/>
        <v>0</v>
      </c>
      <c r="R89" s="17">
        <f t="shared" si="47"/>
        <v>0</v>
      </c>
    </row>
    <row r="90" spans="1:18" x14ac:dyDescent="0.25">
      <c r="B90" s="15" t="s">
        <v>41</v>
      </c>
      <c r="D90" s="17">
        <v>0</v>
      </c>
      <c r="E90" s="17">
        <f t="shared" ref="E90:R90" si="48">D91</f>
        <v>0</v>
      </c>
      <c r="F90" s="17">
        <f t="shared" si="48"/>
        <v>0</v>
      </c>
      <c r="G90" s="17">
        <f t="shared" si="48"/>
        <v>0</v>
      </c>
      <c r="H90" s="17">
        <f t="shared" si="48"/>
        <v>0</v>
      </c>
      <c r="I90" s="17">
        <f t="shared" si="48"/>
        <v>0</v>
      </c>
      <c r="J90" s="17">
        <f t="shared" ca="1" si="48"/>
        <v>0</v>
      </c>
      <c r="K90" s="17">
        <f t="shared" ca="1" si="48"/>
        <v>0</v>
      </c>
      <c r="L90" s="17">
        <f t="shared" ca="1" si="48"/>
        <v>0</v>
      </c>
      <c r="M90" s="17">
        <f t="shared" ca="1" si="48"/>
        <v>0</v>
      </c>
      <c r="N90" s="17">
        <f t="shared" ca="1" si="48"/>
        <v>0</v>
      </c>
      <c r="O90" s="17">
        <f t="shared" ca="1" si="48"/>
        <v>0</v>
      </c>
      <c r="P90" s="17">
        <f t="shared" ca="1" si="48"/>
        <v>0</v>
      </c>
      <c r="Q90" s="17">
        <f t="shared" ca="1" si="48"/>
        <v>0</v>
      </c>
      <c r="R90" s="17">
        <f t="shared" ca="1" si="48"/>
        <v>0</v>
      </c>
    </row>
    <row r="91" spans="1:18" x14ac:dyDescent="0.25">
      <c r="B91" s="22" t="s">
        <v>42</v>
      </c>
      <c r="C91" s="8"/>
      <c r="D91" s="14">
        <f>D51</f>
        <v>0</v>
      </c>
      <c r="E91" s="14">
        <f>E51</f>
        <v>0</v>
      </c>
      <c r="F91" s="14">
        <f>F51</f>
        <v>0</v>
      </c>
      <c r="G91" s="14">
        <f>G51</f>
        <v>0</v>
      </c>
      <c r="H91" s="14">
        <f>H51</f>
        <v>0</v>
      </c>
      <c r="I91" s="16">
        <f t="shared" ref="I91:R91" ca="1" si="49">I89+I90</f>
        <v>0</v>
      </c>
      <c r="J91" s="16">
        <f t="shared" ca="1" si="49"/>
        <v>0</v>
      </c>
      <c r="K91" s="16">
        <f t="shared" ca="1" si="49"/>
        <v>0</v>
      </c>
      <c r="L91" s="16">
        <f t="shared" ca="1" si="49"/>
        <v>0</v>
      </c>
      <c r="M91" s="16">
        <f t="shared" ca="1" si="49"/>
        <v>0</v>
      </c>
      <c r="N91" s="16">
        <f t="shared" ca="1" si="49"/>
        <v>0</v>
      </c>
      <c r="O91" s="16">
        <f t="shared" ca="1" si="49"/>
        <v>0</v>
      </c>
      <c r="P91" s="16">
        <f t="shared" ca="1" si="49"/>
        <v>0</v>
      </c>
      <c r="Q91" s="16">
        <f t="shared" ca="1" si="49"/>
        <v>0</v>
      </c>
      <c r="R91" s="16">
        <f t="shared" ca="1" si="49"/>
        <v>0</v>
      </c>
    </row>
    <row r="93" spans="1:18" x14ac:dyDescent="0.25">
      <c r="A93" s="4" t="s">
        <v>1</v>
      </c>
      <c r="B93" s="43" t="s">
        <v>60</v>
      </c>
      <c r="C93" s="42"/>
      <c r="D93" s="93">
        <f>$G$1</f>
        <v>2025</v>
      </c>
      <c r="E93" s="93">
        <f t="shared" ref="E93:R93" si="50">D93+1</f>
        <v>2026</v>
      </c>
      <c r="F93" s="93">
        <f t="shared" si="50"/>
        <v>2027</v>
      </c>
      <c r="G93" s="93">
        <f t="shared" si="50"/>
        <v>2028</v>
      </c>
      <c r="H93" s="93">
        <f t="shared" si="50"/>
        <v>2029</v>
      </c>
      <c r="I93" s="93">
        <f t="shared" si="50"/>
        <v>2030</v>
      </c>
      <c r="J93" s="93">
        <f t="shared" si="50"/>
        <v>2031</v>
      </c>
      <c r="K93" s="93">
        <f t="shared" si="50"/>
        <v>2032</v>
      </c>
      <c r="L93" s="93">
        <f t="shared" si="50"/>
        <v>2033</v>
      </c>
      <c r="M93" s="93">
        <f t="shared" si="50"/>
        <v>2034</v>
      </c>
      <c r="N93" s="93">
        <f t="shared" si="50"/>
        <v>2035</v>
      </c>
      <c r="O93" s="93">
        <f t="shared" si="50"/>
        <v>2036</v>
      </c>
      <c r="P93" s="93">
        <f t="shared" si="50"/>
        <v>2037</v>
      </c>
      <c r="Q93" s="93">
        <f t="shared" si="50"/>
        <v>2038</v>
      </c>
      <c r="R93" s="93">
        <f t="shared" si="50"/>
        <v>2039</v>
      </c>
    </row>
    <row r="95" spans="1:18" x14ac:dyDescent="0.25">
      <c r="B95" s="1" t="s">
        <v>62</v>
      </c>
    </row>
    <row r="96" spans="1:18" x14ac:dyDescent="0.25">
      <c r="B96" s="24" t="s">
        <v>47</v>
      </c>
      <c r="D96" s="2">
        <f t="shared" ref="D96:R96" si="51">D52</f>
        <v>0</v>
      </c>
      <c r="E96" s="2">
        <f t="shared" si="51"/>
        <v>0</v>
      </c>
      <c r="F96" s="2">
        <f t="shared" si="51"/>
        <v>0</v>
      </c>
      <c r="G96" s="2">
        <f t="shared" si="51"/>
        <v>0</v>
      </c>
      <c r="H96" s="2">
        <f t="shared" si="51"/>
        <v>0</v>
      </c>
      <c r="I96" s="17">
        <f t="shared" si="51"/>
        <v>0</v>
      </c>
      <c r="J96" s="17">
        <f t="shared" si="51"/>
        <v>0</v>
      </c>
      <c r="K96" s="17">
        <f t="shared" si="51"/>
        <v>0</v>
      </c>
      <c r="L96" s="17">
        <f t="shared" si="51"/>
        <v>0</v>
      </c>
      <c r="M96" s="17">
        <f t="shared" si="51"/>
        <v>0</v>
      </c>
      <c r="N96" s="17">
        <f t="shared" si="51"/>
        <v>0</v>
      </c>
      <c r="O96" s="17">
        <f t="shared" si="51"/>
        <v>0</v>
      </c>
      <c r="P96" s="17">
        <f t="shared" si="51"/>
        <v>0</v>
      </c>
      <c r="Q96" s="17">
        <f t="shared" si="51"/>
        <v>0</v>
      </c>
      <c r="R96" s="17">
        <f t="shared" si="51"/>
        <v>0</v>
      </c>
    </row>
    <row r="97" spans="2:18" x14ac:dyDescent="0.25">
      <c r="B97" s="24" t="s">
        <v>48</v>
      </c>
      <c r="D97" s="2">
        <f t="shared" ref="D97:R97" si="52">D53</f>
        <v>0</v>
      </c>
      <c r="E97" s="2">
        <f t="shared" si="52"/>
        <v>0</v>
      </c>
      <c r="F97" s="2">
        <f t="shared" si="52"/>
        <v>0</v>
      </c>
      <c r="G97" s="2">
        <f t="shared" si="52"/>
        <v>0</v>
      </c>
      <c r="H97" s="2">
        <f t="shared" si="52"/>
        <v>0</v>
      </c>
      <c r="I97" s="17">
        <f t="shared" si="52"/>
        <v>0</v>
      </c>
      <c r="J97" s="17">
        <f t="shared" si="52"/>
        <v>0</v>
      </c>
      <c r="K97" s="17">
        <f t="shared" si="52"/>
        <v>0</v>
      </c>
      <c r="L97" s="17">
        <f t="shared" si="52"/>
        <v>0</v>
      </c>
      <c r="M97" s="17">
        <f t="shared" si="52"/>
        <v>0</v>
      </c>
      <c r="N97" s="17">
        <f t="shared" si="52"/>
        <v>0</v>
      </c>
      <c r="O97" s="17">
        <f t="shared" si="52"/>
        <v>0</v>
      </c>
      <c r="P97" s="17">
        <f t="shared" si="52"/>
        <v>0</v>
      </c>
      <c r="Q97" s="17">
        <f t="shared" si="52"/>
        <v>0</v>
      </c>
      <c r="R97" s="17">
        <f t="shared" si="52"/>
        <v>0</v>
      </c>
    </row>
    <row r="98" spans="2:18" x14ac:dyDescent="0.25">
      <c r="B98" s="24" t="s">
        <v>53</v>
      </c>
      <c r="D98" s="27">
        <f t="shared" ref="D98:R98" si="53">D62</f>
        <v>0</v>
      </c>
      <c r="E98" s="27">
        <f t="shared" si="53"/>
        <v>0</v>
      </c>
      <c r="F98" s="27">
        <f t="shared" si="53"/>
        <v>0</v>
      </c>
      <c r="G98" s="27">
        <f t="shared" si="53"/>
        <v>0</v>
      </c>
      <c r="H98" s="27">
        <f t="shared" si="53"/>
        <v>0</v>
      </c>
      <c r="I98" s="27">
        <f t="shared" si="53"/>
        <v>0</v>
      </c>
      <c r="J98" s="27">
        <f t="shared" si="53"/>
        <v>0</v>
      </c>
      <c r="K98" s="27">
        <f t="shared" si="53"/>
        <v>0</v>
      </c>
      <c r="L98" s="27">
        <f t="shared" si="53"/>
        <v>0</v>
      </c>
      <c r="M98" s="27">
        <f t="shared" si="53"/>
        <v>0</v>
      </c>
      <c r="N98" s="27">
        <f t="shared" si="53"/>
        <v>0</v>
      </c>
      <c r="O98" s="27">
        <f t="shared" si="53"/>
        <v>0</v>
      </c>
      <c r="P98" s="27">
        <f t="shared" si="53"/>
        <v>0</v>
      </c>
      <c r="Q98" s="27">
        <f t="shared" si="53"/>
        <v>0</v>
      </c>
      <c r="R98" s="27">
        <f t="shared" si="53"/>
        <v>0</v>
      </c>
    </row>
    <row r="99" spans="2:18" x14ac:dyDescent="0.25">
      <c r="B99" s="36" t="s">
        <v>90</v>
      </c>
      <c r="D99" s="27"/>
      <c r="E99" s="27"/>
      <c r="F99" s="27"/>
      <c r="G99" s="27"/>
      <c r="H99" s="27"/>
      <c r="I99" s="27"/>
      <c r="J99" s="27"/>
      <c r="K99" s="27"/>
      <c r="L99" s="27"/>
      <c r="M99" s="27"/>
      <c r="N99" s="27"/>
      <c r="O99" s="27"/>
      <c r="P99" s="27"/>
      <c r="Q99" s="27"/>
      <c r="R99" s="27"/>
    </row>
    <row r="100" spans="2:18" x14ac:dyDescent="0.25">
      <c r="B100" s="22" t="s">
        <v>36</v>
      </c>
      <c r="C100" s="22"/>
      <c r="D100" s="14"/>
      <c r="E100" s="120">
        <f t="shared" ref="E100:R100" si="54">E99-D99</f>
        <v>0</v>
      </c>
      <c r="F100" s="120">
        <f t="shared" si="54"/>
        <v>0</v>
      </c>
      <c r="G100" s="120">
        <f t="shared" si="54"/>
        <v>0</v>
      </c>
      <c r="H100" s="120">
        <f t="shared" si="54"/>
        <v>0</v>
      </c>
      <c r="I100" s="120">
        <f t="shared" si="54"/>
        <v>0</v>
      </c>
      <c r="J100" s="120">
        <f t="shared" si="54"/>
        <v>0</v>
      </c>
      <c r="K100" s="120">
        <f t="shared" si="54"/>
        <v>0</v>
      </c>
      <c r="L100" s="120">
        <f t="shared" si="54"/>
        <v>0</v>
      </c>
      <c r="M100" s="120">
        <f t="shared" si="54"/>
        <v>0</v>
      </c>
      <c r="N100" s="120">
        <f t="shared" si="54"/>
        <v>0</v>
      </c>
      <c r="O100" s="120">
        <f t="shared" si="54"/>
        <v>0</v>
      </c>
      <c r="P100" s="120">
        <f t="shared" si="54"/>
        <v>0</v>
      </c>
      <c r="Q100" s="120">
        <f t="shared" si="54"/>
        <v>0</v>
      </c>
      <c r="R100" s="120">
        <f t="shared" si="54"/>
        <v>0</v>
      </c>
    </row>
    <row r="102" spans="2:18" x14ac:dyDescent="0.25">
      <c r="B102" s="1" t="s">
        <v>63</v>
      </c>
    </row>
    <row r="103" spans="2:18" x14ac:dyDescent="0.25">
      <c r="B103" s="24" t="s">
        <v>61</v>
      </c>
      <c r="E103" s="2">
        <f t="shared" ref="E103:R103" si="55">D105</f>
        <v>0</v>
      </c>
      <c r="F103" s="2">
        <f t="shared" si="55"/>
        <v>0</v>
      </c>
      <c r="G103" s="2">
        <f t="shared" si="55"/>
        <v>0</v>
      </c>
      <c r="H103" s="2">
        <f t="shared" si="55"/>
        <v>0</v>
      </c>
      <c r="I103" s="2">
        <f t="shared" si="55"/>
        <v>0</v>
      </c>
      <c r="J103" s="2">
        <f t="shared" ca="1" si="55"/>
        <v>0</v>
      </c>
      <c r="K103" s="2">
        <f t="shared" ca="1" si="55"/>
        <v>0</v>
      </c>
      <c r="L103" s="2">
        <f t="shared" ca="1" si="55"/>
        <v>0</v>
      </c>
      <c r="M103" s="2">
        <f t="shared" ca="1" si="55"/>
        <v>0</v>
      </c>
      <c r="N103" s="2">
        <f t="shared" ca="1" si="55"/>
        <v>0</v>
      </c>
      <c r="O103" s="2">
        <f t="shared" ca="1" si="55"/>
        <v>0</v>
      </c>
      <c r="P103" s="2">
        <f t="shared" ca="1" si="55"/>
        <v>0</v>
      </c>
      <c r="Q103" s="2">
        <f t="shared" ca="1" si="55"/>
        <v>0</v>
      </c>
      <c r="R103" s="2">
        <f t="shared" ca="1" si="55"/>
        <v>0</v>
      </c>
    </row>
    <row r="104" spans="2:18" x14ac:dyDescent="0.25">
      <c r="B104" s="33" t="s">
        <v>67</v>
      </c>
      <c r="D104" s="2">
        <f t="shared" ref="D104:R104" si="56">D83</f>
        <v>0</v>
      </c>
      <c r="E104" s="2">
        <f t="shared" si="56"/>
        <v>0</v>
      </c>
      <c r="F104" s="2">
        <f t="shared" si="56"/>
        <v>0</v>
      </c>
      <c r="G104" s="2">
        <f t="shared" si="56"/>
        <v>0</v>
      </c>
      <c r="H104" s="2">
        <f t="shared" si="56"/>
        <v>0</v>
      </c>
      <c r="I104" s="2">
        <f t="shared" si="56"/>
        <v>0</v>
      </c>
      <c r="J104" s="2">
        <f t="shared" si="56"/>
        <v>0</v>
      </c>
      <c r="K104" s="2">
        <f t="shared" si="56"/>
        <v>0</v>
      </c>
      <c r="L104" s="2">
        <f t="shared" si="56"/>
        <v>0</v>
      </c>
      <c r="M104" s="2">
        <f t="shared" si="56"/>
        <v>0</v>
      </c>
      <c r="N104" s="2">
        <f t="shared" si="56"/>
        <v>0</v>
      </c>
      <c r="O104" s="2">
        <f t="shared" si="56"/>
        <v>0</v>
      </c>
      <c r="P104" s="2">
        <f t="shared" si="56"/>
        <v>0</v>
      </c>
      <c r="Q104" s="2">
        <f t="shared" si="56"/>
        <v>0</v>
      </c>
      <c r="R104" s="2">
        <f t="shared" si="56"/>
        <v>0</v>
      </c>
    </row>
    <row r="105" spans="2:18" x14ac:dyDescent="0.25">
      <c r="B105" s="22" t="s">
        <v>64</v>
      </c>
      <c r="C105" s="22"/>
      <c r="D105" s="14">
        <f t="shared" ref="D105:R105" si="57">D61+D65</f>
        <v>0</v>
      </c>
      <c r="E105" s="14">
        <f t="shared" si="57"/>
        <v>0</v>
      </c>
      <c r="F105" s="14">
        <f t="shared" si="57"/>
        <v>0</v>
      </c>
      <c r="G105" s="14">
        <f t="shared" si="57"/>
        <v>0</v>
      </c>
      <c r="H105" s="14">
        <f t="shared" si="57"/>
        <v>0</v>
      </c>
      <c r="I105" s="14">
        <f t="shared" ca="1" si="57"/>
        <v>0</v>
      </c>
      <c r="J105" s="14">
        <f t="shared" ca="1" si="57"/>
        <v>0</v>
      </c>
      <c r="K105" s="14">
        <f t="shared" ca="1" si="57"/>
        <v>0</v>
      </c>
      <c r="L105" s="14">
        <f t="shared" ca="1" si="57"/>
        <v>0</v>
      </c>
      <c r="M105" s="14">
        <f t="shared" ca="1" si="57"/>
        <v>0</v>
      </c>
      <c r="N105" s="14">
        <f t="shared" ca="1" si="57"/>
        <v>0</v>
      </c>
      <c r="O105" s="14">
        <f t="shared" ca="1" si="57"/>
        <v>0</v>
      </c>
      <c r="P105" s="14">
        <f t="shared" ca="1" si="57"/>
        <v>0</v>
      </c>
      <c r="Q105" s="14">
        <f t="shared" ca="1" si="57"/>
        <v>0</v>
      </c>
      <c r="R105" s="14">
        <f t="shared" ca="1" si="57"/>
        <v>0</v>
      </c>
    </row>
    <row r="107" spans="2:18" x14ac:dyDescent="0.25">
      <c r="B107" s="1" t="s">
        <v>74</v>
      </c>
    </row>
    <row r="108" spans="2:18" x14ac:dyDescent="0.25">
      <c r="B108" s="24" t="s">
        <v>75</v>
      </c>
      <c r="D108" s="34">
        <v>0.14649999999999999</v>
      </c>
      <c r="E108" s="34">
        <v>0.11899999999999999</v>
      </c>
      <c r="F108" s="34">
        <v>9.9000000000000005E-2</v>
      </c>
      <c r="G108" s="34">
        <f t="shared" ref="G108:R108" si="58">F108</f>
        <v>9.9000000000000005E-2</v>
      </c>
      <c r="H108" s="34">
        <f t="shared" si="58"/>
        <v>9.9000000000000005E-2</v>
      </c>
      <c r="I108" s="34">
        <f t="shared" si="58"/>
        <v>9.9000000000000005E-2</v>
      </c>
      <c r="J108" s="34">
        <f t="shared" si="58"/>
        <v>9.9000000000000005E-2</v>
      </c>
      <c r="K108" s="34">
        <f t="shared" si="58"/>
        <v>9.9000000000000005E-2</v>
      </c>
      <c r="L108" s="34">
        <f t="shared" si="58"/>
        <v>9.9000000000000005E-2</v>
      </c>
      <c r="M108" s="34">
        <f t="shared" si="58"/>
        <v>9.9000000000000005E-2</v>
      </c>
      <c r="N108" s="34">
        <f t="shared" si="58"/>
        <v>9.9000000000000005E-2</v>
      </c>
      <c r="O108" s="34">
        <f t="shared" si="58"/>
        <v>9.9000000000000005E-2</v>
      </c>
      <c r="P108" s="34">
        <f t="shared" si="58"/>
        <v>9.9000000000000005E-2</v>
      </c>
      <c r="Q108" s="34">
        <f t="shared" si="58"/>
        <v>9.9000000000000005E-2</v>
      </c>
      <c r="R108" s="34">
        <f t="shared" si="58"/>
        <v>9.9000000000000005E-2</v>
      </c>
    </row>
    <row r="109" spans="2:18" x14ac:dyDescent="0.25">
      <c r="B109" s="24" t="s">
        <v>76</v>
      </c>
      <c r="D109" s="34">
        <v>4.9599999999999998E-2</v>
      </c>
      <c r="E109" s="34">
        <v>4.0099999999999997E-2</v>
      </c>
      <c r="F109" s="34">
        <v>3.8300000000000001E-2</v>
      </c>
      <c r="G109" s="34">
        <f t="shared" ref="G109:R109" si="59">F109</f>
        <v>3.8300000000000001E-2</v>
      </c>
      <c r="H109" s="34">
        <f t="shared" si="59"/>
        <v>3.8300000000000001E-2</v>
      </c>
      <c r="I109" s="34">
        <f t="shared" si="59"/>
        <v>3.8300000000000001E-2</v>
      </c>
      <c r="J109" s="34">
        <f t="shared" si="59"/>
        <v>3.8300000000000001E-2</v>
      </c>
      <c r="K109" s="34">
        <f t="shared" si="59"/>
        <v>3.8300000000000001E-2</v>
      </c>
      <c r="L109" s="34">
        <f t="shared" si="59"/>
        <v>3.8300000000000001E-2</v>
      </c>
      <c r="M109" s="34">
        <f t="shared" si="59"/>
        <v>3.8300000000000001E-2</v>
      </c>
      <c r="N109" s="34">
        <f t="shared" si="59"/>
        <v>3.8300000000000001E-2</v>
      </c>
      <c r="O109" s="34">
        <f t="shared" si="59"/>
        <v>3.8300000000000001E-2</v>
      </c>
      <c r="P109" s="34">
        <f t="shared" si="59"/>
        <v>3.8300000000000001E-2</v>
      </c>
      <c r="Q109" s="34">
        <f t="shared" si="59"/>
        <v>3.8300000000000001E-2</v>
      </c>
      <c r="R109" s="34">
        <f t="shared" si="59"/>
        <v>3.8300000000000001E-2</v>
      </c>
    </row>
    <row r="111" spans="2:18" x14ac:dyDescent="0.25">
      <c r="B111" s="1" t="s">
        <v>77</v>
      </c>
    </row>
    <row r="112" spans="2:18" x14ac:dyDescent="0.25">
      <c r="B112" s="24" t="s">
        <v>78</v>
      </c>
      <c r="E112" s="2">
        <f t="shared" ref="E112:R112" si="60">D115</f>
        <v>0</v>
      </c>
      <c r="F112" s="2">
        <f t="shared" si="60"/>
        <v>0</v>
      </c>
      <c r="G112" s="2">
        <f t="shared" si="60"/>
        <v>0</v>
      </c>
      <c r="H112" s="2">
        <f t="shared" si="60"/>
        <v>0</v>
      </c>
      <c r="I112" s="2">
        <f t="shared" si="60"/>
        <v>0</v>
      </c>
      <c r="J112" s="2">
        <f t="shared" si="60"/>
        <v>0</v>
      </c>
      <c r="K112" s="2">
        <f t="shared" si="60"/>
        <v>0</v>
      </c>
      <c r="L112" s="2">
        <f t="shared" si="60"/>
        <v>0</v>
      </c>
      <c r="M112" s="2">
        <f t="shared" si="60"/>
        <v>0</v>
      </c>
      <c r="N112" s="2">
        <f t="shared" si="60"/>
        <v>0</v>
      </c>
      <c r="O112" s="2">
        <f t="shared" si="60"/>
        <v>0</v>
      </c>
      <c r="P112" s="2">
        <f t="shared" si="60"/>
        <v>0</v>
      </c>
      <c r="Q112" s="2">
        <f t="shared" si="60"/>
        <v>0</v>
      </c>
      <c r="R112" s="2">
        <f t="shared" si="60"/>
        <v>0</v>
      </c>
    </row>
    <row r="113" spans="1:18" x14ac:dyDescent="0.25">
      <c r="B113" s="24" t="s">
        <v>79</v>
      </c>
      <c r="D113" s="2">
        <f t="shared" ref="D113:R113" si="61">D80</f>
        <v>0</v>
      </c>
      <c r="E113" s="2">
        <f t="shared" si="61"/>
        <v>0</v>
      </c>
      <c r="F113" s="2">
        <f t="shared" si="61"/>
        <v>0</v>
      </c>
      <c r="G113" s="2">
        <f t="shared" si="61"/>
        <v>0</v>
      </c>
      <c r="H113" s="2">
        <f t="shared" si="61"/>
        <v>0</v>
      </c>
      <c r="I113" s="2">
        <f t="shared" si="61"/>
        <v>0</v>
      </c>
      <c r="J113" s="2">
        <f t="shared" si="61"/>
        <v>0</v>
      </c>
      <c r="K113" s="2">
        <f t="shared" si="61"/>
        <v>0</v>
      </c>
      <c r="L113" s="2">
        <f t="shared" si="61"/>
        <v>0</v>
      </c>
      <c r="M113" s="2">
        <f t="shared" si="61"/>
        <v>0</v>
      </c>
      <c r="N113" s="2">
        <f t="shared" si="61"/>
        <v>0</v>
      </c>
      <c r="O113" s="2">
        <f t="shared" si="61"/>
        <v>0</v>
      </c>
      <c r="P113" s="2">
        <f t="shared" si="61"/>
        <v>0</v>
      </c>
      <c r="Q113" s="2">
        <f t="shared" si="61"/>
        <v>0</v>
      </c>
      <c r="R113" s="2">
        <f t="shared" si="61"/>
        <v>0</v>
      </c>
    </row>
    <row r="114" spans="1:18" x14ac:dyDescent="0.25">
      <c r="B114" s="24" t="s">
        <v>81</v>
      </c>
      <c r="D114" s="2">
        <f t="shared" ref="D114:R114" si="62">D10*D112</f>
        <v>0</v>
      </c>
      <c r="E114" s="2">
        <f t="shared" si="62"/>
        <v>0</v>
      </c>
      <c r="F114" s="2">
        <f t="shared" si="62"/>
        <v>0</v>
      </c>
      <c r="G114" s="2">
        <f t="shared" si="62"/>
        <v>0</v>
      </c>
      <c r="H114" s="2">
        <f t="shared" si="62"/>
        <v>0</v>
      </c>
      <c r="I114" s="2">
        <f t="shared" si="62"/>
        <v>0</v>
      </c>
      <c r="J114" s="2">
        <f t="shared" si="62"/>
        <v>0</v>
      </c>
      <c r="K114" s="2">
        <f t="shared" si="62"/>
        <v>0</v>
      </c>
      <c r="L114" s="2">
        <f t="shared" si="62"/>
        <v>0</v>
      </c>
      <c r="M114" s="2">
        <f t="shared" si="62"/>
        <v>0</v>
      </c>
      <c r="N114" s="2">
        <f t="shared" si="62"/>
        <v>0</v>
      </c>
      <c r="O114" s="2">
        <f t="shared" si="62"/>
        <v>0</v>
      </c>
      <c r="P114" s="2">
        <f t="shared" si="62"/>
        <v>0</v>
      </c>
      <c r="Q114" s="2">
        <f t="shared" si="62"/>
        <v>0</v>
      </c>
      <c r="R114" s="2">
        <f t="shared" si="62"/>
        <v>0</v>
      </c>
    </row>
    <row r="115" spans="1:18" x14ac:dyDescent="0.25">
      <c r="B115" s="22" t="s">
        <v>80</v>
      </c>
      <c r="C115" s="8"/>
      <c r="D115" s="14">
        <f t="shared" ref="D115:R115" si="63">D112+D113-D114</f>
        <v>0</v>
      </c>
      <c r="E115" s="14">
        <f t="shared" si="63"/>
        <v>0</v>
      </c>
      <c r="F115" s="14">
        <f t="shared" si="63"/>
        <v>0</v>
      </c>
      <c r="G115" s="14">
        <f t="shared" si="63"/>
        <v>0</v>
      </c>
      <c r="H115" s="14">
        <f t="shared" si="63"/>
        <v>0</v>
      </c>
      <c r="I115" s="14">
        <f t="shared" si="63"/>
        <v>0</v>
      </c>
      <c r="J115" s="14">
        <f t="shared" si="63"/>
        <v>0</v>
      </c>
      <c r="K115" s="14">
        <f t="shared" si="63"/>
        <v>0</v>
      </c>
      <c r="L115" s="14">
        <f t="shared" si="63"/>
        <v>0</v>
      </c>
      <c r="M115" s="14">
        <f t="shared" si="63"/>
        <v>0</v>
      </c>
      <c r="N115" s="14">
        <f t="shared" si="63"/>
        <v>0</v>
      </c>
      <c r="O115" s="14">
        <f t="shared" si="63"/>
        <v>0</v>
      </c>
      <c r="P115" s="14">
        <f t="shared" si="63"/>
        <v>0</v>
      </c>
      <c r="Q115" s="14">
        <f t="shared" si="63"/>
        <v>0</v>
      </c>
      <c r="R115" s="14">
        <f t="shared" si="63"/>
        <v>0</v>
      </c>
    </row>
    <row r="117" spans="1:18" x14ac:dyDescent="0.25">
      <c r="A117" s="36" t="s">
        <v>1</v>
      </c>
      <c r="B117" s="43" t="s">
        <v>82</v>
      </c>
      <c r="C117" s="42"/>
      <c r="D117" s="93">
        <f>$G$1</f>
        <v>2025</v>
      </c>
      <c r="E117" s="93">
        <f t="shared" ref="E117:R117" si="64">D117+1</f>
        <v>2026</v>
      </c>
      <c r="F117" s="93">
        <f t="shared" si="64"/>
        <v>2027</v>
      </c>
      <c r="G117" s="93">
        <f t="shared" si="64"/>
        <v>2028</v>
      </c>
      <c r="H117" s="93">
        <f t="shared" si="64"/>
        <v>2029</v>
      </c>
      <c r="I117" s="93">
        <f t="shared" si="64"/>
        <v>2030</v>
      </c>
      <c r="J117" s="93">
        <f t="shared" si="64"/>
        <v>2031</v>
      </c>
      <c r="K117" s="93">
        <f t="shared" si="64"/>
        <v>2032</v>
      </c>
      <c r="L117" s="93">
        <f t="shared" si="64"/>
        <v>2033</v>
      </c>
      <c r="M117" s="93">
        <f t="shared" si="64"/>
        <v>2034</v>
      </c>
      <c r="N117" s="93">
        <f t="shared" si="64"/>
        <v>2035</v>
      </c>
      <c r="O117" s="93">
        <f t="shared" si="64"/>
        <v>2036</v>
      </c>
      <c r="P117" s="93">
        <f t="shared" si="64"/>
        <v>2037</v>
      </c>
      <c r="Q117" s="93">
        <f t="shared" si="64"/>
        <v>2038</v>
      </c>
      <c r="R117" s="93">
        <f t="shared" si="64"/>
        <v>2039</v>
      </c>
    </row>
    <row r="119" spans="1:18" x14ac:dyDescent="0.25">
      <c r="B119" s="1" t="s">
        <v>83</v>
      </c>
    </row>
    <row r="120" spans="1:18" x14ac:dyDescent="0.25">
      <c r="B120" s="36" t="s">
        <v>41</v>
      </c>
    </row>
    <row r="121" spans="1:18" x14ac:dyDescent="0.25">
      <c r="B121" s="36" t="s">
        <v>35</v>
      </c>
    </row>
    <row r="122" spans="1:18" x14ac:dyDescent="0.25">
      <c r="B122" s="36" t="s">
        <v>37</v>
      </c>
    </row>
    <row r="123" spans="1:18" x14ac:dyDescent="0.25">
      <c r="B123" s="36" t="s">
        <v>84</v>
      </c>
    </row>
    <row r="124" spans="1:18" x14ac:dyDescent="0.25">
      <c r="B124" s="36" t="s">
        <v>85</v>
      </c>
      <c r="I124" s="2">
        <f t="shared" ref="I124:R124" si="65">I85</f>
        <v>0</v>
      </c>
      <c r="J124" s="2">
        <f t="shared" si="65"/>
        <v>0</v>
      </c>
      <c r="K124" s="2">
        <f t="shared" si="65"/>
        <v>0</v>
      </c>
      <c r="L124" s="2">
        <f t="shared" si="65"/>
        <v>0</v>
      </c>
      <c r="M124" s="2">
        <f t="shared" si="65"/>
        <v>0</v>
      </c>
      <c r="N124" s="2">
        <f t="shared" si="65"/>
        <v>0</v>
      </c>
      <c r="O124" s="2">
        <f t="shared" si="65"/>
        <v>0</v>
      </c>
      <c r="P124" s="2">
        <f t="shared" si="65"/>
        <v>0</v>
      </c>
      <c r="Q124" s="2">
        <f t="shared" si="65"/>
        <v>0</v>
      </c>
      <c r="R124" s="2">
        <f t="shared" si="65"/>
        <v>0</v>
      </c>
    </row>
    <row r="125" spans="1:18" x14ac:dyDescent="0.25">
      <c r="B125" s="22" t="s">
        <v>86</v>
      </c>
      <c r="C125" s="22"/>
      <c r="D125" s="14"/>
      <c r="E125" s="14"/>
      <c r="F125" s="14"/>
      <c r="G125" s="14"/>
      <c r="H125" s="14"/>
      <c r="I125" s="14">
        <f t="shared" ref="I125:R125" si="66">SUM(I119:I124)</f>
        <v>0</v>
      </c>
      <c r="J125" s="14">
        <f t="shared" si="66"/>
        <v>0</v>
      </c>
      <c r="K125" s="14">
        <f t="shared" si="66"/>
        <v>0</v>
      </c>
      <c r="L125" s="14">
        <f t="shared" si="66"/>
        <v>0</v>
      </c>
      <c r="M125" s="14">
        <f t="shared" si="66"/>
        <v>0</v>
      </c>
      <c r="N125" s="14">
        <f t="shared" si="66"/>
        <v>0</v>
      </c>
      <c r="O125" s="14">
        <f t="shared" si="66"/>
        <v>0</v>
      </c>
      <c r="P125" s="14">
        <f t="shared" si="66"/>
        <v>0</v>
      </c>
      <c r="Q125" s="14">
        <f t="shared" si="66"/>
        <v>0</v>
      </c>
      <c r="R125" s="14">
        <f t="shared" si="66"/>
        <v>0</v>
      </c>
    </row>
    <row r="127" spans="1:18" x14ac:dyDescent="0.25">
      <c r="B127" s="1" t="s">
        <v>82</v>
      </c>
    </row>
    <row r="128" spans="1:18" x14ac:dyDescent="0.25">
      <c r="B128" s="37" t="s">
        <v>87</v>
      </c>
      <c r="I128" s="2">
        <f t="shared" ref="I128:R128" si="67">H130</f>
        <v>0</v>
      </c>
      <c r="J128" s="2">
        <f t="shared" ca="1" si="67"/>
        <v>0</v>
      </c>
      <c r="K128" s="2">
        <f t="shared" ca="1" si="67"/>
        <v>0</v>
      </c>
      <c r="L128" s="2">
        <f t="shared" ca="1" si="67"/>
        <v>0</v>
      </c>
      <c r="M128" s="2">
        <f t="shared" ca="1" si="67"/>
        <v>0</v>
      </c>
      <c r="N128" s="2">
        <f t="shared" ca="1" si="67"/>
        <v>0</v>
      </c>
      <c r="O128" s="2">
        <f t="shared" ca="1" si="67"/>
        <v>0</v>
      </c>
      <c r="P128" s="2">
        <f t="shared" ca="1" si="67"/>
        <v>0</v>
      </c>
      <c r="Q128" s="2">
        <f t="shared" ca="1" si="67"/>
        <v>0</v>
      </c>
      <c r="R128" s="2">
        <f t="shared" ca="1" si="67"/>
        <v>0</v>
      </c>
    </row>
    <row r="129" spans="1:18" x14ac:dyDescent="0.25">
      <c r="B129" s="37" t="s">
        <v>88</v>
      </c>
      <c r="I129" s="2">
        <v>0</v>
      </c>
      <c r="J129" s="2">
        <v>0</v>
      </c>
      <c r="K129" s="2">
        <v>0</v>
      </c>
      <c r="L129" s="2">
        <v>0</v>
      </c>
      <c r="M129" s="2">
        <v>0</v>
      </c>
      <c r="N129" s="2">
        <v>0</v>
      </c>
      <c r="O129" s="2">
        <v>0</v>
      </c>
      <c r="P129" s="2">
        <v>0</v>
      </c>
      <c r="Q129" s="2">
        <v>0</v>
      </c>
      <c r="R129" s="2">
        <v>0</v>
      </c>
    </row>
    <row r="130" spans="1:18" x14ac:dyDescent="0.25">
      <c r="B130" s="22" t="s">
        <v>89</v>
      </c>
      <c r="C130" s="22"/>
      <c r="D130" s="14"/>
      <c r="E130" s="14"/>
      <c r="F130" s="14"/>
      <c r="G130" s="14"/>
      <c r="H130" s="14">
        <f>H61</f>
        <v>0</v>
      </c>
      <c r="I130" s="14">
        <f t="shared" ref="I130:R130" ca="1" si="68">SUM(I128:I130)</f>
        <v>0</v>
      </c>
      <c r="J130" s="14">
        <f t="shared" ca="1" si="68"/>
        <v>0</v>
      </c>
      <c r="K130" s="14">
        <f t="shared" ca="1" si="68"/>
        <v>0</v>
      </c>
      <c r="L130" s="14">
        <f t="shared" ca="1" si="68"/>
        <v>0</v>
      </c>
      <c r="M130" s="14">
        <f t="shared" ca="1" si="68"/>
        <v>0</v>
      </c>
      <c r="N130" s="14">
        <f t="shared" ca="1" si="68"/>
        <v>0</v>
      </c>
      <c r="O130" s="14">
        <f t="shared" ca="1" si="68"/>
        <v>0</v>
      </c>
      <c r="P130" s="14">
        <f t="shared" ca="1" si="68"/>
        <v>0</v>
      </c>
      <c r="Q130" s="14">
        <f t="shared" ca="1" si="68"/>
        <v>0</v>
      </c>
      <c r="R130" s="14">
        <f t="shared" ca="1" si="68"/>
        <v>0</v>
      </c>
    </row>
    <row r="132" spans="1:18" x14ac:dyDescent="0.25">
      <c r="B132" s="1" t="s">
        <v>91</v>
      </c>
    </row>
    <row r="133" spans="1:18" x14ac:dyDescent="0.25">
      <c r="B133" s="36" t="s">
        <v>92</v>
      </c>
      <c r="I133" s="34">
        <f t="shared" ref="I133:R133" si="69">I12</f>
        <v>0</v>
      </c>
      <c r="J133" s="34">
        <f t="shared" si="69"/>
        <v>0</v>
      </c>
      <c r="K133" s="34">
        <f t="shared" si="69"/>
        <v>0</v>
      </c>
      <c r="L133" s="34">
        <f t="shared" si="69"/>
        <v>0</v>
      </c>
      <c r="M133" s="34">
        <f t="shared" si="69"/>
        <v>0</v>
      </c>
      <c r="N133" s="34">
        <f t="shared" si="69"/>
        <v>0</v>
      </c>
      <c r="O133" s="34">
        <f t="shared" si="69"/>
        <v>0</v>
      </c>
      <c r="P133" s="34">
        <f t="shared" si="69"/>
        <v>0</v>
      </c>
      <c r="Q133" s="34">
        <f t="shared" si="69"/>
        <v>0</v>
      </c>
      <c r="R133" s="34">
        <f t="shared" si="69"/>
        <v>0</v>
      </c>
    </row>
    <row r="134" spans="1:18" x14ac:dyDescent="0.25">
      <c r="B134" s="36" t="s">
        <v>93</v>
      </c>
      <c r="I134" s="2">
        <f ca="1">I133*I130</f>
        <v>0</v>
      </c>
    </row>
    <row r="135" spans="1:18" x14ac:dyDescent="0.25">
      <c r="B135" s="22" t="s">
        <v>95</v>
      </c>
      <c r="C135" s="22"/>
      <c r="D135" s="22"/>
      <c r="E135" s="22"/>
      <c r="F135" s="22"/>
      <c r="G135" s="22"/>
      <c r="H135" s="22"/>
      <c r="I135" s="14">
        <f t="shared" ref="I135:R135" ca="1" si="70">I134+(I65*I11)</f>
        <v>0</v>
      </c>
      <c r="J135" s="14">
        <f t="shared" si="70"/>
        <v>0</v>
      </c>
      <c r="K135" s="14">
        <f t="shared" si="70"/>
        <v>0</v>
      </c>
      <c r="L135" s="14">
        <f t="shared" si="70"/>
        <v>0</v>
      </c>
      <c r="M135" s="14">
        <f t="shared" si="70"/>
        <v>0</v>
      </c>
      <c r="N135" s="14">
        <f t="shared" si="70"/>
        <v>0</v>
      </c>
      <c r="O135" s="14">
        <f t="shared" si="70"/>
        <v>0</v>
      </c>
      <c r="P135" s="14">
        <f t="shared" si="70"/>
        <v>0</v>
      </c>
      <c r="Q135" s="14">
        <f t="shared" si="70"/>
        <v>0</v>
      </c>
      <c r="R135" s="14">
        <f t="shared" si="70"/>
        <v>0</v>
      </c>
    </row>
    <row r="137" spans="1:18" x14ac:dyDescent="0.25">
      <c r="A137" s="36" t="s">
        <v>1</v>
      </c>
      <c r="B137" s="43" t="s">
        <v>96</v>
      </c>
      <c r="C137" s="93"/>
      <c r="D137" s="93">
        <f t="shared" ref="D137:R137" si="71">D117</f>
        <v>2025</v>
      </c>
      <c r="E137" s="93">
        <f t="shared" si="71"/>
        <v>2026</v>
      </c>
      <c r="F137" s="93">
        <f t="shared" si="71"/>
        <v>2027</v>
      </c>
      <c r="G137" s="93">
        <f t="shared" si="71"/>
        <v>2028</v>
      </c>
      <c r="H137" s="93">
        <f t="shared" si="71"/>
        <v>2029</v>
      </c>
      <c r="I137" s="93">
        <f t="shared" si="71"/>
        <v>2030</v>
      </c>
      <c r="J137" s="93">
        <f t="shared" si="71"/>
        <v>2031</v>
      </c>
      <c r="K137" s="93">
        <f t="shared" si="71"/>
        <v>2032</v>
      </c>
      <c r="L137" s="93">
        <f t="shared" si="71"/>
        <v>2033</v>
      </c>
      <c r="M137" s="93">
        <f t="shared" si="71"/>
        <v>2034</v>
      </c>
      <c r="N137" s="93">
        <f t="shared" si="71"/>
        <v>2035</v>
      </c>
      <c r="O137" s="93">
        <f t="shared" si="71"/>
        <v>2036</v>
      </c>
      <c r="P137" s="93">
        <f t="shared" si="71"/>
        <v>2037</v>
      </c>
      <c r="Q137" s="93">
        <f t="shared" si="71"/>
        <v>2038</v>
      </c>
      <c r="R137" s="93">
        <f t="shared" si="71"/>
        <v>2039</v>
      </c>
    </row>
    <row r="139" spans="1:18" x14ac:dyDescent="0.25">
      <c r="B139" s="1" t="s">
        <v>97</v>
      </c>
    </row>
    <row r="140" spans="1:18" x14ac:dyDescent="0.25">
      <c r="B140" s="36" t="s">
        <v>104</v>
      </c>
    </row>
    <row r="141" spans="1:18" x14ac:dyDescent="0.25">
      <c r="B141" s="36" t="s">
        <v>98</v>
      </c>
      <c r="D141" s="34"/>
    </row>
    <row r="142" spans="1:18" x14ac:dyDescent="0.25">
      <c r="B142" s="36" t="s">
        <v>99</v>
      </c>
    </row>
    <row r="143" spans="1:18" x14ac:dyDescent="0.25">
      <c r="B143" s="36" t="s">
        <v>100</v>
      </c>
    </row>
    <row r="144" spans="1:18" x14ac:dyDescent="0.25">
      <c r="B144" s="36" t="s">
        <v>102</v>
      </c>
      <c r="D144" s="39">
        <v>45638</v>
      </c>
    </row>
    <row r="145" spans="2:19" x14ac:dyDescent="0.25">
      <c r="B145" s="5" t="s">
        <v>101</v>
      </c>
      <c r="D145" s="38">
        <v>45657</v>
      </c>
    </row>
    <row r="147" spans="2:19" x14ac:dyDescent="0.25">
      <c r="B147" s="1" t="s">
        <v>103</v>
      </c>
      <c r="H147" s="1" t="s">
        <v>105</v>
      </c>
      <c r="I147" s="93">
        <f t="shared" ref="I147:R147" si="72">I137</f>
        <v>2030</v>
      </c>
      <c r="J147" s="93">
        <f t="shared" si="72"/>
        <v>2031</v>
      </c>
      <c r="K147" s="93">
        <f t="shared" si="72"/>
        <v>2032</v>
      </c>
      <c r="L147" s="93">
        <f t="shared" si="72"/>
        <v>2033</v>
      </c>
      <c r="M147" s="93">
        <f t="shared" si="72"/>
        <v>2034</v>
      </c>
      <c r="N147" s="93">
        <f t="shared" si="72"/>
        <v>2035</v>
      </c>
      <c r="O147" s="93">
        <f t="shared" si="72"/>
        <v>2036</v>
      </c>
      <c r="P147" s="93">
        <f t="shared" si="72"/>
        <v>2037</v>
      </c>
      <c r="Q147" s="93">
        <f t="shared" si="72"/>
        <v>2038</v>
      </c>
      <c r="R147" s="93">
        <f t="shared" si="72"/>
        <v>2039</v>
      </c>
      <c r="S147" s="1" t="s">
        <v>106</v>
      </c>
    </row>
    <row r="148" spans="2:19" x14ac:dyDescent="0.25">
      <c r="B148" s="36" t="s">
        <v>107</v>
      </c>
      <c r="H148" s="38">
        <f>D144</f>
        <v>45638</v>
      </c>
      <c r="I148" s="38">
        <v>45657</v>
      </c>
      <c r="J148" s="38">
        <v>46022</v>
      </c>
      <c r="K148" s="38">
        <v>46387</v>
      </c>
      <c r="L148" s="38">
        <v>46752</v>
      </c>
      <c r="M148" s="38">
        <v>47118</v>
      </c>
      <c r="N148" s="38">
        <v>47483</v>
      </c>
      <c r="O148" s="38">
        <v>47848</v>
      </c>
      <c r="P148" s="38">
        <v>48213</v>
      </c>
      <c r="Q148" s="38">
        <v>48579</v>
      </c>
      <c r="R148" s="38">
        <v>48944</v>
      </c>
      <c r="S148" s="38">
        <f>R148</f>
        <v>48944</v>
      </c>
    </row>
    <row r="149" spans="2:19" x14ac:dyDescent="0.25">
      <c r="B149" s="36" t="s">
        <v>108</v>
      </c>
      <c r="J149" s="2">
        <f t="shared" ref="J149:R149" si="73">I149+1</f>
        <v>1</v>
      </c>
      <c r="K149" s="2">
        <f t="shared" si="73"/>
        <v>2</v>
      </c>
      <c r="L149" s="2">
        <f t="shared" si="73"/>
        <v>3</v>
      </c>
      <c r="M149" s="2">
        <f t="shared" si="73"/>
        <v>4</v>
      </c>
      <c r="N149" s="2">
        <f t="shared" si="73"/>
        <v>5</v>
      </c>
      <c r="O149" s="2">
        <f t="shared" si="73"/>
        <v>6</v>
      </c>
      <c r="P149" s="2">
        <f t="shared" si="73"/>
        <v>7</v>
      </c>
      <c r="Q149" s="2">
        <f t="shared" si="73"/>
        <v>8</v>
      </c>
      <c r="R149" s="2">
        <f t="shared" si="73"/>
        <v>9</v>
      </c>
    </row>
    <row r="150" spans="2:19" x14ac:dyDescent="0.25">
      <c r="B150" s="36" t="s">
        <v>109</v>
      </c>
      <c r="I150" s="40">
        <v>5.2777777777777778E-2</v>
      </c>
      <c r="J150" s="40">
        <v>1</v>
      </c>
      <c r="K150" s="40">
        <v>1</v>
      </c>
      <c r="L150" s="40">
        <v>1</v>
      </c>
      <c r="M150" s="40">
        <v>1</v>
      </c>
      <c r="N150" s="40">
        <v>1</v>
      </c>
      <c r="O150" s="40">
        <v>1</v>
      </c>
      <c r="P150" s="40">
        <v>1</v>
      </c>
      <c r="Q150" s="40">
        <v>1</v>
      </c>
      <c r="R150" s="40">
        <v>1</v>
      </c>
      <c r="S150" s="41">
        <v>1</v>
      </c>
    </row>
    <row r="151" spans="2:19" x14ac:dyDescent="0.25">
      <c r="B151" s="5"/>
    </row>
    <row r="152" spans="2:19" x14ac:dyDescent="0.25">
      <c r="B152" s="21" t="s">
        <v>110</v>
      </c>
      <c r="I152" s="19">
        <f t="shared" ref="I152:R152" ca="1" si="74">I40</f>
        <v>0</v>
      </c>
      <c r="J152" s="19">
        <f t="shared" si="74"/>
        <v>0</v>
      </c>
      <c r="K152" s="19">
        <f t="shared" si="74"/>
        <v>0</v>
      </c>
      <c r="L152" s="19">
        <f t="shared" si="74"/>
        <v>0</v>
      </c>
      <c r="M152" s="19">
        <f t="shared" si="74"/>
        <v>0</v>
      </c>
      <c r="N152" s="19">
        <f t="shared" si="74"/>
        <v>0</v>
      </c>
      <c r="O152" s="19">
        <f t="shared" si="74"/>
        <v>0</v>
      </c>
      <c r="P152" s="19">
        <f t="shared" si="74"/>
        <v>0</v>
      </c>
      <c r="Q152" s="19">
        <f t="shared" si="74"/>
        <v>0</v>
      </c>
      <c r="R152" s="19">
        <f t="shared" si="74"/>
        <v>0</v>
      </c>
    </row>
    <row r="153" spans="2:19" x14ac:dyDescent="0.25">
      <c r="B153" s="36" t="s">
        <v>111</v>
      </c>
      <c r="I153" s="17">
        <f t="shared" ref="I153:R153" ca="1" si="75">$D$141*I152</f>
        <v>0</v>
      </c>
      <c r="J153" s="17">
        <f t="shared" si="75"/>
        <v>0</v>
      </c>
      <c r="K153" s="17">
        <f t="shared" si="75"/>
        <v>0</v>
      </c>
      <c r="L153" s="17">
        <f t="shared" si="75"/>
        <v>0</v>
      </c>
      <c r="M153" s="17">
        <f t="shared" si="75"/>
        <v>0</v>
      </c>
      <c r="N153" s="17">
        <f t="shared" si="75"/>
        <v>0</v>
      </c>
      <c r="O153" s="17">
        <f t="shared" si="75"/>
        <v>0</v>
      </c>
      <c r="P153" s="17">
        <f t="shared" si="75"/>
        <v>0</v>
      </c>
      <c r="Q153" s="17">
        <f t="shared" si="75"/>
        <v>0</v>
      </c>
      <c r="R153" s="17">
        <f t="shared" si="75"/>
        <v>0</v>
      </c>
    </row>
    <row r="154" spans="2:19" x14ac:dyDescent="0.25">
      <c r="B154" s="21" t="s">
        <v>112</v>
      </c>
      <c r="I154" s="19">
        <f t="shared" ref="I154:R154" ca="1" si="76">I152-I153</f>
        <v>0</v>
      </c>
      <c r="J154" s="19">
        <f t="shared" si="76"/>
        <v>0</v>
      </c>
      <c r="K154" s="19">
        <f t="shared" si="76"/>
        <v>0</v>
      </c>
      <c r="L154" s="19">
        <f t="shared" si="76"/>
        <v>0</v>
      </c>
      <c r="M154" s="19">
        <f t="shared" si="76"/>
        <v>0</v>
      </c>
      <c r="N154" s="19">
        <f t="shared" si="76"/>
        <v>0</v>
      </c>
      <c r="O154" s="19">
        <f t="shared" si="76"/>
        <v>0</v>
      </c>
      <c r="P154" s="19">
        <f t="shared" si="76"/>
        <v>0</v>
      </c>
      <c r="Q154" s="19">
        <f t="shared" si="76"/>
        <v>0</v>
      </c>
      <c r="R154" s="19">
        <f t="shared" si="76"/>
        <v>0</v>
      </c>
    </row>
    <row r="155" spans="2:19" x14ac:dyDescent="0.25">
      <c r="B155" s="36" t="s">
        <v>113</v>
      </c>
      <c r="I155" s="17">
        <f t="shared" ref="I155:R155" si="77">I45</f>
        <v>0</v>
      </c>
      <c r="J155" s="17">
        <f t="shared" si="77"/>
        <v>0</v>
      </c>
      <c r="K155" s="17">
        <f t="shared" si="77"/>
        <v>0</v>
      </c>
      <c r="L155" s="17">
        <f t="shared" si="77"/>
        <v>0</v>
      </c>
      <c r="M155" s="17">
        <f t="shared" si="77"/>
        <v>0</v>
      </c>
      <c r="N155" s="17">
        <f t="shared" si="77"/>
        <v>0</v>
      </c>
      <c r="O155" s="17">
        <f t="shared" si="77"/>
        <v>0</v>
      </c>
      <c r="P155" s="17">
        <f t="shared" si="77"/>
        <v>0</v>
      </c>
      <c r="Q155" s="17">
        <f t="shared" si="77"/>
        <v>0</v>
      </c>
      <c r="R155" s="17">
        <f t="shared" si="77"/>
        <v>0</v>
      </c>
    </row>
    <row r="156" spans="2:19" x14ac:dyDescent="0.25">
      <c r="B156" s="21" t="s">
        <v>114</v>
      </c>
      <c r="I156" s="19">
        <f t="shared" ref="I156:R156" ca="1" si="78">I154-I155</f>
        <v>0</v>
      </c>
      <c r="J156" s="19">
        <f t="shared" si="78"/>
        <v>0</v>
      </c>
      <c r="K156" s="19">
        <f t="shared" si="78"/>
        <v>0</v>
      </c>
      <c r="L156" s="19">
        <f t="shared" si="78"/>
        <v>0</v>
      </c>
      <c r="M156" s="19">
        <f t="shared" si="78"/>
        <v>0</v>
      </c>
      <c r="N156" s="19">
        <f t="shared" si="78"/>
        <v>0</v>
      </c>
      <c r="O156" s="19">
        <f t="shared" si="78"/>
        <v>0</v>
      </c>
      <c r="P156" s="19">
        <f t="shared" si="78"/>
        <v>0</v>
      </c>
      <c r="Q156" s="19">
        <f t="shared" si="78"/>
        <v>0</v>
      </c>
      <c r="R156" s="19">
        <f t="shared" si="78"/>
        <v>0</v>
      </c>
    </row>
    <row r="157" spans="2:19" x14ac:dyDescent="0.25">
      <c r="B157" s="36" t="s">
        <v>115</v>
      </c>
      <c r="I157" s="17">
        <f t="shared" ref="I157:R157" si="79">I80</f>
        <v>0</v>
      </c>
      <c r="J157" s="17">
        <f t="shared" si="79"/>
        <v>0</v>
      </c>
      <c r="K157" s="17">
        <f t="shared" si="79"/>
        <v>0</v>
      </c>
      <c r="L157" s="17">
        <f t="shared" si="79"/>
        <v>0</v>
      </c>
      <c r="M157" s="17">
        <f t="shared" si="79"/>
        <v>0</v>
      </c>
      <c r="N157" s="17">
        <f t="shared" si="79"/>
        <v>0</v>
      </c>
      <c r="O157" s="17">
        <f t="shared" si="79"/>
        <v>0</v>
      </c>
      <c r="P157" s="17">
        <f t="shared" si="79"/>
        <v>0</v>
      </c>
      <c r="Q157" s="17">
        <f t="shared" si="79"/>
        <v>0</v>
      </c>
      <c r="R157" s="17">
        <f t="shared" si="79"/>
        <v>0</v>
      </c>
    </row>
    <row r="158" spans="2:19" x14ac:dyDescent="0.25">
      <c r="B158" s="36" t="s">
        <v>70</v>
      </c>
      <c r="I158" s="17">
        <f t="shared" ref="I158:R158" si="80">I100</f>
        <v>0</v>
      </c>
      <c r="J158" s="17">
        <f t="shared" si="80"/>
        <v>0</v>
      </c>
      <c r="K158" s="17">
        <f t="shared" si="80"/>
        <v>0</v>
      </c>
      <c r="L158" s="17">
        <f t="shared" si="80"/>
        <v>0</v>
      </c>
      <c r="M158" s="17">
        <f t="shared" si="80"/>
        <v>0</v>
      </c>
      <c r="N158" s="17">
        <f t="shared" si="80"/>
        <v>0</v>
      </c>
      <c r="O158" s="17">
        <f t="shared" si="80"/>
        <v>0</v>
      </c>
      <c r="P158" s="17">
        <f t="shared" si="80"/>
        <v>0</v>
      </c>
      <c r="Q158" s="17">
        <f t="shared" si="80"/>
        <v>0</v>
      </c>
      <c r="R158" s="17">
        <f t="shared" si="80"/>
        <v>0</v>
      </c>
    </row>
    <row r="159" spans="2:19" x14ac:dyDescent="0.25">
      <c r="B159" s="21" t="s">
        <v>116</v>
      </c>
      <c r="I159" s="19">
        <f t="shared" ref="I159:R159" ca="1" si="81">I156-I157+I158</f>
        <v>0</v>
      </c>
      <c r="J159" s="19">
        <f t="shared" si="81"/>
        <v>0</v>
      </c>
      <c r="K159" s="19">
        <f t="shared" si="81"/>
        <v>0</v>
      </c>
      <c r="L159" s="19">
        <f t="shared" si="81"/>
        <v>0</v>
      </c>
      <c r="M159" s="19">
        <f t="shared" si="81"/>
        <v>0</v>
      </c>
      <c r="N159" s="19">
        <f t="shared" si="81"/>
        <v>0</v>
      </c>
      <c r="O159" s="19">
        <f t="shared" si="81"/>
        <v>0</v>
      </c>
      <c r="P159" s="19">
        <f t="shared" si="81"/>
        <v>0</v>
      </c>
      <c r="Q159" s="19">
        <f t="shared" si="81"/>
        <v>0</v>
      </c>
      <c r="R159" s="19">
        <f t="shared" si="81"/>
        <v>0</v>
      </c>
    </row>
    <row r="160" spans="2:19" x14ac:dyDescent="0.25">
      <c r="B160" s="21" t="s">
        <v>117</v>
      </c>
      <c r="I160" s="17">
        <f t="shared" ref="I160:R160" ca="1" si="82">I159*I150</f>
        <v>0</v>
      </c>
      <c r="J160" s="17">
        <f t="shared" si="82"/>
        <v>0</v>
      </c>
      <c r="K160" s="17">
        <f t="shared" si="82"/>
        <v>0</v>
      </c>
      <c r="L160" s="17">
        <f t="shared" si="82"/>
        <v>0</v>
      </c>
      <c r="M160" s="17">
        <f t="shared" si="82"/>
        <v>0</v>
      </c>
      <c r="N160" s="17">
        <f t="shared" si="82"/>
        <v>0</v>
      </c>
      <c r="O160" s="17">
        <f t="shared" si="82"/>
        <v>0</v>
      </c>
      <c r="P160" s="17">
        <f t="shared" si="82"/>
        <v>0</v>
      </c>
      <c r="Q160" s="17">
        <f t="shared" si="82"/>
        <v>0</v>
      </c>
      <c r="R160" s="17">
        <f t="shared" si="82"/>
        <v>0</v>
      </c>
    </row>
    <row r="161" spans="2:2" x14ac:dyDescent="0.25">
      <c r="B161" s="21" t="s">
        <v>118</v>
      </c>
    </row>
    <row r="162" spans="2:2" x14ac:dyDescent="0.25">
      <c r="B162" s="5"/>
    </row>
  </sheetData>
  <conditionalFormatting sqref="D70:R70">
    <cfRule type="cellIs" priority="1" operator="equal">
      <formula>"✓"</formula>
    </cfRule>
    <cfRule type="cellIs" dxfId="4" priority="2" operator="equal">
      <formula>"✓"</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EAF07-1858-4ABD-9F3E-DFAD18200043}">
  <dimension ref="B2:M39"/>
  <sheetViews>
    <sheetView showGridLines="0" zoomScaleNormal="100" workbookViewId="0">
      <selection activeCell="C32" sqref="C32"/>
    </sheetView>
  </sheetViews>
  <sheetFormatPr defaultColWidth="9.140625" defaultRowHeight="15" x14ac:dyDescent="0.25"/>
  <cols>
    <col min="1" max="1" width="9.140625" style="35"/>
    <col min="2" max="2" width="57.42578125" style="49" bestFit="1" customWidth="1"/>
    <col min="3" max="16384" width="9.140625" style="35"/>
  </cols>
  <sheetData>
    <row r="2" spans="2:13" x14ac:dyDescent="0.25">
      <c r="B2" s="49" t="s">
        <v>76</v>
      </c>
      <c r="C2" s="36" t="s">
        <v>122</v>
      </c>
      <c r="D2" s="36"/>
      <c r="E2" s="36"/>
      <c r="F2" s="36"/>
      <c r="G2" s="36"/>
      <c r="H2" s="36"/>
      <c r="I2" s="36"/>
      <c r="J2" s="36"/>
      <c r="K2" s="36"/>
      <c r="L2" s="36"/>
      <c r="M2" s="36"/>
    </row>
    <row r="3" spans="2:13" x14ac:dyDescent="0.25">
      <c r="B3" s="49" t="s">
        <v>75</v>
      </c>
      <c r="C3" s="36" t="s">
        <v>122</v>
      </c>
      <c r="D3" s="36"/>
      <c r="E3" s="36"/>
      <c r="F3" s="36"/>
      <c r="G3" s="36"/>
      <c r="H3" s="36"/>
      <c r="I3" s="36"/>
      <c r="J3" s="36"/>
      <c r="K3" s="36"/>
      <c r="L3" s="36"/>
      <c r="M3" s="36"/>
    </row>
    <row r="4" spans="2:13" x14ac:dyDescent="0.25">
      <c r="C4" s="36"/>
      <c r="D4" s="36"/>
      <c r="E4" s="36"/>
      <c r="F4" s="36"/>
      <c r="G4" s="36"/>
      <c r="H4" s="36"/>
      <c r="I4" s="36"/>
      <c r="J4" s="36"/>
      <c r="K4" s="36"/>
      <c r="L4" s="36"/>
      <c r="M4" s="36"/>
    </row>
    <row r="5" spans="2:13" x14ac:dyDescent="0.25">
      <c r="B5" s="49" t="s">
        <v>120</v>
      </c>
      <c r="C5" s="48"/>
      <c r="D5" s="36"/>
      <c r="E5" s="36"/>
      <c r="F5" s="36"/>
      <c r="G5" s="36"/>
      <c r="H5" s="36"/>
      <c r="I5" s="36"/>
      <c r="J5" s="36"/>
      <c r="K5" s="36"/>
      <c r="L5" s="36"/>
      <c r="M5" s="36"/>
    </row>
    <row r="6" spans="2:13" x14ac:dyDescent="0.25">
      <c r="C6" s="36"/>
      <c r="D6" s="36"/>
      <c r="E6" s="36"/>
      <c r="F6" s="36"/>
      <c r="G6" s="36"/>
      <c r="H6" s="36"/>
      <c r="I6" s="36"/>
      <c r="J6" s="36"/>
      <c r="K6" s="36"/>
      <c r="L6" s="36"/>
      <c r="M6" s="36"/>
    </row>
    <row r="7" spans="2:13" x14ac:dyDescent="0.25">
      <c r="C7" s="36"/>
      <c r="D7" s="36"/>
      <c r="E7" s="36"/>
      <c r="F7" s="36"/>
      <c r="G7" s="36"/>
      <c r="H7" s="36"/>
      <c r="I7" s="36"/>
      <c r="J7" s="36"/>
      <c r="K7" s="36"/>
      <c r="L7" s="36"/>
      <c r="M7" s="36"/>
    </row>
    <row r="8" spans="2:13" x14ac:dyDescent="0.25">
      <c r="C8" s="36"/>
      <c r="D8" s="36"/>
      <c r="E8" s="36"/>
      <c r="F8" s="36"/>
      <c r="G8" s="36"/>
      <c r="H8" s="36"/>
      <c r="I8" s="36"/>
      <c r="J8" s="36"/>
      <c r="K8" s="36"/>
      <c r="L8" s="36"/>
      <c r="M8" s="36"/>
    </row>
    <row r="9" spans="2:13" x14ac:dyDescent="0.25">
      <c r="C9" s="36"/>
      <c r="D9" s="36"/>
      <c r="E9" s="36"/>
      <c r="F9" s="36"/>
      <c r="G9" s="36"/>
      <c r="H9" s="36"/>
      <c r="I9" s="36"/>
      <c r="J9" s="36"/>
      <c r="K9" s="36"/>
      <c r="L9" s="36"/>
      <c r="M9" s="36"/>
    </row>
    <row r="10" spans="2:13" x14ac:dyDescent="0.25">
      <c r="C10" s="36"/>
      <c r="D10" s="36"/>
      <c r="E10" s="36"/>
      <c r="F10" s="36"/>
      <c r="G10" s="36"/>
      <c r="H10" s="36"/>
      <c r="I10" s="36"/>
      <c r="J10" s="36"/>
      <c r="K10" s="36"/>
      <c r="L10" s="36"/>
      <c r="M10" s="36"/>
    </row>
    <row r="11" spans="2:13" x14ac:dyDescent="0.25">
      <c r="C11" s="36"/>
      <c r="D11" s="36"/>
      <c r="E11" s="36"/>
      <c r="F11" s="36"/>
      <c r="G11" s="36"/>
      <c r="H11" s="36"/>
      <c r="I11" s="36"/>
      <c r="J11" s="36"/>
      <c r="K11" s="36"/>
      <c r="L11" s="36"/>
      <c r="M11" s="36"/>
    </row>
    <row r="12" spans="2:13" x14ac:dyDescent="0.25">
      <c r="C12" s="36"/>
      <c r="D12" s="36"/>
      <c r="E12" s="36"/>
      <c r="F12" s="36"/>
      <c r="G12" s="36"/>
      <c r="H12" s="36"/>
      <c r="I12" s="36"/>
      <c r="J12" s="36"/>
      <c r="K12" s="36"/>
      <c r="L12" s="36"/>
      <c r="M12" s="36"/>
    </row>
    <row r="13" spans="2:13" x14ac:dyDescent="0.25">
      <c r="C13" s="36"/>
      <c r="D13" s="36"/>
      <c r="E13" s="36"/>
      <c r="F13" s="36"/>
      <c r="G13" s="36"/>
      <c r="H13" s="36"/>
      <c r="I13" s="36"/>
      <c r="J13" s="36"/>
      <c r="K13" s="36"/>
      <c r="L13" s="36"/>
      <c r="M13" s="36"/>
    </row>
    <row r="14" spans="2:13" x14ac:dyDescent="0.25">
      <c r="C14" s="36"/>
      <c r="D14" s="36"/>
      <c r="E14" s="36"/>
      <c r="F14" s="36"/>
      <c r="G14" s="36"/>
      <c r="H14" s="36"/>
      <c r="I14" s="36"/>
      <c r="J14" s="36"/>
      <c r="K14" s="36"/>
      <c r="L14" s="36"/>
      <c r="M14" s="36"/>
    </row>
    <row r="15" spans="2:13" x14ac:dyDescent="0.25">
      <c r="C15" s="36"/>
      <c r="D15" s="36"/>
      <c r="E15" s="36"/>
      <c r="F15" s="36"/>
      <c r="G15" s="36"/>
      <c r="H15" s="36"/>
      <c r="I15" s="36"/>
      <c r="J15" s="36"/>
      <c r="K15" s="36"/>
      <c r="L15" s="36"/>
      <c r="M15" s="36"/>
    </row>
    <row r="16" spans="2:13" x14ac:dyDescent="0.25">
      <c r="C16" s="36"/>
      <c r="D16" s="36"/>
      <c r="E16" s="36"/>
      <c r="F16" s="36"/>
      <c r="G16" s="36"/>
      <c r="H16" s="36"/>
      <c r="I16" s="36"/>
      <c r="J16" s="36"/>
      <c r="K16" s="36"/>
      <c r="L16" s="36"/>
      <c r="M16" s="36"/>
    </row>
    <row r="17" spans="2:13" x14ac:dyDescent="0.25">
      <c r="C17" s="36"/>
      <c r="D17" s="36"/>
      <c r="E17" s="36"/>
      <c r="F17" s="36"/>
      <c r="G17" s="36"/>
      <c r="H17" s="36"/>
      <c r="I17" s="36"/>
      <c r="J17" s="36"/>
      <c r="K17" s="36"/>
      <c r="L17" s="36"/>
      <c r="M17" s="36"/>
    </row>
    <row r="18" spans="2:13" x14ac:dyDescent="0.25">
      <c r="C18" s="36"/>
      <c r="D18" s="36"/>
      <c r="E18" s="36"/>
      <c r="F18" s="36"/>
      <c r="G18" s="36"/>
      <c r="H18" s="36"/>
      <c r="I18" s="36"/>
      <c r="J18" s="36"/>
      <c r="K18" s="36"/>
      <c r="L18" s="36"/>
      <c r="M18" s="36"/>
    </row>
    <row r="19" spans="2:13" x14ac:dyDescent="0.25">
      <c r="C19" s="36"/>
      <c r="D19" s="36"/>
      <c r="E19" s="36"/>
      <c r="F19" s="36"/>
      <c r="G19" s="36"/>
      <c r="H19" s="36"/>
      <c r="I19" s="36"/>
      <c r="J19" s="36"/>
      <c r="K19" s="36"/>
      <c r="L19" s="36"/>
      <c r="M19" s="36"/>
    </row>
    <row r="20" spans="2:13" x14ac:dyDescent="0.25">
      <c r="C20" s="36"/>
      <c r="D20" s="36"/>
      <c r="E20" s="36"/>
      <c r="F20" s="36"/>
      <c r="G20" s="36"/>
      <c r="H20" s="36"/>
      <c r="I20" s="36"/>
      <c r="J20" s="36"/>
      <c r="K20" s="36"/>
      <c r="L20" s="36"/>
      <c r="M20" s="36"/>
    </row>
    <row r="21" spans="2:13" x14ac:dyDescent="0.25">
      <c r="C21" s="36"/>
      <c r="D21" s="36"/>
      <c r="E21" s="36"/>
      <c r="F21" s="36"/>
      <c r="G21" s="36"/>
      <c r="H21" s="36"/>
      <c r="I21" s="36"/>
      <c r="J21" s="36"/>
      <c r="K21" s="36"/>
      <c r="L21" s="36"/>
      <c r="M21" s="36"/>
    </row>
    <row r="22" spans="2:13" x14ac:dyDescent="0.25">
      <c r="C22" s="36"/>
      <c r="D22" s="36"/>
      <c r="E22" s="36"/>
      <c r="F22" s="36"/>
      <c r="G22" s="36"/>
      <c r="H22" s="36"/>
      <c r="I22" s="36"/>
      <c r="J22" s="36"/>
      <c r="K22" s="36"/>
      <c r="L22" s="36"/>
      <c r="M22" s="36"/>
    </row>
    <row r="23" spans="2:13" x14ac:dyDescent="0.25">
      <c r="C23" s="36"/>
      <c r="D23" s="36"/>
      <c r="E23" s="36"/>
      <c r="F23" s="36"/>
      <c r="G23" s="36"/>
      <c r="H23" s="36"/>
      <c r="I23" s="36"/>
      <c r="J23" s="36"/>
      <c r="K23" s="36"/>
      <c r="L23" s="36"/>
      <c r="M23" s="36"/>
    </row>
    <row r="24" spans="2:13" x14ac:dyDescent="0.25">
      <c r="C24" s="36"/>
      <c r="D24" s="36"/>
      <c r="E24" s="36"/>
      <c r="F24" s="36"/>
      <c r="G24" s="36"/>
      <c r="H24" s="36"/>
      <c r="I24" s="36"/>
      <c r="J24" s="36"/>
      <c r="K24" s="36"/>
      <c r="L24" s="36"/>
      <c r="M24" s="36"/>
    </row>
    <row r="25" spans="2:13" x14ac:dyDescent="0.25">
      <c r="C25" s="36"/>
      <c r="D25" s="36"/>
      <c r="E25" s="36"/>
      <c r="F25" s="36"/>
      <c r="G25" s="36"/>
      <c r="H25" s="36"/>
      <c r="I25" s="36"/>
      <c r="J25" s="36"/>
      <c r="K25" s="36"/>
      <c r="L25" s="36"/>
      <c r="M25" s="36"/>
    </row>
    <row r="26" spans="2:13" x14ac:dyDescent="0.25">
      <c r="C26" s="36"/>
      <c r="D26" s="36"/>
      <c r="E26" s="36"/>
      <c r="F26" s="36"/>
      <c r="G26" s="36"/>
      <c r="H26" s="36"/>
      <c r="I26" s="36"/>
      <c r="J26" s="36"/>
      <c r="K26" s="36"/>
      <c r="L26" s="36"/>
      <c r="M26" s="36"/>
    </row>
    <row r="27" spans="2:13" x14ac:dyDescent="0.25">
      <c r="C27" s="36"/>
      <c r="D27" s="36"/>
      <c r="E27" s="36"/>
      <c r="F27" s="36"/>
      <c r="G27" s="36"/>
      <c r="H27" s="36"/>
      <c r="I27" s="36"/>
      <c r="J27" s="36"/>
      <c r="K27" s="36"/>
      <c r="L27" s="36"/>
      <c r="M27" s="36"/>
    </row>
    <row r="28" spans="2:13" x14ac:dyDescent="0.25">
      <c r="C28" s="36"/>
      <c r="D28" s="36"/>
      <c r="E28" s="36"/>
      <c r="F28" s="36"/>
      <c r="G28" s="36"/>
      <c r="H28" s="36"/>
      <c r="I28" s="36"/>
      <c r="J28" s="36"/>
      <c r="K28" s="36"/>
      <c r="L28" s="36"/>
      <c r="M28" s="36"/>
    </row>
    <row r="29" spans="2:13" x14ac:dyDescent="0.25">
      <c r="C29" s="36"/>
      <c r="D29" s="36"/>
      <c r="E29" s="36"/>
      <c r="F29" s="36"/>
      <c r="G29" s="36"/>
      <c r="H29" s="36"/>
      <c r="I29" s="36"/>
      <c r="J29" s="36"/>
      <c r="K29" s="36"/>
      <c r="L29" s="36"/>
      <c r="M29" s="36"/>
    </row>
    <row r="30" spans="2:13" x14ac:dyDescent="0.25">
      <c r="B30" s="49" t="s">
        <v>121</v>
      </c>
      <c r="C30" s="48" t="s">
        <v>131</v>
      </c>
      <c r="D30" s="36"/>
      <c r="E30" s="36"/>
      <c r="F30" s="36"/>
      <c r="G30" s="36"/>
      <c r="H30" s="36"/>
      <c r="I30" s="36"/>
      <c r="J30" s="36"/>
      <c r="K30" s="36"/>
      <c r="L30" s="36"/>
      <c r="M30" s="36"/>
    </row>
    <row r="31" spans="2:13" x14ac:dyDescent="0.25">
      <c r="B31" s="49" t="s">
        <v>123</v>
      </c>
      <c r="C31" s="35" t="s">
        <v>124</v>
      </c>
    </row>
    <row r="32" spans="2:13" x14ac:dyDescent="0.25">
      <c r="B32" s="49" t="s">
        <v>129</v>
      </c>
      <c r="C32" s="35" t="s">
        <v>127</v>
      </c>
    </row>
    <row r="33" spans="2:3" x14ac:dyDescent="0.25">
      <c r="B33" s="49" t="s">
        <v>132</v>
      </c>
      <c r="C33" s="35" t="s">
        <v>133</v>
      </c>
    </row>
    <row r="34" spans="2:3" x14ac:dyDescent="0.25">
      <c r="B34" s="49" t="s">
        <v>145</v>
      </c>
      <c r="C34" s="55" t="s">
        <v>135</v>
      </c>
    </row>
    <row r="35" spans="2:3" x14ac:dyDescent="0.25">
      <c r="B35" s="49" t="s">
        <v>141</v>
      </c>
    </row>
    <row r="36" spans="2:3" x14ac:dyDescent="0.25">
      <c r="B36" s="49" t="s">
        <v>138</v>
      </c>
      <c r="C36" s="35" t="s">
        <v>139</v>
      </c>
    </row>
    <row r="37" spans="2:3" x14ac:dyDescent="0.25">
      <c r="B37" s="49" t="s">
        <v>140</v>
      </c>
      <c r="C37" s="35" t="s">
        <v>144</v>
      </c>
    </row>
    <row r="38" spans="2:3" x14ac:dyDescent="0.25">
      <c r="B38" s="49" t="s">
        <v>142</v>
      </c>
    </row>
    <row r="39" spans="2:3" x14ac:dyDescent="0.25">
      <c r="B39" s="49" t="s">
        <v>143</v>
      </c>
    </row>
  </sheetData>
  <hyperlinks>
    <hyperlink ref="C34" r:id="rId1" xr:uid="{5B724B5A-16BF-405A-A254-7B5385878C08}"/>
  </hyperlinks>
  <pageMargins left="0.511811024" right="0.511811024" top="0.78740157499999996" bottom="0.78740157499999996" header="0.31496062000000002" footer="0.31496062000000002"/>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A5AE1-C12B-425E-9988-BED0875C5F5C}">
  <dimension ref="B1:AD398"/>
  <sheetViews>
    <sheetView showGridLines="0" topLeftCell="A4" workbookViewId="0">
      <selection activeCell="F10" sqref="F10"/>
    </sheetView>
  </sheetViews>
  <sheetFormatPr defaultColWidth="9.140625" defaultRowHeight="15" outlineLevelRow="1" x14ac:dyDescent="0.25"/>
  <cols>
    <col min="1" max="1" width="10.5703125" style="47" customWidth="1"/>
    <col min="2" max="2" width="23.5703125" style="47" bestFit="1" customWidth="1"/>
    <col min="3" max="3" width="14.5703125" style="78" customWidth="1"/>
    <col min="4" max="4" width="15.85546875" style="47" bestFit="1" customWidth="1"/>
    <col min="5" max="5" width="18.7109375" style="47" bestFit="1" customWidth="1"/>
    <col min="6" max="6" width="17.5703125" style="47" bestFit="1" customWidth="1"/>
    <col min="7" max="7" width="15.140625" style="47" customWidth="1"/>
    <col min="8" max="9" width="18.140625" style="47" bestFit="1" customWidth="1"/>
    <col min="10" max="11" width="11.5703125" style="47" customWidth="1"/>
    <col min="12" max="12" width="13.28515625" style="47" customWidth="1"/>
    <col min="13" max="13" width="15" style="47" bestFit="1" customWidth="1"/>
    <col min="14" max="16384" width="9.140625" style="47"/>
  </cols>
  <sheetData>
    <row r="1" spans="2:30" s="71" customFormat="1" hidden="1" outlineLevel="1" x14ac:dyDescent="0.25">
      <c r="B1" s="47"/>
      <c r="C1" s="70">
        <f ca="1">YEAR(TODAY())</f>
        <v>2026</v>
      </c>
      <c r="D1" s="70">
        <f ca="1">C1+1</f>
        <v>2027</v>
      </c>
      <c r="E1" s="70">
        <f ca="1">D1+1</f>
        <v>2028</v>
      </c>
      <c r="F1" s="70">
        <f ca="1">E1+1</f>
        <v>2029</v>
      </c>
      <c r="G1" s="70">
        <f ca="1">F1+1</f>
        <v>2030</v>
      </c>
      <c r="H1" s="70">
        <f ca="1">G1+1</f>
        <v>2031</v>
      </c>
      <c r="I1" s="70"/>
      <c r="J1" s="70"/>
      <c r="K1" s="70"/>
    </row>
    <row r="2" spans="2:30" s="71" customFormat="1" hidden="1" outlineLevel="1" x14ac:dyDescent="0.25">
      <c r="B2" s="72" t="s">
        <v>76</v>
      </c>
      <c r="C2" s="73">
        <v>3.9E-2</v>
      </c>
      <c r="D2" s="73">
        <v>3.78E-2</v>
      </c>
      <c r="E2" s="73">
        <v>3.5999999999999997E-2</v>
      </c>
      <c r="F2" s="73">
        <v>3.5000000000000003E-2</v>
      </c>
      <c r="G2" s="74">
        <v>3.5000000000000003E-2</v>
      </c>
      <c r="H2" s="74">
        <v>3.5000000000000003E-2</v>
      </c>
      <c r="I2" s="74" t="s">
        <v>229</v>
      </c>
      <c r="J2" s="74"/>
      <c r="K2" s="74" t="s">
        <v>229</v>
      </c>
    </row>
    <row r="3" spans="2:30" s="71" customFormat="1" hidden="1" outlineLevel="1" x14ac:dyDescent="0.25">
      <c r="B3" s="72" t="s">
        <v>75</v>
      </c>
      <c r="C3" s="73">
        <v>0.14749999999999999</v>
      </c>
      <c r="D3" s="73">
        <v>0.125</v>
      </c>
      <c r="E3" s="73">
        <v>0.105</v>
      </c>
      <c r="F3" s="73">
        <v>0.1</v>
      </c>
      <c r="G3" s="74">
        <v>0.1</v>
      </c>
      <c r="H3" s="74">
        <v>0.1</v>
      </c>
      <c r="I3" s="74" t="s">
        <v>229</v>
      </c>
      <c r="J3" s="74"/>
      <c r="K3" s="74" t="s">
        <v>229</v>
      </c>
    </row>
    <row r="4" spans="2:30" s="71" customFormat="1" collapsed="1" x14ac:dyDescent="0.25">
      <c r="J4" s="47"/>
      <c r="K4" s="47"/>
      <c r="L4" s="47"/>
      <c r="M4" s="47"/>
      <c r="N4" s="47"/>
      <c r="O4" s="47"/>
      <c r="P4" s="47"/>
      <c r="Q4" s="47"/>
      <c r="R4" s="47"/>
      <c r="S4" s="47"/>
      <c r="T4" s="47"/>
      <c r="U4" s="47"/>
      <c r="V4" s="47"/>
      <c r="W4" s="47"/>
      <c r="X4" s="47"/>
      <c r="Y4" s="47"/>
      <c r="Z4" s="47"/>
      <c r="AA4" s="47"/>
      <c r="AB4" s="47"/>
      <c r="AC4" s="47"/>
      <c r="AD4" s="47"/>
    </row>
    <row r="5" spans="2:30" s="71" customFormat="1" x14ac:dyDescent="0.25">
      <c r="B5" s="90" t="s">
        <v>157</v>
      </c>
      <c r="C5" s="75">
        <v>250000</v>
      </c>
      <c r="E5" s="90" t="s">
        <v>158</v>
      </c>
      <c r="F5" s="75"/>
      <c r="J5" s="89" t="s">
        <v>159</v>
      </c>
      <c r="K5" s="89" t="s">
        <v>93</v>
      </c>
      <c r="L5" s="89" t="s">
        <v>160</v>
      </c>
      <c r="M5" s="89" t="s">
        <v>156</v>
      </c>
      <c r="N5" s="47"/>
      <c r="O5" s="47"/>
      <c r="P5" s="47"/>
      <c r="Q5" s="47"/>
      <c r="R5" s="47"/>
      <c r="S5" s="47"/>
      <c r="T5" s="47"/>
      <c r="U5" s="47"/>
      <c r="V5" s="47"/>
      <c r="W5" s="47"/>
      <c r="X5" s="47"/>
      <c r="Y5" s="47"/>
      <c r="Z5" s="47"/>
      <c r="AA5" s="47"/>
      <c r="AB5" s="47"/>
      <c r="AC5" s="47"/>
      <c r="AD5" s="47"/>
    </row>
    <row r="6" spans="2:30" s="71" customFormat="1" x14ac:dyDescent="0.25">
      <c r="B6" s="90" t="s">
        <v>161</v>
      </c>
      <c r="C6" s="47" t="s">
        <v>162</v>
      </c>
      <c r="E6" s="90" t="s">
        <v>163</v>
      </c>
      <c r="F6" s="75"/>
      <c r="J6" s="84">
        <v>2025</v>
      </c>
      <c r="K6" s="75">
        <v>12938.098691941514</v>
      </c>
      <c r="L6" s="75">
        <v>0</v>
      </c>
      <c r="M6" s="75">
        <v>250000</v>
      </c>
      <c r="N6" s="47"/>
      <c r="O6" s="47"/>
      <c r="P6" s="47"/>
      <c r="Q6" s="47"/>
      <c r="R6" s="47"/>
      <c r="S6" s="47"/>
      <c r="T6" s="47"/>
      <c r="U6" s="47"/>
      <c r="V6" s="47"/>
      <c r="W6" s="47"/>
      <c r="X6" s="47"/>
      <c r="Y6" s="47"/>
      <c r="Z6" s="47"/>
      <c r="AA6" s="47"/>
      <c r="AB6" s="47"/>
      <c r="AC6" s="47"/>
      <c r="AD6" s="47"/>
    </row>
    <row r="7" spans="2:30" s="71" customFormat="1" x14ac:dyDescent="0.25">
      <c r="B7" s="90" t="str">
        <f>"Taxa "&amp;" ("&amp;C6&amp;")"</f>
        <v>Taxa  (CDI+)</v>
      </c>
      <c r="C7" s="74">
        <v>7.0000000000000007E-2</v>
      </c>
      <c r="J7" s="84">
        <v>2026</v>
      </c>
      <c r="K7" s="75">
        <v>44124.905500798021</v>
      </c>
      <c r="L7" s="75">
        <v>41666.666666666657</v>
      </c>
      <c r="M7" s="75">
        <v>208333.33333333328</v>
      </c>
      <c r="N7" s="47"/>
      <c r="O7" s="47"/>
      <c r="P7" s="47"/>
      <c r="Q7" s="47"/>
      <c r="R7" s="47"/>
      <c r="S7" s="47"/>
      <c r="T7" s="47"/>
      <c r="U7" s="47"/>
      <c r="V7" s="47"/>
      <c r="W7" s="47"/>
      <c r="X7" s="47"/>
      <c r="Y7" s="47"/>
      <c r="Z7" s="47"/>
      <c r="AA7" s="47"/>
      <c r="AB7" s="47"/>
      <c r="AC7" s="47"/>
      <c r="AD7" s="47"/>
    </row>
    <row r="8" spans="2:30" s="71" customFormat="1" x14ac:dyDescent="0.25">
      <c r="B8" s="90" t="s">
        <v>164</v>
      </c>
      <c r="C8" s="76">
        <v>60</v>
      </c>
      <c r="E8" s="90" t="s">
        <v>165</v>
      </c>
      <c r="F8" s="75"/>
      <c r="J8" s="84">
        <v>2027</v>
      </c>
      <c r="K8" s="75">
        <v>30846.301237355638</v>
      </c>
      <c r="L8" s="75">
        <v>55555.55555555554</v>
      </c>
      <c r="M8" s="75">
        <v>152777.77777777766</v>
      </c>
      <c r="N8" s="47"/>
      <c r="O8" s="47"/>
      <c r="P8" s="47"/>
      <c r="Q8" s="47"/>
      <c r="R8" s="47"/>
      <c r="S8" s="47"/>
      <c r="T8" s="47"/>
      <c r="U8" s="47"/>
      <c r="V8" s="47"/>
      <c r="W8" s="47"/>
      <c r="X8" s="47"/>
      <c r="Y8" s="47"/>
      <c r="Z8" s="47"/>
      <c r="AA8" s="47"/>
      <c r="AB8" s="47"/>
      <c r="AC8" s="47"/>
      <c r="AD8" s="47"/>
    </row>
    <row r="9" spans="2:30" x14ac:dyDescent="0.25">
      <c r="B9" s="90" t="s">
        <v>166</v>
      </c>
      <c r="C9" s="76">
        <v>6</v>
      </c>
      <c r="D9" s="71"/>
      <c r="E9" s="90" t="s">
        <v>167</v>
      </c>
      <c r="F9" s="77"/>
      <c r="G9" s="71"/>
      <c r="H9" s="71"/>
      <c r="I9" s="71"/>
      <c r="J9" s="84">
        <v>2028</v>
      </c>
      <c r="K9" s="75">
        <v>20889.875058607082</v>
      </c>
      <c r="L9" s="75">
        <v>55555.55555555554</v>
      </c>
      <c r="M9" s="75">
        <v>97222.222222222044</v>
      </c>
    </row>
    <row r="10" spans="2:30" x14ac:dyDescent="0.25">
      <c r="B10" s="90" t="s">
        <v>168</v>
      </c>
      <c r="C10" s="78">
        <v>45901</v>
      </c>
      <c r="D10" s="71"/>
      <c r="E10" s="91" t="s">
        <v>169</v>
      </c>
      <c r="F10" s="79">
        <v>0</v>
      </c>
      <c r="G10" s="71"/>
      <c r="H10" s="71"/>
      <c r="I10" s="71"/>
      <c r="J10" s="84">
        <v>2029</v>
      </c>
      <c r="K10" s="75">
        <v>11774.293214851243</v>
      </c>
      <c r="L10" s="75">
        <v>55555.55555555554</v>
      </c>
      <c r="M10" s="75">
        <v>41666.666666666468</v>
      </c>
    </row>
    <row r="11" spans="2:30" x14ac:dyDescent="0.25">
      <c r="B11" s="90" t="s">
        <v>160</v>
      </c>
      <c r="C11" s="47" t="s">
        <v>170</v>
      </c>
      <c r="D11" s="80">
        <v>1</v>
      </c>
      <c r="E11" s="90" t="s">
        <v>171</v>
      </c>
      <c r="F11" s="77"/>
      <c r="G11" s="71"/>
      <c r="H11" s="71"/>
      <c r="I11" s="71"/>
      <c r="J11" s="84">
        <v>2030</v>
      </c>
      <c r="K11" s="75">
        <v>2848.6193261736721</v>
      </c>
      <c r="L11" s="75">
        <v>41666.666666666657</v>
      </c>
      <c r="M11" s="75">
        <v>-1.8917489796876907E-10</v>
      </c>
    </row>
    <row r="12" spans="2:30" x14ac:dyDescent="0.25">
      <c r="B12" s="90" t="s">
        <v>172</v>
      </c>
      <c r="C12" s="47" t="s">
        <v>173</v>
      </c>
      <c r="D12" s="71"/>
      <c r="E12" s="90" t="s">
        <v>174</v>
      </c>
      <c r="F12" s="77">
        <f>C5-F11-F9-F8</f>
        <v>250000</v>
      </c>
      <c r="G12" s="71"/>
      <c r="H12" s="71"/>
      <c r="I12" s="71"/>
    </row>
    <row r="13" spans="2:30" ht="9" customHeight="1" x14ac:dyDescent="0.25">
      <c r="B13" s="71"/>
      <c r="C13" s="71"/>
      <c r="D13" s="71"/>
      <c r="E13" s="71"/>
      <c r="F13" s="71"/>
      <c r="G13" s="71"/>
      <c r="H13" s="71"/>
      <c r="I13" s="71"/>
    </row>
    <row r="14" spans="2:30" x14ac:dyDescent="0.25">
      <c r="B14" s="89" t="s">
        <v>175</v>
      </c>
      <c r="C14" s="89" t="s">
        <v>176</v>
      </c>
      <c r="D14" s="89" t="s">
        <v>183</v>
      </c>
      <c r="E14" s="89" t="s">
        <v>177</v>
      </c>
      <c r="F14" s="89" t="s">
        <v>178</v>
      </c>
      <c r="G14" s="89" t="s">
        <v>179</v>
      </c>
      <c r="H14" s="89" t="s">
        <v>180</v>
      </c>
      <c r="I14" s="89" t="s">
        <v>181</v>
      </c>
    </row>
    <row r="15" spans="2:30" x14ac:dyDescent="0.25">
      <c r="B15" s="47">
        <v>0</v>
      </c>
      <c r="C15" s="78">
        <v>45901</v>
      </c>
      <c r="D15" s="84">
        <f t="shared" ref="D15:D46" si="0">YEAR(C15)</f>
        <v>2025</v>
      </c>
      <c r="E15" s="81">
        <v>0</v>
      </c>
      <c r="F15" s="74">
        <v>0</v>
      </c>
      <c r="I15" s="75">
        <f>$C$5</f>
        <v>250000</v>
      </c>
    </row>
    <row r="16" spans="2:30" x14ac:dyDescent="0.25">
      <c r="B16" s="47" cm="1">
        <v>1</v>
      </c>
      <c r="C16" s="78">
        <v>45931</v>
      </c>
      <c r="D16" s="84">
        <f t="shared" si="0"/>
        <v>2025</v>
      </c>
      <c r="E16" s="81">
        <v>0</v>
      </c>
      <c r="F16" s="74">
        <v>1.7250798255922017E-2</v>
      </c>
      <c r="G16" s="75">
        <v>4312.6995639805045</v>
      </c>
      <c r="H16" s="75">
        <v>4312.6995639805045</v>
      </c>
      <c r="I16" s="75">
        <v>250000</v>
      </c>
      <c r="K16" s="85"/>
    </row>
    <row r="17" spans="2:9" x14ac:dyDescent="0.25">
      <c r="B17" s="47">
        <v>2</v>
      </c>
      <c r="C17" s="78">
        <v>45962</v>
      </c>
      <c r="D17" s="84">
        <f t="shared" si="0"/>
        <v>2025</v>
      </c>
      <c r="E17" s="81">
        <v>0</v>
      </c>
      <c r="F17" s="74">
        <v>1.7250798255922017E-2</v>
      </c>
      <c r="G17" s="75">
        <v>4312.6995639805045</v>
      </c>
      <c r="H17" s="75">
        <v>4312.6995639805045</v>
      </c>
      <c r="I17" s="75">
        <v>250000</v>
      </c>
    </row>
    <row r="18" spans="2:9" x14ac:dyDescent="0.25">
      <c r="B18" s="47">
        <v>3</v>
      </c>
      <c r="C18" s="78">
        <v>45992</v>
      </c>
      <c r="D18" s="84">
        <f t="shared" si="0"/>
        <v>2025</v>
      </c>
      <c r="E18" s="81">
        <v>0</v>
      </c>
      <c r="F18" s="74">
        <v>1.7250798255922017E-2</v>
      </c>
      <c r="G18" s="75">
        <v>4312.6995639805045</v>
      </c>
      <c r="H18" s="75">
        <v>4312.6995639805045</v>
      </c>
      <c r="I18" s="75">
        <v>250000</v>
      </c>
    </row>
    <row r="19" spans="2:9" x14ac:dyDescent="0.25">
      <c r="B19" s="47">
        <v>4</v>
      </c>
      <c r="C19" s="78">
        <v>46023</v>
      </c>
      <c r="D19" s="84">
        <f t="shared" si="0"/>
        <v>2026</v>
      </c>
      <c r="E19" s="81">
        <v>0</v>
      </c>
      <c r="F19" s="74">
        <v>1.5573496059105185E-2</v>
      </c>
      <c r="G19" s="75">
        <v>3893.3740147762965</v>
      </c>
      <c r="H19" s="75">
        <v>3893.3740147762965</v>
      </c>
      <c r="I19" s="75">
        <v>250000</v>
      </c>
    </row>
    <row r="20" spans="2:9" x14ac:dyDescent="0.25">
      <c r="B20" s="47">
        <v>5</v>
      </c>
      <c r="C20" s="78">
        <v>46054</v>
      </c>
      <c r="D20" s="84">
        <f t="shared" si="0"/>
        <v>2026</v>
      </c>
      <c r="E20" s="81">
        <v>0</v>
      </c>
      <c r="F20" s="74">
        <v>1.5573496059105185E-2</v>
      </c>
      <c r="G20" s="75">
        <v>3893.3740147762965</v>
      </c>
      <c r="H20" s="75">
        <v>3893.3740147762965</v>
      </c>
      <c r="I20" s="75">
        <v>250000</v>
      </c>
    </row>
    <row r="21" spans="2:9" x14ac:dyDescent="0.25">
      <c r="B21" s="47">
        <v>6</v>
      </c>
      <c r="C21" s="78">
        <v>46082</v>
      </c>
      <c r="D21" s="84">
        <f t="shared" si="0"/>
        <v>2026</v>
      </c>
      <c r="E21" s="81">
        <v>0</v>
      </c>
      <c r="F21" s="74">
        <v>1.5573496059105185E-2</v>
      </c>
      <c r="G21" s="75">
        <v>3893.3740147762965</v>
      </c>
      <c r="H21" s="75">
        <v>3893.3740147762965</v>
      </c>
      <c r="I21" s="75">
        <v>250000</v>
      </c>
    </row>
    <row r="22" spans="2:9" x14ac:dyDescent="0.25">
      <c r="B22" s="47">
        <v>7</v>
      </c>
      <c r="C22" s="78">
        <v>46113</v>
      </c>
      <c r="D22" s="84">
        <f t="shared" si="0"/>
        <v>2026</v>
      </c>
      <c r="E22" s="81">
        <v>4629.6296296296296</v>
      </c>
      <c r="F22" s="74">
        <v>1.5573496059105185E-2</v>
      </c>
      <c r="G22" s="75">
        <v>3893.3740147762965</v>
      </c>
      <c r="H22" s="75">
        <v>8523.003644405926</v>
      </c>
      <c r="I22" s="75">
        <v>245370.37037037036</v>
      </c>
    </row>
    <row r="23" spans="2:9" x14ac:dyDescent="0.25">
      <c r="B23" s="47">
        <v>8</v>
      </c>
      <c r="C23" s="78">
        <v>46143</v>
      </c>
      <c r="D23" s="84">
        <f t="shared" si="0"/>
        <v>2026</v>
      </c>
      <c r="E23" s="81">
        <v>4629.6296296296296</v>
      </c>
      <c r="F23" s="74">
        <v>1.5573496059105185E-2</v>
      </c>
      <c r="G23" s="75">
        <v>3821.2744959841425</v>
      </c>
      <c r="H23" s="75">
        <v>8450.9041256137716</v>
      </c>
      <c r="I23" s="75">
        <v>240740.74074074073</v>
      </c>
    </row>
    <row r="24" spans="2:9" x14ac:dyDescent="0.25">
      <c r="B24" s="47">
        <v>9</v>
      </c>
      <c r="C24" s="78">
        <v>46174</v>
      </c>
      <c r="D24" s="84">
        <f t="shared" si="0"/>
        <v>2026</v>
      </c>
      <c r="E24" s="81">
        <v>4629.6296296296296</v>
      </c>
      <c r="F24" s="74">
        <v>1.5573496059105185E-2</v>
      </c>
      <c r="G24" s="75">
        <v>3749.174977191989</v>
      </c>
      <c r="H24" s="75">
        <v>8378.804606821619</v>
      </c>
      <c r="I24" s="75">
        <v>236111.11111111109</v>
      </c>
    </row>
    <row r="25" spans="2:9" x14ac:dyDescent="0.25">
      <c r="B25" s="47">
        <v>10</v>
      </c>
      <c r="C25" s="78">
        <v>46204</v>
      </c>
      <c r="D25" s="84">
        <f t="shared" si="0"/>
        <v>2026</v>
      </c>
      <c r="E25" s="81">
        <v>4629.6296296296296</v>
      </c>
      <c r="F25" s="74">
        <v>1.5573496059105185E-2</v>
      </c>
      <c r="G25" s="75">
        <v>3677.075458399835</v>
      </c>
      <c r="H25" s="75">
        <v>8306.7050880294646</v>
      </c>
      <c r="I25" s="75">
        <v>231481.48148148146</v>
      </c>
    </row>
    <row r="26" spans="2:9" x14ac:dyDescent="0.25">
      <c r="B26" s="47">
        <v>11</v>
      </c>
      <c r="C26" s="78">
        <v>46235</v>
      </c>
      <c r="D26" s="84">
        <f t="shared" si="0"/>
        <v>2026</v>
      </c>
      <c r="E26" s="81">
        <v>4629.6296296296296</v>
      </c>
      <c r="F26" s="74">
        <v>1.5573496059105185E-2</v>
      </c>
      <c r="G26" s="75">
        <v>3604.9759396076815</v>
      </c>
      <c r="H26" s="75">
        <v>8234.605569237312</v>
      </c>
      <c r="I26" s="75">
        <v>226851.85185185182</v>
      </c>
    </row>
    <row r="27" spans="2:9" x14ac:dyDescent="0.25">
      <c r="B27" s="47">
        <v>12</v>
      </c>
      <c r="C27" s="78">
        <v>46266</v>
      </c>
      <c r="D27" s="84">
        <f t="shared" si="0"/>
        <v>2026</v>
      </c>
      <c r="E27" s="81">
        <v>4629.6296296296296</v>
      </c>
      <c r="F27" s="74">
        <v>1.5573496059105185E-2</v>
      </c>
      <c r="G27" s="75">
        <v>3532.8764208155276</v>
      </c>
      <c r="H27" s="75">
        <v>8162.5060504451576</v>
      </c>
      <c r="I27" s="75">
        <v>222222.22222222219</v>
      </c>
    </row>
    <row r="28" spans="2:9" x14ac:dyDescent="0.25">
      <c r="B28" s="47">
        <v>13</v>
      </c>
      <c r="C28" s="78">
        <v>46296</v>
      </c>
      <c r="D28" s="84">
        <f t="shared" si="0"/>
        <v>2026</v>
      </c>
      <c r="E28" s="81">
        <v>4629.6296296296296</v>
      </c>
      <c r="F28" s="74">
        <v>1.5573496059105185E-2</v>
      </c>
      <c r="G28" s="75">
        <v>3460.7769020233741</v>
      </c>
      <c r="H28" s="75">
        <v>8090.4065316530032</v>
      </c>
      <c r="I28" s="75">
        <v>217592.59259259255</v>
      </c>
    </row>
    <row r="29" spans="2:9" x14ac:dyDescent="0.25">
      <c r="B29" s="47">
        <v>14</v>
      </c>
      <c r="C29" s="78">
        <v>46327</v>
      </c>
      <c r="D29" s="84">
        <f t="shared" si="0"/>
        <v>2026</v>
      </c>
      <c r="E29" s="81">
        <v>4629.6296296296296</v>
      </c>
      <c r="F29" s="74">
        <v>1.5573496059105185E-2</v>
      </c>
      <c r="G29" s="75">
        <v>3388.6773832312201</v>
      </c>
      <c r="H29" s="75">
        <v>8018.3070128608497</v>
      </c>
      <c r="I29" s="75">
        <v>212962.96296296292</v>
      </c>
    </row>
    <row r="30" spans="2:9" x14ac:dyDescent="0.25">
      <c r="B30" s="47">
        <v>15</v>
      </c>
      <c r="C30" s="78">
        <v>46357</v>
      </c>
      <c r="D30" s="84">
        <f t="shared" si="0"/>
        <v>2026</v>
      </c>
      <c r="E30" s="81">
        <v>4629.6296296296296</v>
      </c>
      <c r="F30" s="74">
        <v>1.5573496059105185E-2</v>
      </c>
      <c r="G30" s="75">
        <v>3316.5778644390666</v>
      </c>
      <c r="H30" s="75">
        <v>7946.2074940686962</v>
      </c>
      <c r="I30" s="75">
        <v>208333.33333333328</v>
      </c>
    </row>
    <row r="31" spans="2:9" x14ac:dyDescent="0.25">
      <c r="B31" s="47">
        <v>16</v>
      </c>
      <c r="C31" s="78">
        <v>46388</v>
      </c>
      <c r="D31" s="84">
        <f t="shared" si="0"/>
        <v>2027</v>
      </c>
      <c r="E31" s="81">
        <v>4629.6296296296296</v>
      </c>
      <c r="F31" s="74">
        <v>1.4056542336010169E-2</v>
      </c>
      <c r="G31" s="75">
        <v>2928.4463200021178</v>
      </c>
      <c r="H31" s="75">
        <v>7558.0759496317478</v>
      </c>
      <c r="I31" s="75">
        <v>203703.70370370365</v>
      </c>
    </row>
    <row r="32" spans="2:9" x14ac:dyDescent="0.25">
      <c r="B32" s="47">
        <v>17</v>
      </c>
      <c r="C32" s="78">
        <v>46419</v>
      </c>
      <c r="D32" s="84">
        <f t="shared" si="0"/>
        <v>2027</v>
      </c>
      <c r="E32" s="81">
        <v>4629.6296296296296</v>
      </c>
      <c r="F32" s="74">
        <v>1.4056542336010169E-2</v>
      </c>
      <c r="G32" s="75">
        <v>2863.3697351131818</v>
      </c>
      <c r="H32" s="75">
        <v>7492.9993647428109</v>
      </c>
      <c r="I32" s="75">
        <v>199074.07407407401</v>
      </c>
    </row>
    <row r="33" spans="2:9" x14ac:dyDescent="0.25">
      <c r="B33" s="47">
        <v>18</v>
      </c>
      <c r="C33" s="78">
        <v>46447</v>
      </c>
      <c r="D33" s="84">
        <f t="shared" si="0"/>
        <v>2027</v>
      </c>
      <c r="E33" s="81">
        <v>4629.6296296296296</v>
      </c>
      <c r="F33" s="74">
        <v>1.4056542336010169E-2</v>
      </c>
      <c r="G33" s="75">
        <v>2798.2931502242459</v>
      </c>
      <c r="H33" s="75">
        <v>7427.9227798538759</v>
      </c>
      <c r="I33" s="75">
        <v>194444.44444444438</v>
      </c>
    </row>
    <row r="34" spans="2:9" x14ac:dyDescent="0.25">
      <c r="B34" s="47">
        <v>19</v>
      </c>
      <c r="C34" s="78">
        <v>46478</v>
      </c>
      <c r="D34" s="84">
        <f t="shared" si="0"/>
        <v>2027</v>
      </c>
      <c r="E34" s="81">
        <v>4629.6296296296296</v>
      </c>
      <c r="F34" s="74">
        <v>1.4056542336010169E-2</v>
      </c>
      <c r="G34" s="75">
        <v>2733.21656533531</v>
      </c>
      <c r="H34" s="75">
        <v>7362.8461949649391</v>
      </c>
      <c r="I34" s="75">
        <v>189814.81481481474</v>
      </c>
    </row>
    <row r="35" spans="2:9" x14ac:dyDescent="0.25">
      <c r="B35" s="47">
        <v>20</v>
      </c>
      <c r="C35" s="78">
        <v>46508</v>
      </c>
      <c r="D35" s="84">
        <f t="shared" si="0"/>
        <v>2027</v>
      </c>
      <c r="E35" s="81">
        <v>4629.6296296296296</v>
      </c>
      <c r="F35" s="74">
        <v>1.4056542336010169E-2</v>
      </c>
      <c r="G35" s="75">
        <v>2668.1399804463736</v>
      </c>
      <c r="H35" s="75">
        <v>7297.7696100760031</v>
      </c>
      <c r="I35" s="75">
        <v>185185.18518518511</v>
      </c>
    </row>
    <row r="36" spans="2:9" x14ac:dyDescent="0.25">
      <c r="B36" s="47">
        <v>21</v>
      </c>
      <c r="C36" s="78">
        <v>46539</v>
      </c>
      <c r="D36" s="84">
        <f t="shared" si="0"/>
        <v>2027</v>
      </c>
      <c r="E36" s="81">
        <v>4629.6296296296296</v>
      </c>
      <c r="F36" s="74">
        <v>1.4056542336010169E-2</v>
      </c>
      <c r="G36" s="75">
        <v>2603.0633955574376</v>
      </c>
      <c r="H36" s="75">
        <v>7232.6930251870672</v>
      </c>
      <c r="I36" s="75">
        <v>180555.55555555547</v>
      </c>
    </row>
    <row r="37" spans="2:9" x14ac:dyDescent="0.25">
      <c r="B37" s="47">
        <v>22</v>
      </c>
      <c r="C37" s="78">
        <v>46569</v>
      </c>
      <c r="D37" s="84">
        <f t="shared" si="0"/>
        <v>2027</v>
      </c>
      <c r="E37" s="81">
        <v>4629.6296296296296</v>
      </c>
      <c r="F37" s="74">
        <v>1.4056542336010169E-2</v>
      </c>
      <c r="G37" s="75">
        <v>2537.9868106685017</v>
      </c>
      <c r="H37" s="75">
        <v>7167.6164402981312</v>
      </c>
      <c r="I37" s="75">
        <v>175925.92592592584</v>
      </c>
    </row>
    <row r="38" spans="2:9" x14ac:dyDescent="0.25">
      <c r="B38" s="47">
        <v>23</v>
      </c>
      <c r="C38" s="78">
        <v>46600</v>
      </c>
      <c r="D38" s="84">
        <f t="shared" si="0"/>
        <v>2027</v>
      </c>
      <c r="E38" s="81">
        <v>4629.6296296296296</v>
      </c>
      <c r="F38" s="74">
        <v>1.4056542336010169E-2</v>
      </c>
      <c r="G38" s="75">
        <v>2472.9102257795657</v>
      </c>
      <c r="H38" s="75">
        <v>7102.5398554091953</v>
      </c>
      <c r="I38" s="75">
        <v>171296.2962962962</v>
      </c>
    </row>
    <row r="39" spans="2:9" x14ac:dyDescent="0.25">
      <c r="B39" s="47">
        <v>24</v>
      </c>
      <c r="C39" s="78">
        <v>46631</v>
      </c>
      <c r="D39" s="84">
        <f t="shared" si="0"/>
        <v>2027</v>
      </c>
      <c r="E39" s="81">
        <v>4629.6296296296296</v>
      </c>
      <c r="F39" s="74">
        <v>1.4056542336010169E-2</v>
      </c>
      <c r="G39" s="75">
        <v>2407.8336408906298</v>
      </c>
      <c r="H39" s="75">
        <v>7037.4632705202594</v>
      </c>
      <c r="I39" s="75">
        <v>166666.66666666657</v>
      </c>
    </row>
    <row r="40" spans="2:9" x14ac:dyDescent="0.25">
      <c r="B40" s="47">
        <v>25</v>
      </c>
      <c r="C40" s="78">
        <v>46661</v>
      </c>
      <c r="D40" s="84">
        <f t="shared" si="0"/>
        <v>2027</v>
      </c>
      <c r="E40" s="81">
        <v>4629.6296296296296</v>
      </c>
      <c r="F40" s="74">
        <v>1.4056542336010169E-2</v>
      </c>
      <c r="G40" s="75">
        <v>2342.7570560016934</v>
      </c>
      <c r="H40" s="75">
        <v>6972.3866856313234</v>
      </c>
      <c r="I40" s="75">
        <v>162037.03703703693</v>
      </c>
    </row>
    <row r="41" spans="2:9" x14ac:dyDescent="0.25">
      <c r="B41" s="47">
        <v>26</v>
      </c>
      <c r="C41" s="78">
        <v>46692</v>
      </c>
      <c r="D41" s="84">
        <f t="shared" si="0"/>
        <v>2027</v>
      </c>
      <c r="E41" s="81">
        <v>4629.6296296296296</v>
      </c>
      <c r="F41" s="74">
        <v>1.4056542336010169E-2</v>
      </c>
      <c r="G41" s="75">
        <v>2277.6804711127575</v>
      </c>
      <c r="H41" s="75">
        <v>6907.3101007423866</v>
      </c>
      <c r="I41" s="75">
        <v>157407.4074074073</v>
      </c>
    </row>
    <row r="42" spans="2:9" x14ac:dyDescent="0.25">
      <c r="B42" s="47">
        <v>27</v>
      </c>
      <c r="C42" s="78">
        <v>46722</v>
      </c>
      <c r="D42" s="84">
        <f t="shared" si="0"/>
        <v>2027</v>
      </c>
      <c r="E42" s="81">
        <v>4629.6296296296296</v>
      </c>
      <c r="F42" s="74">
        <v>1.4056542336010169E-2</v>
      </c>
      <c r="G42" s="75">
        <v>2212.6038862238215</v>
      </c>
      <c r="H42" s="75">
        <v>6842.2335158534515</v>
      </c>
      <c r="I42" s="75">
        <v>152777.77777777766</v>
      </c>
    </row>
    <row r="43" spans="2:9" x14ac:dyDescent="0.25">
      <c r="B43" s="47">
        <v>28</v>
      </c>
      <c r="C43" s="78">
        <v>46753</v>
      </c>
      <c r="D43" s="84">
        <f t="shared" si="0"/>
        <v>2028</v>
      </c>
      <c r="E43" s="81">
        <v>4629.6296296296296</v>
      </c>
      <c r="F43" s="74">
        <v>1.367337276563374E-2</v>
      </c>
      <c r="G43" s="75">
        <v>2088.9875058607086</v>
      </c>
      <c r="H43" s="75">
        <v>6718.6171354903381</v>
      </c>
      <c r="I43" s="75">
        <v>148148.14814814803</v>
      </c>
    </row>
    <row r="44" spans="2:9" x14ac:dyDescent="0.25">
      <c r="B44" s="47">
        <v>29</v>
      </c>
      <c r="C44" s="78">
        <v>46784</v>
      </c>
      <c r="D44" s="84">
        <f t="shared" si="0"/>
        <v>2028</v>
      </c>
      <c r="E44" s="81">
        <v>4629.6296296296296</v>
      </c>
      <c r="F44" s="74">
        <v>1.367337276563374E-2</v>
      </c>
      <c r="G44" s="75">
        <v>2025.6848541679599</v>
      </c>
      <c r="H44" s="75">
        <v>6655.3144837975897</v>
      </c>
      <c r="I44" s="75">
        <v>143518.51851851839</v>
      </c>
    </row>
    <row r="45" spans="2:9" x14ac:dyDescent="0.25">
      <c r="B45" s="47">
        <v>30</v>
      </c>
      <c r="C45" s="78">
        <v>46813</v>
      </c>
      <c r="D45" s="84">
        <f t="shared" si="0"/>
        <v>2028</v>
      </c>
      <c r="E45" s="81">
        <v>4629.6296296296296</v>
      </c>
      <c r="F45" s="74">
        <v>1.367337276563374E-2</v>
      </c>
      <c r="G45" s="75">
        <v>1962.382202475211</v>
      </c>
      <c r="H45" s="75">
        <v>6592.0118321048403</v>
      </c>
      <c r="I45" s="75">
        <v>138888.88888888876</v>
      </c>
    </row>
    <row r="46" spans="2:9" x14ac:dyDescent="0.25">
      <c r="B46" s="47">
        <v>31</v>
      </c>
      <c r="C46" s="78">
        <v>46844</v>
      </c>
      <c r="D46" s="84">
        <f t="shared" si="0"/>
        <v>2028</v>
      </c>
      <c r="E46" s="81">
        <v>4629.6296296296296</v>
      </c>
      <c r="F46" s="74">
        <v>1.367337276563374E-2</v>
      </c>
      <c r="G46" s="75">
        <v>1899.0795507824621</v>
      </c>
      <c r="H46" s="75">
        <v>6528.7091804120919</v>
      </c>
      <c r="I46" s="75">
        <v>134259.25925925912</v>
      </c>
    </row>
    <row r="47" spans="2:9" x14ac:dyDescent="0.25">
      <c r="B47" s="47">
        <v>32</v>
      </c>
      <c r="C47" s="78">
        <v>46874</v>
      </c>
      <c r="D47" s="84">
        <f t="shared" ref="D47:D75" si="1">YEAR(C47)</f>
        <v>2028</v>
      </c>
      <c r="E47" s="81">
        <v>4629.6296296296296</v>
      </c>
      <c r="F47" s="74">
        <v>1.367337276563374E-2</v>
      </c>
      <c r="G47" s="75">
        <v>1835.7768990897132</v>
      </c>
      <c r="H47" s="75">
        <v>6465.4065287193425</v>
      </c>
      <c r="I47" s="75">
        <v>129629.62962962949</v>
      </c>
    </row>
    <row r="48" spans="2:9" x14ac:dyDescent="0.25">
      <c r="B48" s="47">
        <v>33</v>
      </c>
      <c r="C48" s="78">
        <v>46905</v>
      </c>
      <c r="D48" s="84">
        <f t="shared" si="1"/>
        <v>2028</v>
      </c>
      <c r="E48" s="81">
        <v>4629.6296296296296</v>
      </c>
      <c r="F48" s="74">
        <v>1.367337276563374E-2</v>
      </c>
      <c r="G48" s="75">
        <v>1772.4742473969643</v>
      </c>
      <c r="H48" s="75">
        <v>6402.1038770265941</v>
      </c>
      <c r="I48" s="75">
        <v>124999.99999999985</v>
      </c>
    </row>
    <row r="49" spans="2:9" x14ac:dyDescent="0.25">
      <c r="B49" s="47">
        <v>34</v>
      </c>
      <c r="C49" s="78">
        <v>46935</v>
      </c>
      <c r="D49" s="84">
        <f t="shared" si="1"/>
        <v>2028</v>
      </c>
      <c r="E49" s="81">
        <v>4629.6296296296296</v>
      </c>
      <c r="F49" s="74">
        <v>1.367337276563374E-2</v>
      </c>
      <c r="G49" s="75">
        <v>1709.1715957042154</v>
      </c>
      <c r="H49" s="75">
        <v>6338.8012253338447</v>
      </c>
      <c r="I49" s="75">
        <v>120370.37037037022</v>
      </c>
    </row>
    <row r="50" spans="2:9" x14ac:dyDescent="0.25">
      <c r="B50" s="47">
        <v>35</v>
      </c>
      <c r="C50" s="78">
        <v>46966</v>
      </c>
      <c r="D50" s="84">
        <f t="shared" si="1"/>
        <v>2028</v>
      </c>
      <c r="E50" s="81">
        <v>4629.6296296296296</v>
      </c>
      <c r="F50" s="74">
        <v>1.367337276563374E-2</v>
      </c>
      <c r="G50" s="75">
        <v>1645.8689440114667</v>
      </c>
      <c r="H50" s="75">
        <v>6275.4985736410963</v>
      </c>
      <c r="I50" s="75">
        <v>115740.74074074058</v>
      </c>
    </row>
    <row r="51" spans="2:9" x14ac:dyDescent="0.25">
      <c r="B51" s="47">
        <v>36</v>
      </c>
      <c r="C51" s="78">
        <v>46997</v>
      </c>
      <c r="D51" s="84">
        <f t="shared" si="1"/>
        <v>2028</v>
      </c>
      <c r="E51" s="81">
        <v>4629.6296296296296</v>
      </c>
      <c r="F51" s="74">
        <v>1.367337276563374E-2</v>
      </c>
      <c r="G51" s="75">
        <v>1582.5662923187178</v>
      </c>
      <c r="H51" s="75">
        <v>6212.1959219483469</v>
      </c>
      <c r="I51" s="75">
        <v>111111.11111111095</v>
      </c>
    </row>
    <row r="52" spans="2:9" x14ac:dyDescent="0.25">
      <c r="B52" s="47">
        <v>37</v>
      </c>
      <c r="C52" s="78">
        <v>47027</v>
      </c>
      <c r="D52" s="84">
        <f t="shared" si="1"/>
        <v>2028</v>
      </c>
      <c r="E52" s="81">
        <v>4629.6296296296296</v>
      </c>
      <c r="F52" s="74">
        <v>1.367337276563374E-2</v>
      </c>
      <c r="G52" s="75">
        <v>1519.2636406259689</v>
      </c>
      <c r="H52" s="75">
        <v>6148.8932702555985</v>
      </c>
      <c r="I52" s="75">
        <v>106481.48148148131</v>
      </c>
    </row>
    <row r="53" spans="2:9" x14ac:dyDescent="0.25">
      <c r="B53" s="47">
        <v>38</v>
      </c>
      <c r="C53" s="78">
        <v>47058</v>
      </c>
      <c r="D53" s="84">
        <f t="shared" si="1"/>
        <v>2028</v>
      </c>
      <c r="E53" s="81">
        <v>4629.6296296296296</v>
      </c>
      <c r="F53" s="74">
        <v>1.367337276563374E-2</v>
      </c>
      <c r="G53" s="75">
        <v>1455.9609889332201</v>
      </c>
      <c r="H53" s="75">
        <v>6085.5906185628501</v>
      </c>
      <c r="I53" s="75">
        <v>101851.85185185168</v>
      </c>
    </row>
    <row r="54" spans="2:9" x14ac:dyDescent="0.25">
      <c r="B54" s="47">
        <v>39</v>
      </c>
      <c r="C54" s="78">
        <v>47088</v>
      </c>
      <c r="D54" s="84">
        <f t="shared" si="1"/>
        <v>2028</v>
      </c>
      <c r="E54" s="81">
        <v>4629.6296296296296</v>
      </c>
      <c r="F54" s="74">
        <v>1.367337276563374E-2</v>
      </c>
      <c r="G54" s="75">
        <v>1392.6583372404712</v>
      </c>
      <c r="H54" s="75">
        <v>6022.2879668701007</v>
      </c>
      <c r="I54" s="75">
        <v>97222.222222222044</v>
      </c>
    </row>
    <row r="55" spans="2:9" x14ac:dyDescent="0.25">
      <c r="B55" s="47">
        <v>40</v>
      </c>
      <c r="C55" s="78">
        <v>47119</v>
      </c>
      <c r="D55" s="84">
        <f t="shared" si="1"/>
        <v>2029</v>
      </c>
      <c r="E55" s="81">
        <v>4629.6296296296296</v>
      </c>
      <c r="F55" s="74">
        <v>1.367337276563374E-2</v>
      </c>
      <c r="G55" s="75">
        <v>1329.3556855477223</v>
      </c>
      <c r="H55" s="75">
        <v>5958.9853151773514</v>
      </c>
      <c r="I55" s="75">
        <v>92592.592592592409</v>
      </c>
    </row>
    <row r="56" spans="2:9" x14ac:dyDescent="0.25">
      <c r="B56" s="47">
        <v>41</v>
      </c>
      <c r="C56" s="78">
        <v>47150</v>
      </c>
      <c r="D56" s="84">
        <f t="shared" si="1"/>
        <v>2029</v>
      </c>
      <c r="E56" s="81">
        <v>4629.6296296296296</v>
      </c>
      <c r="F56" s="74">
        <v>1.367337276563374E-2</v>
      </c>
      <c r="G56" s="75">
        <v>1266.0530338549734</v>
      </c>
      <c r="H56" s="75">
        <v>5895.6826634846029</v>
      </c>
      <c r="I56" s="75">
        <v>87962.962962962774</v>
      </c>
    </row>
    <row r="57" spans="2:9" x14ac:dyDescent="0.25">
      <c r="B57" s="47">
        <v>42</v>
      </c>
      <c r="C57" s="78">
        <v>47178</v>
      </c>
      <c r="D57" s="84">
        <f t="shared" si="1"/>
        <v>2029</v>
      </c>
      <c r="E57" s="81">
        <v>4629.6296296296296</v>
      </c>
      <c r="F57" s="74">
        <v>1.367337276563374E-2</v>
      </c>
      <c r="G57" s="75">
        <v>1202.7503821622245</v>
      </c>
      <c r="H57" s="75">
        <v>5832.3800117918545</v>
      </c>
      <c r="I57" s="75">
        <v>83333.333333333139</v>
      </c>
    </row>
    <row r="58" spans="2:9" x14ac:dyDescent="0.25">
      <c r="B58" s="47">
        <v>43</v>
      </c>
      <c r="C58" s="78">
        <v>47209</v>
      </c>
      <c r="D58" s="84">
        <f t="shared" si="1"/>
        <v>2029</v>
      </c>
      <c r="E58" s="81">
        <v>4629.6296296296296</v>
      </c>
      <c r="F58" s="74">
        <v>1.367337276563374E-2</v>
      </c>
      <c r="G58" s="75">
        <v>1139.4477304694756</v>
      </c>
      <c r="H58" s="75">
        <v>5769.0773600991051</v>
      </c>
      <c r="I58" s="75">
        <v>78703.703703703504</v>
      </c>
    </row>
    <row r="59" spans="2:9" x14ac:dyDescent="0.25">
      <c r="B59" s="47">
        <v>44</v>
      </c>
      <c r="C59" s="78">
        <v>47239</v>
      </c>
      <c r="D59" s="84">
        <f t="shared" si="1"/>
        <v>2029</v>
      </c>
      <c r="E59" s="81">
        <v>4629.6296296296296</v>
      </c>
      <c r="F59" s="74">
        <v>1.367337276563374E-2</v>
      </c>
      <c r="G59" s="75">
        <v>1076.1450787767269</v>
      </c>
      <c r="H59" s="75">
        <v>5705.7747084063567</v>
      </c>
      <c r="I59" s="75">
        <v>74074.074074073869</v>
      </c>
    </row>
    <row r="60" spans="2:9" x14ac:dyDescent="0.25">
      <c r="B60" s="47">
        <v>45</v>
      </c>
      <c r="C60" s="78">
        <v>47270</v>
      </c>
      <c r="D60" s="84">
        <f t="shared" si="1"/>
        <v>2029</v>
      </c>
      <c r="E60" s="81">
        <v>4629.6296296296296</v>
      </c>
      <c r="F60" s="74">
        <v>1.367337276563374E-2</v>
      </c>
      <c r="G60" s="75">
        <v>1012.8424270839779</v>
      </c>
      <c r="H60" s="75">
        <v>5642.4720567136073</v>
      </c>
      <c r="I60" s="75">
        <v>69444.444444444234</v>
      </c>
    </row>
    <row r="61" spans="2:9" x14ac:dyDescent="0.25">
      <c r="B61" s="47">
        <v>46</v>
      </c>
      <c r="C61" s="78">
        <v>47300</v>
      </c>
      <c r="D61" s="84">
        <f t="shared" si="1"/>
        <v>2029</v>
      </c>
      <c r="E61" s="81">
        <v>4629.6296296296296</v>
      </c>
      <c r="F61" s="74">
        <v>1.367337276563374E-2</v>
      </c>
      <c r="G61" s="75">
        <v>949.53977539122911</v>
      </c>
      <c r="H61" s="75">
        <v>5579.1694050208589</v>
      </c>
      <c r="I61" s="75">
        <v>64814.814814814607</v>
      </c>
    </row>
    <row r="62" spans="2:9" x14ac:dyDescent="0.25">
      <c r="B62" s="47">
        <v>47</v>
      </c>
      <c r="C62" s="78">
        <v>47331</v>
      </c>
      <c r="D62" s="84">
        <f t="shared" si="1"/>
        <v>2029</v>
      </c>
      <c r="E62" s="81">
        <v>4629.6296296296296</v>
      </c>
      <c r="F62" s="74">
        <v>1.367337276563374E-2</v>
      </c>
      <c r="G62" s="75">
        <v>886.23712369848033</v>
      </c>
      <c r="H62" s="75">
        <v>5515.8667533281096</v>
      </c>
      <c r="I62" s="75">
        <v>60185.185185184979</v>
      </c>
    </row>
    <row r="63" spans="2:9" x14ac:dyDescent="0.25">
      <c r="B63" s="47">
        <v>48</v>
      </c>
      <c r="C63" s="78">
        <v>47362</v>
      </c>
      <c r="D63" s="84">
        <f t="shared" si="1"/>
        <v>2029</v>
      </c>
      <c r="E63" s="81">
        <v>4629.6296296296296</v>
      </c>
      <c r="F63" s="74">
        <v>1.367337276563374E-2</v>
      </c>
      <c r="G63" s="75">
        <v>822.93447200573155</v>
      </c>
      <c r="H63" s="75">
        <v>5452.5641016353611</v>
      </c>
      <c r="I63" s="75">
        <v>55555.555555555351</v>
      </c>
    </row>
    <row r="64" spans="2:9" x14ac:dyDescent="0.25">
      <c r="B64" s="47">
        <v>49</v>
      </c>
      <c r="C64" s="78">
        <v>47392</v>
      </c>
      <c r="D64" s="84">
        <f t="shared" si="1"/>
        <v>2029</v>
      </c>
      <c r="E64" s="81">
        <v>4629.6296296296296</v>
      </c>
      <c r="F64" s="74">
        <v>1.367337276563374E-2</v>
      </c>
      <c r="G64" s="75">
        <v>759.63182031298277</v>
      </c>
      <c r="H64" s="75">
        <v>5389.2614499426127</v>
      </c>
      <c r="I64" s="75">
        <v>50925.925925925723</v>
      </c>
    </row>
    <row r="65" spans="2:9" x14ac:dyDescent="0.25">
      <c r="B65" s="47">
        <v>50</v>
      </c>
      <c r="C65" s="78">
        <v>47423</v>
      </c>
      <c r="D65" s="84">
        <f t="shared" si="1"/>
        <v>2029</v>
      </c>
      <c r="E65" s="81">
        <v>4629.6296296296296</v>
      </c>
      <c r="F65" s="74">
        <v>1.367337276563374E-2</v>
      </c>
      <c r="G65" s="75">
        <v>696.32916862023399</v>
      </c>
      <c r="H65" s="75">
        <v>5325.9587982498633</v>
      </c>
      <c r="I65" s="75">
        <v>46296.296296296096</v>
      </c>
    </row>
    <row r="66" spans="2:9" x14ac:dyDescent="0.25">
      <c r="B66" s="47">
        <v>51</v>
      </c>
      <c r="C66" s="78">
        <v>47453</v>
      </c>
      <c r="D66" s="84">
        <f t="shared" si="1"/>
        <v>2029</v>
      </c>
      <c r="E66" s="81">
        <v>4629.6296296296296</v>
      </c>
      <c r="F66" s="74">
        <v>1.367337276563374E-2</v>
      </c>
      <c r="G66" s="75">
        <v>633.0265169274852</v>
      </c>
      <c r="H66" s="75">
        <v>5262.6561465571149</v>
      </c>
      <c r="I66" s="75">
        <v>41666.666666666468</v>
      </c>
    </row>
    <row r="67" spans="2:9" x14ac:dyDescent="0.25">
      <c r="B67" s="47">
        <v>52</v>
      </c>
      <c r="C67" s="78">
        <v>47484</v>
      </c>
      <c r="D67" s="84">
        <f t="shared" si="1"/>
        <v>2030</v>
      </c>
      <c r="E67" s="81">
        <v>4629.6296296296296</v>
      </c>
      <c r="F67" s="74">
        <v>1.367337276563374E-2</v>
      </c>
      <c r="G67" s="75">
        <v>569.72386523473642</v>
      </c>
      <c r="H67" s="75">
        <v>5199.3534948643664</v>
      </c>
      <c r="I67" s="75">
        <v>37037.03703703684</v>
      </c>
    </row>
    <row r="68" spans="2:9" x14ac:dyDescent="0.25">
      <c r="B68" s="47">
        <v>53</v>
      </c>
      <c r="C68" s="78">
        <v>47515</v>
      </c>
      <c r="D68" s="84">
        <f t="shared" si="1"/>
        <v>2030</v>
      </c>
      <c r="E68" s="81">
        <v>4629.6296296296296</v>
      </c>
      <c r="F68" s="74">
        <v>1.367337276563374E-2</v>
      </c>
      <c r="G68" s="75">
        <v>506.4212135419877</v>
      </c>
      <c r="H68" s="75">
        <v>5136.0508431716171</v>
      </c>
      <c r="I68" s="75">
        <v>32407.407407407212</v>
      </c>
    </row>
    <row r="69" spans="2:9" x14ac:dyDescent="0.25">
      <c r="B69" s="47">
        <v>54</v>
      </c>
      <c r="C69" s="78">
        <v>47543</v>
      </c>
      <c r="D69" s="84">
        <f t="shared" si="1"/>
        <v>2030</v>
      </c>
      <c r="E69" s="81">
        <v>4629.6296296296296</v>
      </c>
      <c r="F69" s="74">
        <v>1.367337276563374E-2</v>
      </c>
      <c r="G69" s="75">
        <v>443.11856184923892</v>
      </c>
      <c r="H69" s="75">
        <v>5072.7481914788686</v>
      </c>
      <c r="I69" s="75">
        <v>27777.777777777585</v>
      </c>
    </row>
    <row r="70" spans="2:9" x14ac:dyDescent="0.25">
      <c r="B70" s="47">
        <v>55</v>
      </c>
      <c r="C70" s="78">
        <v>47574</v>
      </c>
      <c r="D70" s="84">
        <f t="shared" si="1"/>
        <v>2030</v>
      </c>
      <c r="E70" s="81">
        <v>4629.6296296296296</v>
      </c>
      <c r="F70" s="74">
        <v>1.367337276563374E-2</v>
      </c>
      <c r="G70" s="75">
        <v>379.81591015649013</v>
      </c>
      <c r="H70" s="75">
        <v>5009.4455397861193</v>
      </c>
      <c r="I70" s="75">
        <v>23148.148148147957</v>
      </c>
    </row>
    <row r="71" spans="2:9" x14ac:dyDescent="0.25">
      <c r="B71" s="47">
        <v>56</v>
      </c>
      <c r="C71" s="78">
        <v>47604</v>
      </c>
      <c r="D71" s="84">
        <f t="shared" si="1"/>
        <v>2030</v>
      </c>
      <c r="E71" s="81">
        <v>4629.6296296296296</v>
      </c>
      <c r="F71" s="74">
        <v>1.367337276563374E-2</v>
      </c>
      <c r="G71" s="75">
        <v>316.51325846374135</v>
      </c>
      <c r="H71" s="75">
        <v>4946.1428880933709</v>
      </c>
      <c r="I71" s="75">
        <v>18518.518518518329</v>
      </c>
    </row>
    <row r="72" spans="2:9" x14ac:dyDescent="0.25">
      <c r="B72" s="47">
        <v>57</v>
      </c>
      <c r="C72" s="78">
        <v>47635</v>
      </c>
      <c r="D72" s="84">
        <f t="shared" si="1"/>
        <v>2030</v>
      </c>
      <c r="E72" s="81">
        <v>4629.6296296296296</v>
      </c>
      <c r="F72" s="74">
        <v>1.367337276563374E-2</v>
      </c>
      <c r="G72" s="75">
        <v>253.2106067709926</v>
      </c>
      <c r="H72" s="75">
        <v>4882.8402364006224</v>
      </c>
      <c r="I72" s="75">
        <v>13888.8888888887</v>
      </c>
    </row>
    <row r="73" spans="2:9" x14ac:dyDescent="0.25">
      <c r="B73" s="47">
        <v>58</v>
      </c>
      <c r="C73" s="78">
        <v>47665</v>
      </c>
      <c r="D73" s="84">
        <f t="shared" si="1"/>
        <v>2030</v>
      </c>
      <c r="E73" s="81">
        <v>4629.6296296296296</v>
      </c>
      <c r="F73" s="74">
        <v>1.367337276563374E-2</v>
      </c>
      <c r="G73" s="75">
        <v>189.90795507824379</v>
      </c>
      <c r="H73" s="75">
        <v>4819.5375847078731</v>
      </c>
      <c r="I73" s="75">
        <v>9259.2592592590699</v>
      </c>
    </row>
    <row r="74" spans="2:9" x14ac:dyDescent="0.25">
      <c r="B74" s="47">
        <v>59</v>
      </c>
      <c r="C74" s="78">
        <v>47696</v>
      </c>
      <c r="D74" s="84">
        <f t="shared" si="1"/>
        <v>2030</v>
      </c>
      <c r="E74" s="81">
        <v>4629.6296296296296</v>
      </c>
      <c r="F74" s="74">
        <v>1.367337276563374E-2</v>
      </c>
      <c r="G74" s="75">
        <v>126.60530338549501</v>
      </c>
      <c r="H74" s="75">
        <v>4756.2349330151246</v>
      </c>
      <c r="I74" s="75">
        <v>4629.6296296294404</v>
      </c>
    </row>
    <row r="75" spans="2:9" x14ac:dyDescent="0.25">
      <c r="B75" s="47">
        <v>60</v>
      </c>
      <c r="C75" s="78">
        <v>47727</v>
      </c>
      <c r="D75" s="84">
        <f t="shared" si="1"/>
        <v>2030</v>
      </c>
      <c r="E75" s="81">
        <v>4629.6296296296296</v>
      </c>
      <c r="F75" s="74">
        <v>1.367337276563374E-2</v>
      </c>
      <c r="G75" s="75">
        <v>63.30265169274621</v>
      </c>
      <c r="H75" s="75">
        <v>4692.9322813223762</v>
      </c>
      <c r="I75" s="75">
        <v>-1.8917489796876907E-10</v>
      </c>
    </row>
    <row r="76" spans="2:9" x14ac:dyDescent="0.25">
      <c r="C76" s="78" t="s">
        <v>229</v>
      </c>
      <c r="D76" s="78"/>
      <c r="E76" s="81" t="s">
        <v>229</v>
      </c>
      <c r="F76" s="74" t="s">
        <v>229</v>
      </c>
      <c r="G76" s="75" t="s">
        <v>229</v>
      </c>
      <c r="H76" s="75" t="s">
        <v>229</v>
      </c>
      <c r="I76" s="75" t="s">
        <v>229</v>
      </c>
    </row>
    <row r="77" spans="2:9" x14ac:dyDescent="0.25">
      <c r="C77" s="78" t="s">
        <v>229</v>
      </c>
      <c r="D77" s="78"/>
      <c r="E77" s="81" t="s">
        <v>229</v>
      </c>
      <c r="F77" s="74" t="s">
        <v>229</v>
      </c>
      <c r="G77" s="75" t="s">
        <v>229</v>
      </c>
      <c r="H77" s="75" t="s">
        <v>229</v>
      </c>
      <c r="I77" s="75" t="s">
        <v>229</v>
      </c>
    </row>
    <row r="78" spans="2:9" x14ac:dyDescent="0.25">
      <c r="C78" s="78" t="s">
        <v>229</v>
      </c>
      <c r="D78" s="78"/>
      <c r="E78" s="81" t="s">
        <v>229</v>
      </c>
      <c r="F78" s="74" t="s">
        <v>229</v>
      </c>
      <c r="G78" s="75" t="s">
        <v>229</v>
      </c>
      <c r="H78" s="75" t="s">
        <v>229</v>
      </c>
      <c r="I78" s="75" t="s">
        <v>229</v>
      </c>
    </row>
    <row r="79" spans="2:9" x14ac:dyDescent="0.25">
      <c r="C79" s="78" t="s">
        <v>229</v>
      </c>
      <c r="D79" s="78"/>
      <c r="E79" s="81" t="s">
        <v>229</v>
      </c>
      <c r="F79" s="74" t="s">
        <v>229</v>
      </c>
      <c r="G79" s="75" t="s">
        <v>229</v>
      </c>
      <c r="H79" s="75" t="s">
        <v>229</v>
      </c>
      <c r="I79" s="75" t="s">
        <v>229</v>
      </c>
    </row>
    <row r="80" spans="2:9" x14ac:dyDescent="0.25">
      <c r="C80" s="78" t="s">
        <v>229</v>
      </c>
      <c r="D80" s="78"/>
      <c r="E80" s="81" t="s">
        <v>229</v>
      </c>
      <c r="F80" s="74" t="s">
        <v>229</v>
      </c>
      <c r="G80" s="75" t="s">
        <v>229</v>
      </c>
      <c r="H80" s="75" t="s">
        <v>229</v>
      </c>
      <c r="I80" s="75" t="s">
        <v>229</v>
      </c>
    </row>
    <row r="81" spans="3:9" x14ac:dyDescent="0.25">
      <c r="C81" s="78" t="s">
        <v>229</v>
      </c>
      <c r="D81" s="78"/>
      <c r="E81" s="81" t="s">
        <v>229</v>
      </c>
      <c r="F81" s="74" t="s">
        <v>229</v>
      </c>
      <c r="G81" s="75" t="s">
        <v>229</v>
      </c>
      <c r="H81" s="75" t="s">
        <v>229</v>
      </c>
      <c r="I81" s="75" t="s">
        <v>229</v>
      </c>
    </row>
    <row r="82" spans="3:9" x14ac:dyDescent="0.25">
      <c r="C82" s="78" t="s">
        <v>229</v>
      </c>
      <c r="D82" s="78"/>
      <c r="E82" s="81" t="s">
        <v>229</v>
      </c>
      <c r="F82" s="74" t="s">
        <v>229</v>
      </c>
      <c r="G82" s="75" t="s">
        <v>229</v>
      </c>
      <c r="H82" s="75" t="s">
        <v>229</v>
      </c>
      <c r="I82" s="75" t="s">
        <v>229</v>
      </c>
    </row>
    <row r="83" spans="3:9" x14ac:dyDescent="0.25">
      <c r="C83" s="78" t="s">
        <v>229</v>
      </c>
      <c r="D83" s="78"/>
      <c r="E83" s="81" t="s">
        <v>229</v>
      </c>
      <c r="F83" s="74" t="s">
        <v>229</v>
      </c>
      <c r="G83" s="75" t="s">
        <v>229</v>
      </c>
      <c r="H83" s="75" t="s">
        <v>229</v>
      </c>
      <c r="I83" s="75" t="s">
        <v>229</v>
      </c>
    </row>
    <row r="84" spans="3:9" x14ac:dyDescent="0.25">
      <c r="C84" s="78" t="s">
        <v>229</v>
      </c>
      <c r="D84" s="78"/>
      <c r="E84" s="81" t="s">
        <v>229</v>
      </c>
      <c r="F84" s="74" t="s">
        <v>229</v>
      </c>
      <c r="G84" s="75" t="s">
        <v>229</v>
      </c>
      <c r="H84" s="75" t="s">
        <v>229</v>
      </c>
      <c r="I84" s="75" t="s">
        <v>229</v>
      </c>
    </row>
    <row r="85" spans="3:9" x14ac:dyDescent="0.25">
      <c r="C85" s="78" t="s">
        <v>229</v>
      </c>
      <c r="D85" s="78"/>
      <c r="E85" s="81" t="s">
        <v>229</v>
      </c>
      <c r="F85" s="74" t="s">
        <v>229</v>
      </c>
      <c r="G85" s="75" t="s">
        <v>229</v>
      </c>
      <c r="H85" s="75" t="s">
        <v>229</v>
      </c>
      <c r="I85" s="75" t="s">
        <v>229</v>
      </c>
    </row>
    <row r="86" spans="3:9" x14ac:dyDescent="0.25">
      <c r="C86" s="78" t="s">
        <v>229</v>
      </c>
      <c r="D86" s="78"/>
      <c r="E86" s="81" t="s">
        <v>229</v>
      </c>
      <c r="F86" s="74" t="s">
        <v>229</v>
      </c>
      <c r="G86" s="75" t="s">
        <v>229</v>
      </c>
      <c r="H86" s="75" t="s">
        <v>229</v>
      </c>
      <c r="I86" s="75" t="s">
        <v>229</v>
      </c>
    </row>
    <row r="87" spans="3:9" x14ac:dyDescent="0.25">
      <c r="C87" s="78" t="s">
        <v>229</v>
      </c>
      <c r="D87" s="78"/>
      <c r="E87" s="81" t="s">
        <v>229</v>
      </c>
      <c r="F87" s="74" t="s">
        <v>229</v>
      </c>
      <c r="G87" s="75" t="s">
        <v>229</v>
      </c>
      <c r="H87" s="75" t="s">
        <v>229</v>
      </c>
      <c r="I87" s="75" t="s">
        <v>229</v>
      </c>
    </row>
    <row r="88" spans="3:9" x14ac:dyDescent="0.25">
      <c r="C88" s="78" t="s">
        <v>229</v>
      </c>
      <c r="D88" s="78"/>
      <c r="E88" s="81" t="s">
        <v>229</v>
      </c>
      <c r="F88" s="74" t="s">
        <v>229</v>
      </c>
      <c r="G88" s="75" t="s">
        <v>229</v>
      </c>
      <c r="H88" s="75" t="s">
        <v>229</v>
      </c>
      <c r="I88" s="75" t="s">
        <v>229</v>
      </c>
    </row>
    <row r="89" spans="3:9" x14ac:dyDescent="0.25">
      <c r="C89" s="78" t="s">
        <v>229</v>
      </c>
      <c r="D89" s="78"/>
      <c r="E89" s="81" t="s">
        <v>229</v>
      </c>
      <c r="F89" s="74" t="s">
        <v>229</v>
      </c>
      <c r="G89" s="75" t="s">
        <v>229</v>
      </c>
      <c r="H89" s="75" t="s">
        <v>229</v>
      </c>
      <c r="I89" s="75" t="s">
        <v>229</v>
      </c>
    </row>
    <row r="90" spans="3:9" x14ac:dyDescent="0.25">
      <c r="C90" s="78" t="s">
        <v>229</v>
      </c>
      <c r="D90" s="78"/>
      <c r="E90" s="81" t="s">
        <v>229</v>
      </c>
      <c r="F90" s="74" t="s">
        <v>229</v>
      </c>
      <c r="G90" s="75" t="s">
        <v>229</v>
      </c>
      <c r="H90" s="75" t="s">
        <v>229</v>
      </c>
      <c r="I90" s="75" t="s">
        <v>229</v>
      </c>
    </row>
    <row r="91" spans="3:9" x14ac:dyDescent="0.25">
      <c r="C91" s="78" t="s">
        <v>229</v>
      </c>
      <c r="D91" s="78"/>
      <c r="E91" s="81" t="s">
        <v>229</v>
      </c>
      <c r="F91" s="74" t="s">
        <v>229</v>
      </c>
      <c r="G91" s="75" t="s">
        <v>229</v>
      </c>
      <c r="H91" s="75" t="s">
        <v>229</v>
      </c>
      <c r="I91" s="75" t="s">
        <v>229</v>
      </c>
    </row>
    <row r="92" spans="3:9" x14ac:dyDescent="0.25">
      <c r="C92" s="78" t="s">
        <v>229</v>
      </c>
      <c r="D92" s="78"/>
      <c r="E92" s="81" t="s">
        <v>229</v>
      </c>
      <c r="F92" s="74" t="s">
        <v>229</v>
      </c>
      <c r="G92" s="75" t="s">
        <v>229</v>
      </c>
      <c r="H92" s="75" t="s">
        <v>229</v>
      </c>
      <c r="I92" s="75" t="s">
        <v>229</v>
      </c>
    </row>
    <row r="93" spans="3:9" x14ac:dyDescent="0.25">
      <c r="C93" s="78" t="s">
        <v>229</v>
      </c>
      <c r="D93" s="78"/>
      <c r="E93" s="81" t="s">
        <v>229</v>
      </c>
      <c r="F93" s="74" t="s">
        <v>229</v>
      </c>
      <c r="G93" s="75" t="s">
        <v>229</v>
      </c>
      <c r="H93" s="75" t="s">
        <v>229</v>
      </c>
      <c r="I93" s="75" t="s">
        <v>229</v>
      </c>
    </row>
    <row r="94" spans="3:9" x14ac:dyDescent="0.25">
      <c r="C94" s="78" t="s">
        <v>229</v>
      </c>
      <c r="D94" s="78"/>
      <c r="E94" s="81" t="s">
        <v>229</v>
      </c>
      <c r="F94" s="74" t="s">
        <v>229</v>
      </c>
      <c r="G94" s="75" t="s">
        <v>229</v>
      </c>
      <c r="H94" s="75" t="s">
        <v>229</v>
      </c>
      <c r="I94" s="75" t="s">
        <v>229</v>
      </c>
    </row>
    <row r="95" spans="3:9" x14ac:dyDescent="0.25">
      <c r="C95" s="78" t="s">
        <v>229</v>
      </c>
      <c r="D95" s="78"/>
      <c r="E95" s="81" t="s">
        <v>229</v>
      </c>
      <c r="F95" s="74" t="s">
        <v>229</v>
      </c>
      <c r="G95" s="75" t="s">
        <v>229</v>
      </c>
      <c r="H95" s="75" t="s">
        <v>229</v>
      </c>
      <c r="I95" s="75" t="s">
        <v>229</v>
      </c>
    </row>
    <row r="96" spans="3:9" x14ac:dyDescent="0.25">
      <c r="C96" s="78" t="s">
        <v>229</v>
      </c>
      <c r="D96" s="78"/>
      <c r="E96" s="81" t="s">
        <v>229</v>
      </c>
      <c r="F96" s="74" t="s">
        <v>229</v>
      </c>
      <c r="G96" s="75" t="s">
        <v>229</v>
      </c>
      <c r="H96" s="75" t="s">
        <v>229</v>
      </c>
      <c r="I96" s="75" t="s">
        <v>229</v>
      </c>
    </row>
    <row r="97" spans="3:9" x14ac:dyDescent="0.25">
      <c r="C97" s="78" t="s">
        <v>229</v>
      </c>
      <c r="D97" s="78"/>
      <c r="E97" s="81" t="s">
        <v>229</v>
      </c>
      <c r="F97" s="74" t="s">
        <v>229</v>
      </c>
      <c r="G97" s="75" t="s">
        <v>229</v>
      </c>
      <c r="H97" s="75" t="s">
        <v>229</v>
      </c>
      <c r="I97" s="75" t="s">
        <v>229</v>
      </c>
    </row>
    <row r="98" spans="3:9" x14ac:dyDescent="0.25">
      <c r="C98" s="78" t="s">
        <v>229</v>
      </c>
      <c r="D98" s="78"/>
      <c r="E98" s="81" t="s">
        <v>229</v>
      </c>
      <c r="F98" s="74" t="s">
        <v>229</v>
      </c>
      <c r="G98" s="75" t="s">
        <v>229</v>
      </c>
      <c r="H98" s="75" t="s">
        <v>229</v>
      </c>
      <c r="I98" s="75" t="s">
        <v>229</v>
      </c>
    </row>
    <row r="99" spans="3:9" x14ac:dyDescent="0.25">
      <c r="C99" s="78" t="s">
        <v>229</v>
      </c>
      <c r="D99" s="78"/>
      <c r="E99" s="81" t="s">
        <v>229</v>
      </c>
      <c r="F99" s="74" t="s">
        <v>229</v>
      </c>
      <c r="G99" s="75" t="s">
        <v>229</v>
      </c>
      <c r="H99" s="75" t="s">
        <v>229</v>
      </c>
      <c r="I99" s="75" t="s">
        <v>229</v>
      </c>
    </row>
    <row r="100" spans="3:9" x14ac:dyDescent="0.25">
      <c r="C100" s="78" t="s">
        <v>229</v>
      </c>
      <c r="D100" s="78"/>
      <c r="E100" s="81" t="s">
        <v>229</v>
      </c>
      <c r="F100" s="74" t="s">
        <v>229</v>
      </c>
      <c r="G100" s="75" t="s">
        <v>229</v>
      </c>
      <c r="H100" s="75" t="s">
        <v>229</v>
      </c>
      <c r="I100" s="75" t="s">
        <v>229</v>
      </c>
    </row>
    <row r="101" spans="3:9" x14ac:dyDescent="0.25">
      <c r="C101" s="78" t="s">
        <v>229</v>
      </c>
      <c r="D101" s="78"/>
      <c r="E101" s="81" t="s">
        <v>229</v>
      </c>
      <c r="F101" s="74" t="s">
        <v>229</v>
      </c>
      <c r="G101" s="75" t="s">
        <v>229</v>
      </c>
      <c r="H101" s="75" t="s">
        <v>229</v>
      </c>
      <c r="I101" s="75" t="s">
        <v>229</v>
      </c>
    </row>
    <row r="102" spans="3:9" x14ac:dyDescent="0.25">
      <c r="C102" s="78" t="s">
        <v>229</v>
      </c>
      <c r="D102" s="78"/>
      <c r="E102" s="81" t="s">
        <v>229</v>
      </c>
      <c r="F102" s="74" t="s">
        <v>229</v>
      </c>
      <c r="G102" s="75" t="s">
        <v>229</v>
      </c>
      <c r="H102" s="75" t="s">
        <v>229</v>
      </c>
      <c r="I102" s="75" t="s">
        <v>229</v>
      </c>
    </row>
    <row r="103" spans="3:9" x14ac:dyDescent="0.25">
      <c r="C103" s="78" t="s">
        <v>229</v>
      </c>
      <c r="D103" s="78"/>
      <c r="E103" s="81" t="s">
        <v>229</v>
      </c>
      <c r="F103" s="74" t="s">
        <v>229</v>
      </c>
      <c r="G103" s="75" t="s">
        <v>229</v>
      </c>
      <c r="H103" s="75" t="s">
        <v>229</v>
      </c>
      <c r="I103" s="75" t="s">
        <v>229</v>
      </c>
    </row>
    <row r="104" spans="3:9" x14ac:dyDescent="0.25">
      <c r="C104" s="78" t="s">
        <v>229</v>
      </c>
      <c r="D104" s="78"/>
      <c r="E104" s="81" t="s">
        <v>229</v>
      </c>
      <c r="F104" s="74" t="s">
        <v>229</v>
      </c>
      <c r="G104" s="75" t="s">
        <v>229</v>
      </c>
      <c r="H104" s="75" t="s">
        <v>229</v>
      </c>
      <c r="I104" s="75" t="s">
        <v>229</v>
      </c>
    </row>
    <row r="105" spans="3:9" x14ac:dyDescent="0.25">
      <c r="C105" s="78" t="s">
        <v>229</v>
      </c>
      <c r="D105" s="78"/>
      <c r="E105" s="81" t="s">
        <v>229</v>
      </c>
      <c r="F105" s="74" t="s">
        <v>229</v>
      </c>
      <c r="G105" s="75" t="s">
        <v>229</v>
      </c>
      <c r="H105" s="75" t="s">
        <v>229</v>
      </c>
      <c r="I105" s="75" t="s">
        <v>229</v>
      </c>
    </row>
    <row r="106" spans="3:9" x14ac:dyDescent="0.25">
      <c r="C106" s="78" t="s">
        <v>229</v>
      </c>
      <c r="D106" s="78"/>
      <c r="E106" s="81" t="s">
        <v>229</v>
      </c>
      <c r="F106" s="74" t="s">
        <v>229</v>
      </c>
      <c r="G106" s="75" t="s">
        <v>229</v>
      </c>
      <c r="H106" s="75" t="s">
        <v>229</v>
      </c>
      <c r="I106" s="75" t="s">
        <v>229</v>
      </c>
    </row>
    <row r="107" spans="3:9" x14ac:dyDescent="0.25">
      <c r="C107" s="78" t="s">
        <v>229</v>
      </c>
      <c r="D107" s="78"/>
      <c r="E107" s="81" t="s">
        <v>229</v>
      </c>
      <c r="F107" s="74" t="s">
        <v>229</v>
      </c>
      <c r="G107" s="75" t="s">
        <v>229</v>
      </c>
      <c r="H107" s="75" t="s">
        <v>229</v>
      </c>
      <c r="I107" s="75" t="s">
        <v>229</v>
      </c>
    </row>
    <row r="108" spans="3:9" x14ac:dyDescent="0.25">
      <c r="C108" s="78" t="s">
        <v>229</v>
      </c>
      <c r="D108" s="78"/>
      <c r="E108" s="81" t="s">
        <v>229</v>
      </c>
      <c r="F108" s="74" t="s">
        <v>229</v>
      </c>
      <c r="G108" s="75" t="s">
        <v>229</v>
      </c>
      <c r="H108" s="75" t="s">
        <v>229</v>
      </c>
      <c r="I108" s="75" t="s">
        <v>229</v>
      </c>
    </row>
    <row r="109" spans="3:9" x14ac:dyDescent="0.25">
      <c r="C109" s="78" t="s">
        <v>229</v>
      </c>
      <c r="D109" s="78"/>
      <c r="E109" s="81" t="s">
        <v>229</v>
      </c>
      <c r="F109" s="74" t="s">
        <v>229</v>
      </c>
      <c r="G109" s="75" t="s">
        <v>229</v>
      </c>
      <c r="H109" s="75" t="s">
        <v>229</v>
      </c>
      <c r="I109" s="75" t="s">
        <v>229</v>
      </c>
    </row>
    <row r="110" spans="3:9" x14ac:dyDescent="0.25">
      <c r="C110" s="78" t="s">
        <v>229</v>
      </c>
      <c r="D110" s="78"/>
      <c r="E110" s="81" t="s">
        <v>229</v>
      </c>
      <c r="F110" s="74" t="s">
        <v>229</v>
      </c>
      <c r="G110" s="75" t="s">
        <v>229</v>
      </c>
      <c r="H110" s="75" t="s">
        <v>229</v>
      </c>
      <c r="I110" s="75" t="s">
        <v>229</v>
      </c>
    </row>
    <row r="111" spans="3:9" x14ac:dyDescent="0.25">
      <c r="C111" s="78" t="s">
        <v>229</v>
      </c>
      <c r="D111" s="78"/>
      <c r="E111" s="81" t="s">
        <v>229</v>
      </c>
      <c r="F111" s="74" t="s">
        <v>229</v>
      </c>
      <c r="G111" s="75" t="s">
        <v>229</v>
      </c>
      <c r="H111" s="75" t="s">
        <v>229</v>
      </c>
      <c r="I111" s="75" t="s">
        <v>229</v>
      </c>
    </row>
    <row r="112" spans="3:9" x14ac:dyDescent="0.25">
      <c r="C112" s="78" t="s">
        <v>229</v>
      </c>
      <c r="D112" s="78"/>
      <c r="E112" s="81" t="s">
        <v>229</v>
      </c>
      <c r="F112" s="74" t="s">
        <v>229</v>
      </c>
      <c r="G112" s="75" t="s">
        <v>229</v>
      </c>
      <c r="H112" s="75" t="s">
        <v>229</v>
      </c>
      <c r="I112" s="75" t="s">
        <v>229</v>
      </c>
    </row>
    <row r="113" spans="3:9" x14ac:dyDescent="0.25">
      <c r="C113" s="78" t="s">
        <v>229</v>
      </c>
      <c r="D113" s="78"/>
      <c r="E113" s="81" t="s">
        <v>229</v>
      </c>
      <c r="F113" s="74" t="s">
        <v>229</v>
      </c>
      <c r="G113" s="75" t="s">
        <v>229</v>
      </c>
      <c r="H113" s="75" t="s">
        <v>229</v>
      </c>
      <c r="I113" s="75" t="s">
        <v>229</v>
      </c>
    </row>
    <row r="114" spans="3:9" x14ac:dyDescent="0.25">
      <c r="C114" s="78" t="s">
        <v>229</v>
      </c>
      <c r="D114" s="78"/>
      <c r="E114" s="81" t="s">
        <v>229</v>
      </c>
      <c r="F114" s="74" t="s">
        <v>229</v>
      </c>
      <c r="G114" s="75" t="s">
        <v>229</v>
      </c>
      <c r="H114" s="75" t="s">
        <v>229</v>
      </c>
      <c r="I114" s="75" t="s">
        <v>229</v>
      </c>
    </row>
    <row r="115" spans="3:9" x14ac:dyDescent="0.25">
      <c r="C115" s="78" t="s">
        <v>229</v>
      </c>
      <c r="D115" s="78"/>
      <c r="E115" s="81" t="s">
        <v>229</v>
      </c>
      <c r="F115" s="74" t="s">
        <v>229</v>
      </c>
      <c r="G115" s="75" t="s">
        <v>229</v>
      </c>
      <c r="H115" s="75" t="s">
        <v>229</v>
      </c>
      <c r="I115" s="75" t="s">
        <v>229</v>
      </c>
    </row>
    <row r="116" spans="3:9" x14ac:dyDescent="0.25">
      <c r="C116" s="78" t="s">
        <v>229</v>
      </c>
      <c r="D116" s="78"/>
      <c r="E116" s="81" t="s">
        <v>229</v>
      </c>
      <c r="F116" s="74" t="s">
        <v>229</v>
      </c>
      <c r="G116" s="75" t="s">
        <v>229</v>
      </c>
      <c r="H116" s="75" t="s">
        <v>229</v>
      </c>
      <c r="I116" s="75" t="s">
        <v>229</v>
      </c>
    </row>
    <row r="117" spans="3:9" x14ac:dyDescent="0.25">
      <c r="C117" s="78" t="s">
        <v>229</v>
      </c>
      <c r="D117" s="78"/>
      <c r="E117" s="81" t="s">
        <v>229</v>
      </c>
      <c r="F117" s="74" t="s">
        <v>229</v>
      </c>
      <c r="G117" s="75" t="s">
        <v>229</v>
      </c>
      <c r="H117" s="75" t="s">
        <v>229</v>
      </c>
      <c r="I117" s="75" t="s">
        <v>229</v>
      </c>
    </row>
    <row r="118" spans="3:9" x14ac:dyDescent="0.25">
      <c r="C118" s="78" t="s">
        <v>229</v>
      </c>
      <c r="D118" s="78"/>
      <c r="E118" s="81" t="s">
        <v>229</v>
      </c>
      <c r="F118" s="74" t="s">
        <v>229</v>
      </c>
      <c r="G118" s="75" t="s">
        <v>229</v>
      </c>
      <c r="H118" s="75" t="s">
        <v>229</v>
      </c>
      <c r="I118" s="75" t="s">
        <v>229</v>
      </c>
    </row>
    <row r="119" spans="3:9" x14ac:dyDescent="0.25">
      <c r="C119" s="78" t="s">
        <v>229</v>
      </c>
      <c r="D119" s="78"/>
      <c r="E119" s="81" t="s">
        <v>229</v>
      </c>
      <c r="F119" s="74" t="s">
        <v>229</v>
      </c>
      <c r="G119" s="75" t="s">
        <v>229</v>
      </c>
      <c r="H119" s="75" t="s">
        <v>229</v>
      </c>
      <c r="I119" s="75" t="s">
        <v>229</v>
      </c>
    </row>
    <row r="120" spans="3:9" x14ac:dyDescent="0.25">
      <c r="C120" s="78" t="s">
        <v>229</v>
      </c>
      <c r="D120" s="78"/>
      <c r="E120" s="81" t="s">
        <v>229</v>
      </c>
      <c r="F120" s="74" t="s">
        <v>229</v>
      </c>
      <c r="G120" s="75" t="s">
        <v>229</v>
      </c>
      <c r="H120" s="75" t="s">
        <v>229</v>
      </c>
      <c r="I120" s="75" t="s">
        <v>229</v>
      </c>
    </row>
    <row r="121" spans="3:9" x14ac:dyDescent="0.25">
      <c r="C121" s="78" t="s">
        <v>229</v>
      </c>
      <c r="D121" s="78"/>
      <c r="E121" s="81" t="s">
        <v>229</v>
      </c>
      <c r="F121" s="74" t="s">
        <v>229</v>
      </c>
      <c r="G121" s="75" t="s">
        <v>229</v>
      </c>
      <c r="H121" s="75" t="s">
        <v>229</v>
      </c>
      <c r="I121" s="75" t="s">
        <v>229</v>
      </c>
    </row>
    <row r="122" spans="3:9" x14ac:dyDescent="0.25">
      <c r="C122" s="78" t="s">
        <v>229</v>
      </c>
      <c r="D122" s="78"/>
      <c r="E122" s="81" t="s">
        <v>229</v>
      </c>
      <c r="F122" s="74" t="s">
        <v>229</v>
      </c>
      <c r="G122" s="75" t="s">
        <v>229</v>
      </c>
      <c r="H122" s="75" t="s">
        <v>229</v>
      </c>
      <c r="I122" s="75" t="s">
        <v>229</v>
      </c>
    </row>
    <row r="123" spans="3:9" x14ac:dyDescent="0.25">
      <c r="C123" s="78" t="s">
        <v>229</v>
      </c>
      <c r="D123" s="78"/>
      <c r="E123" s="81" t="s">
        <v>229</v>
      </c>
      <c r="F123" s="74" t="s">
        <v>229</v>
      </c>
      <c r="G123" s="75" t="s">
        <v>229</v>
      </c>
      <c r="H123" s="75" t="s">
        <v>229</v>
      </c>
      <c r="I123" s="75" t="s">
        <v>229</v>
      </c>
    </row>
    <row r="124" spans="3:9" x14ac:dyDescent="0.25">
      <c r="C124" s="78" t="s">
        <v>229</v>
      </c>
      <c r="D124" s="78"/>
      <c r="E124" s="81" t="s">
        <v>229</v>
      </c>
      <c r="F124" s="74" t="s">
        <v>229</v>
      </c>
      <c r="G124" s="75" t="s">
        <v>229</v>
      </c>
      <c r="H124" s="75" t="s">
        <v>229</v>
      </c>
      <c r="I124" s="75" t="s">
        <v>229</v>
      </c>
    </row>
    <row r="125" spans="3:9" x14ac:dyDescent="0.25">
      <c r="C125" s="78" t="s">
        <v>229</v>
      </c>
      <c r="D125" s="78"/>
      <c r="E125" s="81" t="s">
        <v>229</v>
      </c>
      <c r="F125" s="74" t="s">
        <v>229</v>
      </c>
      <c r="G125" s="75" t="s">
        <v>229</v>
      </c>
      <c r="H125" s="75" t="s">
        <v>229</v>
      </c>
      <c r="I125" s="75" t="s">
        <v>229</v>
      </c>
    </row>
    <row r="126" spans="3:9" x14ac:dyDescent="0.25">
      <c r="C126" s="78" t="s">
        <v>229</v>
      </c>
      <c r="D126" s="78"/>
      <c r="E126" s="81" t="s">
        <v>229</v>
      </c>
      <c r="F126" s="74" t="s">
        <v>229</v>
      </c>
      <c r="G126" s="75" t="s">
        <v>229</v>
      </c>
      <c r="H126" s="75" t="s">
        <v>229</v>
      </c>
      <c r="I126" s="75" t="s">
        <v>229</v>
      </c>
    </row>
    <row r="127" spans="3:9" x14ac:dyDescent="0.25">
      <c r="C127" s="78" t="s">
        <v>229</v>
      </c>
      <c r="D127" s="78"/>
      <c r="E127" s="81" t="s">
        <v>229</v>
      </c>
      <c r="F127" s="74" t="s">
        <v>229</v>
      </c>
      <c r="G127" s="75" t="s">
        <v>229</v>
      </c>
      <c r="H127" s="75" t="s">
        <v>229</v>
      </c>
      <c r="I127" s="75" t="s">
        <v>229</v>
      </c>
    </row>
    <row r="128" spans="3:9" x14ac:dyDescent="0.25">
      <c r="C128" s="78" t="s">
        <v>229</v>
      </c>
      <c r="D128" s="78"/>
      <c r="E128" s="81" t="s">
        <v>229</v>
      </c>
      <c r="F128" s="74" t="s">
        <v>229</v>
      </c>
      <c r="G128" s="75" t="s">
        <v>229</v>
      </c>
      <c r="H128" s="75" t="s">
        <v>229</v>
      </c>
      <c r="I128" s="75" t="s">
        <v>229</v>
      </c>
    </row>
    <row r="129" spans="3:9" x14ac:dyDescent="0.25">
      <c r="C129" s="78" t="s">
        <v>229</v>
      </c>
      <c r="D129" s="78"/>
      <c r="E129" s="81" t="s">
        <v>229</v>
      </c>
      <c r="F129" s="74" t="s">
        <v>229</v>
      </c>
      <c r="G129" s="75" t="s">
        <v>229</v>
      </c>
      <c r="H129" s="75" t="s">
        <v>229</v>
      </c>
      <c r="I129" s="75" t="s">
        <v>229</v>
      </c>
    </row>
    <row r="130" spans="3:9" x14ac:dyDescent="0.25">
      <c r="C130" s="78" t="s">
        <v>229</v>
      </c>
      <c r="D130" s="78"/>
      <c r="E130" s="81" t="s">
        <v>229</v>
      </c>
      <c r="F130" s="74" t="s">
        <v>229</v>
      </c>
      <c r="G130" s="75" t="s">
        <v>229</v>
      </c>
      <c r="H130" s="75" t="s">
        <v>229</v>
      </c>
      <c r="I130" s="75" t="s">
        <v>229</v>
      </c>
    </row>
    <row r="131" spans="3:9" x14ac:dyDescent="0.25">
      <c r="C131" s="78" t="s">
        <v>229</v>
      </c>
      <c r="D131" s="78"/>
      <c r="E131" s="81" t="s">
        <v>229</v>
      </c>
      <c r="F131" s="74" t="s">
        <v>229</v>
      </c>
      <c r="G131" s="75" t="s">
        <v>229</v>
      </c>
      <c r="H131" s="75" t="s">
        <v>229</v>
      </c>
      <c r="I131" s="75" t="s">
        <v>229</v>
      </c>
    </row>
    <row r="132" spans="3:9" x14ac:dyDescent="0.25">
      <c r="C132" s="78" t="s">
        <v>229</v>
      </c>
      <c r="D132" s="78"/>
      <c r="E132" s="81" t="s">
        <v>229</v>
      </c>
      <c r="F132" s="74" t="s">
        <v>229</v>
      </c>
      <c r="G132" s="75" t="s">
        <v>229</v>
      </c>
      <c r="H132" s="75" t="s">
        <v>229</v>
      </c>
      <c r="I132" s="75" t="s">
        <v>229</v>
      </c>
    </row>
    <row r="133" spans="3:9" x14ac:dyDescent="0.25">
      <c r="C133" s="78" t="s">
        <v>229</v>
      </c>
      <c r="D133" s="78"/>
      <c r="E133" s="81" t="s">
        <v>229</v>
      </c>
      <c r="F133" s="74" t="s">
        <v>229</v>
      </c>
      <c r="G133" s="75" t="s">
        <v>229</v>
      </c>
      <c r="H133" s="75" t="s">
        <v>229</v>
      </c>
      <c r="I133" s="75" t="s">
        <v>229</v>
      </c>
    </row>
    <row r="134" spans="3:9" x14ac:dyDescent="0.25">
      <c r="C134" s="78" t="s">
        <v>229</v>
      </c>
      <c r="D134" s="78"/>
      <c r="E134" s="81" t="s">
        <v>229</v>
      </c>
      <c r="F134" s="74" t="s">
        <v>229</v>
      </c>
      <c r="G134" s="75" t="s">
        <v>229</v>
      </c>
      <c r="H134" s="75" t="s">
        <v>229</v>
      </c>
      <c r="I134" s="75" t="s">
        <v>229</v>
      </c>
    </row>
    <row r="135" spans="3:9" x14ac:dyDescent="0.25">
      <c r="C135" s="78" t="s">
        <v>229</v>
      </c>
      <c r="D135" s="78"/>
      <c r="E135" s="81" t="s">
        <v>229</v>
      </c>
      <c r="F135" s="74" t="s">
        <v>229</v>
      </c>
      <c r="G135" s="75" t="s">
        <v>229</v>
      </c>
      <c r="H135" s="75" t="s">
        <v>229</v>
      </c>
      <c r="I135" s="75" t="s">
        <v>229</v>
      </c>
    </row>
    <row r="136" spans="3:9" x14ac:dyDescent="0.25">
      <c r="C136" s="78" t="s">
        <v>229</v>
      </c>
      <c r="D136" s="78"/>
      <c r="E136" s="81" t="s">
        <v>229</v>
      </c>
      <c r="F136" s="74" t="s">
        <v>229</v>
      </c>
      <c r="G136" s="75" t="s">
        <v>229</v>
      </c>
      <c r="H136" s="75" t="s">
        <v>229</v>
      </c>
      <c r="I136" s="75" t="s">
        <v>229</v>
      </c>
    </row>
    <row r="137" spans="3:9" x14ac:dyDescent="0.25">
      <c r="C137" s="78" t="s">
        <v>229</v>
      </c>
      <c r="D137" s="78"/>
      <c r="E137" s="81" t="s">
        <v>229</v>
      </c>
      <c r="F137" s="74" t="s">
        <v>229</v>
      </c>
      <c r="G137" s="75" t="s">
        <v>229</v>
      </c>
      <c r="H137" s="75" t="s">
        <v>229</v>
      </c>
      <c r="I137" s="75" t="s">
        <v>229</v>
      </c>
    </row>
    <row r="138" spans="3:9" x14ac:dyDescent="0.25">
      <c r="C138" s="78" t="s">
        <v>229</v>
      </c>
      <c r="D138" s="78"/>
      <c r="E138" s="81" t="s">
        <v>229</v>
      </c>
      <c r="F138" s="74" t="s">
        <v>229</v>
      </c>
      <c r="G138" s="75" t="s">
        <v>229</v>
      </c>
      <c r="H138" s="75" t="s">
        <v>229</v>
      </c>
      <c r="I138" s="75" t="s">
        <v>229</v>
      </c>
    </row>
    <row r="139" spans="3:9" x14ac:dyDescent="0.25">
      <c r="C139" s="78" t="s">
        <v>229</v>
      </c>
      <c r="D139" s="78"/>
      <c r="E139" s="81" t="s">
        <v>229</v>
      </c>
      <c r="F139" s="74" t="s">
        <v>229</v>
      </c>
      <c r="G139" s="75" t="s">
        <v>229</v>
      </c>
      <c r="H139" s="75" t="s">
        <v>229</v>
      </c>
      <c r="I139" s="75" t="s">
        <v>229</v>
      </c>
    </row>
    <row r="140" spans="3:9" x14ac:dyDescent="0.25">
      <c r="C140" s="78" t="s">
        <v>229</v>
      </c>
      <c r="D140" s="78"/>
      <c r="E140" s="81" t="s">
        <v>229</v>
      </c>
      <c r="F140" s="74" t="s">
        <v>229</v>
      </c>
      <c r="G140" s="75" t="s">
        <v>229</v>
      </c>
      <c r="H140" s="75" t="s">
        <v>229</v>
      </c>
      <c r="I140" s="75" t="s">
        <v>229</v>
      </c>
    </row>
    <row r="141" spans="3:9" x14ac:dyDescent="0.25">
      <c r="C141" s="78" t="s">
        <v>229</v>
      </c>
      <c r="D141" s="78"/>
      <c r="E141" s="81" t="s">
        <v>229</v>
      </c>
      <c r="F141" s="74" t="s">
        <v>229</v>
      </c>
      <c r="G141" s="75" t="s">
        <v>229</v>
      </c>
      <c r="H141" s="75" t="s">
        <v>229</v>
      </c>
      <c r="I141" s="75" t="s">
        <v>229</v>
      </c>
    </row>
    <row r="142" spans="3:9" x14ac:dyDescent="0.25">
      <c r="C142" s="78" t="s">
        <v>229</v>
      </c>
      <c r="D142" s="78"/>
      <c r="E142" s="81" t="s">
        <v>229</v>
      </c>
      <c r="F142" s="74" t="s">
        <v>229</v>
      </c>
      <c r="G142" s="75" t="s">
        <v>229</v>
      </c>
      <c r="H142" s="75" t="s">
        <v>229</v>
      </c>
      <c r="I142" s="75" t="s">
        <v>229</v>
      </c>
    </row>
    <row r="143" spans="3:9" x14ac:dyDescent="0.25">
      <c r="C143" s="78" t="s">
        <v>229</v>
      </c>
      <c r="D143" s="78"/>
      <c r="E143" s="81" t="s">
        <v>229</v>
      </c>
      <c r="F143" s="74" t="s">
        <v>229</v>
      </c>
      <c r="G143" s="75" t="s">
        <v>229</v>
      </c>
      <c r="H143" s="75" t="s">
        <v>229</v>
      </c>
      <c r="I143" s="75" t="s">
        <v>229</v>
      </c>
    </row>
    <row r="144" spans="3:9" x14ac:dyDescent="0.25">
      <c r="C144" s="78" t="s">
        <v>229</v>
      </c>
      <c r="D144" s="78"/>
      <c r="E144" s="81" t="s">
        <v>229</v>
      </c>
      <c r="F144" s="74" t="s">
        <v>229</v>
      </c>
      <c r="G144" s="75" t="s">
        <v>229</v>
      </c>
      <c r="H144" s="75" t="s">
        <v>229</v>
      </c>
      <c r="I144" s="75" t="s">
        <v>229</v>
      </c>
    </row>
    <row r="145" spans="3:9" x14ac:dyDescent="0.25">
      <c r="C145" s="78" t="s">
        <v>229</v>
      </c>
      <c r="D145" s="78"/>
      <c r="E145" s="81" t="s">
        <v>229</v>
      </c>
      <c r="F145" s="74" t="s">
        <v>229</v>
      </c>
      <c r="G145" s="75" t="s">
        <v>229</v>
      </c>
      <c r="H145" s="75" t="s">
        <v>229</v>
      </c>
      <c r="I145" s="75" t="s">
        <v>229</v>
      </c>
    </row>
    <row r="146" spans="3:9" x14ac:dyDescent="0.25">
      <c r="C146" s="78" t="s">
        <v>229</v>
      </c>
      <c r="D146" s="78"/>
      <c r="E146" s="81" t="s">
        <v>229</v>
      </c>
      <c r="F146" s="74" t="s">
        <v>229</v>
      </c>
      <c r="G146" s="75" t="s">
        <v>229</v>
      </c>
      <c r="H146" s="75" t="s">
        <v>229</v>
      </c>
      <c r="I146" s="75" t="s">
        <v>229</v>
      </c>
    </row>
    <row r="147" spans="3:9" x14ac:dyDescent="0.25">
      <c r="C147" s="78" t="s">
        <v>229</v>
      </c>
      <c r="D147" s="78"/>
      <c r="E147" s="81" t="s">
        <v>229</v>
      </c>
      <c r="F147" s="74" t="s">
        <v>229</v>
      </c>
      <c r="G147" s="75" t="s">
        <v>229</v>
      </c>
      <c r="H147" s="75" t="s">
        <v>229</v>
      </c>
      <c r="I147" s="75" t="s">
        <v>229</v>
      </c>
    </row>
    <row r="148" spans="3:9" x14ac:dyDescent="0.25">
      <c r="C148" s="78" t="s">
        <v>229</v>
      </c>
      <c r="D148" s="78"/>
      <c r="E148" s="81" t="s">
        <v>229</v>
      </c>
      <c r="F148" s="74" t="s">
        <v>229</v>
      </c>
      <c r="G148" s="75" t="s">
        <v>229</v>
      </c>
      <c r="H148" s="75" t="s">
        <v>229</v>
      </c>
      <c r="I148" s="75" t="s">
        <v>229</v>
      </c>
    </row>
    <row r="149" spans="3:9" x14ac:dyDescent="0.25">
      <c r="C149" s="78" t="s">
        <v>229</v>
      </c>
      <c r="D149" s="78"/>
      <c r="E149" s="81" t="s">
        <v>229</v>
      </c>
      <c r="F149" s="74" t="s">
        <v>229</v>
      </c>
      <c r="G149" s="75" t="s">
        <v>229</v>
      </c>
      <c r="H149" s="75" t="s">
        <v>229</v>
      </c>
      <c r="I149" s="75" t="s">
        <v>229</v>
      </c>
    </row>
    <row r="150" spans="3:9" x14ac:dyDescent="0.25">
      <c r="C150" s="78" t="s">
        <v>229</v>
      </c>
      <c r="D150" s="78"/>
      <c r="E150" s="81" t="s">
        <v>229</v>
      </c>
      <c r="F150" s="74" t="s">
        <v>229</v>
      </c>
      <c r="G150" s="75" t="s">
        <v>229</v>
      </c>
      <c r="H150" s="75" t="s">
        <v>229</v>
      </c>
      <c r="I150" s="75" t="s">
        <v>229</v>
      </c>
    </row>
    <row r="151" spans="3:9" x14ac:dyDescent="0.25">
      <c r="C151" s="78" t="s">
        <v>229</v>
      </c>
      <c r="D151" s="78"/>
      <c r="E151" s="81" t="s">
        <v>229</v>
      </c>
      <c r="F151" s="74" t="s">
        <v>229</v>
      </c>
      <c r="G151" s="75" t="s">
        <v>229</v>
      </c>
      <c r="H151" s="75" t="s">
        <v>229</v>
      </c>
      <c r="I151" s="75" t="s">
        <v>229</v>
      </c>
    </row>
    <row r="152" spans="3:9" x14ac:dyDescent="0.25">
      <c r="C152" s="78" t="s">
        <v>229</v>
      </c>
      <c r="D152" s="78"/>
      <c r="E152" s="81" t="s">
        <v>229</v>
      </c>
      <c r="F152" s="74" t="s">
        <v>229</v>
      </c>
      <c r="G152" s="75" t="s">
        <v>229</v>
      </c>
      <c r="H152" s="75" t="s">
        <v>229</v>
      </c>
      <c r="I152" s="75" t="s">
        <v>229</v>
      </c>
    </row>
    <row r="153" spans="3:9" x14ac:dyDescent="0.25">
      <c r="C153" s="78" t="s">
        <v>229</v>
      </c>
      <c r="D153" s="78"/>
      <c r="E153" s="81" t="s">
        <v>229</v>
      </c>
      <c r="F153" s="74" t="s">
        <v>229</v>
      </c>
      <c r="G153" s="75" t="s">
        <v>229</v>
      </c>
      <c r="H153" s="75" t="s">
        <v>229</v>
      </c>
      <c r="I153" s="75" t="s">
        <v>229</v>
      </c>
    </row>
    <row r="154" spans="3:9" x14ac:dyDescent="0.25">
      <c r="C154" s="78" t="s">
        <v>229</v>
      </c>
      <c r="D154" s="78"/>
      <c r="E154" s="81" t="s">
        <v>229</v>
      </c>
      <c r="F154" s="74" t="s">
        <v>229</v>
      </c>
      <c r="G154" s="75" t="s">
        <v>229</v>
      </c>
      <c r="H154" s="75" t="s">
        <v>229</v>
      </c>
      <c r="I154" s="75" t="s">
        <v>229</v>
      </c>
    </row>
    <row r="155" spans="3:9" x14ac:dyDescent="0.25">
      <c r="C155" s="78" t="s">
        <v>229</v>
      </c>
      <c r="D155" s="78"/>
      <c r="E155" s="81" t="s">
        <v>229</v>
      </c>
      <c r="F155" s="74" t="s">
        <v>229</v>
      </c>
      <c r="G155" s="75" t="s">
        <v>229</v>
      </c>
      <c r="H155" s="75" t="s">
        <v>229</v>
      </c>
      <c r="I155" s="75" t="s">
        <v>229</v>
      </c>
    </row>
    <row r="156" spans="3:9" x14ac:dyDescent="0.25">
      <c r="C156" s="78" t="s">
        <v>229</v>
      </c>
      <c r="D156" s="78"/>
      <c r="E156" s="81" t="s">
        <v>229</v>
      </c>
      <c r="F156" s="74" t="s">
        <v>229</v>
      </c>
      <c r="G156" s="75" t="s">
        <v>229</v>
      </c>
      <c r="H156" s="75" t="s">
        <v>229</v>
      </c>
      <c r="I156" s="75" t="s">
        <v>229</v>
      </c>
    </row>
    <row r="157" spans="3:9" x14ac:dyDescent="0.25">
      <c r="C157" s="78" t="s">
        <v>229</v>
      </c>
      <c r="D157" s="78"/>
      <c r="E157" s="81" t="s">
        <v>229</v>
      </c>
      <c r="F157" s="74" t="s">
        <v>229</v>
      </c>
      <c r="G157" s="75" t="s">
        <v>229</v>
      </c>
      <c r="H157" s="75" t="s">
        <v>229</v>
      </c>
      <c r="I157" s="75" t="s">
        <v>229</v>
      </c>
    </row>
    <row r="158" spans="3:9" x14ac:dyDescent="0.25">
      <c r="C158" s="78" t="s">
        <v>229</v>
      </c>
      <c r="D158" s="78"/>
      <c r="E158" s="81" t="s">
        <v>229</v>
      </c>
      <c r="F158" s="74" t="s">
        <v>229</v>
      </c>
      <c r="G158" s="75" t="s">
        <v>229</v>
      </c>
      <c r="H158" s="75" t="s">
        <v>229</v>
      </c>
      <c r="I158" s="75" t="s">
        <v>229</v>
      </c>
    </row>
    <row r="159" spans="3:9" x14ac:dyDescent="0.25">
      <c r="C159" s="78" t="s">
        <v>229</v>
      </c>
      <c r="D159" s="78"/>
      <c r="E159" s="81" t="s">
        <v>229</v>
      </c>
      <c r="F159" s="74" t="s">
        <v>229</v>
      </c>
      <c r="G159" s="75" t="s">
        <v>229</v>
      </c>
      <c r="H159" s="75" t="s">
        <v>229</v>
      </c>
      <c r="I159" s="75" t="s">
        <v>229</v>
      </c>
    </row>
    <row r="160" spans="3:9" x14ac:dyDescent="0.25">
      <c r="C160" s="78" t="s">
        <v>229</v>
      </c>
      <c r="D160" s="78"/>
      <c r="E160" s="81" t="s">
        <v>229</v>
      </c>
      <c r="F160" s="74" t="s">
        <v>229</v>
      </c>
      <c r="G160" s="75" t="s">
        <v>229</v>
      </c>
      <c r="H160" s="75" t="s">
        <v>229</v>
      </c>
      <c r="I160" s="75" t="s">
        <v>229</v>
      </c>
    </row>
    <row r="161" spans="3:9" x14ac:dyDescent="0.25">
      <c r="C161" s="78" t="s">
        <v>229</v>
      </c>
      <c r="D161" s="78"/>
      <c r="E161" s="81" t="s">
        <v>229</v>
      </c>
      <c r="F161" s="74" t="s">
        <v>229</v>
      </c>
      <c r="G161" s="75" t="s">
        <v>229</v>
      </c>
      <c r="H161" s="75" t="s">
        <v>229</v>
      </c>
      <c r="I161" s="75" t="s">
        <v>229</v>
      </c>
    </row>
    <row r="162" spans="3:9" x14ac:dyDescent="0.25">
      <c r="C162" s="78" t="s">
        <v>229</v>
      </c>
      <c r="D162" s="78"/>
      <c r="E162" s="81" t="s">
        <v>229</v>
      </c>
      <c r="F162" s="74" t="s">
        <v>229</v>
      </c>
      <c r="G162" s="75" t="s">
        <v>229</v>
      </c>
      <c r="H162" s="75" t="s">
        <v>229</v>
      </c>
      <c r="I162" s="75" t="s">
        <v>229</v>
      </c>
    </row>
    <row r="163" spans="3:9" x14ac:dyDescent="0.25">
      <c r="C163" s="78" t="s">
        <v>229</v>
      </c>
      <c r="D163" s="78"/>
      <c r="E163" s="81" t="s">
        <v>229</v>
      </c>
      <c r="F163" s="74" t="s">
        <v>229</v>
      </c>
      <c r="G163" s="75" t="s">
        <v>229</v>
      </c>
      <c r="H163" s="75" t="s">
        <v>229</v>
      </c>
      <c r="I163" s="75" t="s">
        <v>229</v>
      </c>
    </row>
    <row r="164" spans="3:9" x14ac:dyDescent="0.25">
      <c r="C164" s="78" t="s">
        <v>229</v>
      </c>
      <c r="D164" s="78"/>
      <c r="E164" s="81" t="s">
        <v>229</v>
      </c>
      <c r="F164" s="74" t="s">
        <v>229</v>
      </c>
      <c r="G164" s="75" t="s">
        <v>229</v>
      </c>
      <c r="H164" s="75" t="s">
        <v>229</v>
      </c>
      <c r="I164" s="75" t="s">
        <v>229</v>
      </c>
    </row>
    <row r="165" spans="3:9" x14ac:dyDescent="0.25">
      <c r="C165" s="78" t="s">
        <v>229</v>
      </c>
      <c r="D165" s="78"/>
      <c r="E165" s="81" t="s">
        <v>229</v>
      </c>
      <c r="F165" s="74" t="s">
        <v>229</v>
      </c>
      <c r="G165" s="75" t="s">
        <v>229</v>
      </c>
      <c r="H165" s="75" t="s">
        <v>229</v>
      </c>
      <c r="I165" s="75" t="s">
        <v>229</v>
      </c>
    </row>
    <row r="166" spans="3:9" x14ac:dyDescent="0.25">
      <c r="C166" s="78" t="s">
        <v>229</v>
      </c>
      <c r="D166" s="78"/>
      <c r="E166" s="81" t="s">
        <v>229</v>
      </c>
      <c r="F166" s="74" t="s">
        <v>229</v>
      </c>
      <c r="G166" s="75" t="s">
        <v>229</v>
      </c>
      <c r="H166" s="75" t="s">
        <v>229</v>
      </c>
      <c r="I166" s="75" t="s">
        <v>229</v>
      </c>
    </row>
    <row r="167" spans="3:9" x14ac:dyDescent="0.25">
      <c r="C167" s="78" t="s">
        <v>229</v>
      </c>
      <c r="D167" s="78"/>
      <c r="E167" s="81" t="s">
        <v>229</v>
      </c>
      <c r="F167" s="74" t="s">
        <v>229</v>
      </c>
      <c r="G167" s="75" t="s">
        <v>229</v>
      </c>
      <c r="H167" s="75" t="s">
        <v>229</v>
      </c>
      <c r="I167" s="75" t="s">
        <v>229</v>
      </c>
    </row>
    <row r="168" spans="3:9" x14ac:dyDescent="0.25">
      <c r="C168" s="78" t="s">
        <v>229</v>
      </c>
      <c r="D168" s="78"/>
      <c r="E168" s="81" t="s">
        <v>229</v>
      </c>
      <c r="F168" s="74" t="s">
        <v>229</v>
      </c>
      <c r="G168" s="75" t="s">
        <v>229</v>
      </c>
      <c r="H168" s="75" t="s">
        <v>229</v>
      </c>
      <c r="I168" s="75" t="s">
        <v>229</v>
      </c>
    </row>
    <row r="169" spans="3:9" x14ac:dyDescent="0.25">
      <c r="C169" s="78" t="s">
        <v>229</v>
      </c>
      <c r="D169" s="78"/>
      <c r="E169" s="81" t="s">
        <v>229</v>
      </c>
      <c r="F169" s="74" t="s">
        <v>229</v>
      </c>
      <c r="G169" s="75" t="s">
        <v>229</v>
      </c>
      <c r="H169" s="75" t="s">
        <v>229</v>
      </c>
      <c r="I169" s="75" t="s">
        <v>229</v>
      </c>
    </row>
    <row r="170" spans="3:9" x14ac:dyDescent="0.25">
      <c r="C170" s="78" t="s">
        <v>229</v>
      </c>
      <c r="D170" s="78"/>
      <c r="E170" s="81" t="s">
        <v>229</v>
      </c>
      <c r="F170" s="74" t="s">
        <v>229</v>
      </c>
      <c r="G170" s="75" t="s">
        <v>229</v>
      </c>
      <c r="H170" s="75" t="s">
        <v>229</v>
      </c>
      <c r="I170" s="75" t="s">
        <v>229</v>
      </c>
    </row>
    <row r="171" spans="3:9" x14ac:dyDescent="0.25">
      <c r="C171" s="78" t="s">
        <v>229</v>
      </c>
      <c r="D171" s="78"/>
      <c r="E171" s="81" t="s">
        <v>229</v>
      </c>
      <c r="F171" s="74" t="s">
        <v>229</v>
      </c>
      <c r="G171" s="75" t="s">
        <v>229</v>
      </c>
      <c r="H171" s="75" t="s">
        <v>229</v>
      </c>
      <c r="I171" s="75" t="s">
        <v>229</v>
      </c>
    </row>
    <row r="172" spans="3:9" x14ac:dyDescent="0.25">
      <c r="C172" s="78" t="s">
        <v>229</v>
      </c>
      <c r="D172" s="78"/>
      <c r="E172" s="81" t="s">
        <v>229</v>
      </c>
      <c r="F172" s="74" t="s">
        <v>229</v>
      </c>
      <c r="G172" s="75" t="s">
        <v>229</v>
      </c>
      <c r="H172" s="75" t="s">
        <v>229</v>
      </c>
      <c r="I172" s="75" t="s">
        <v>229</v>
      </c>
    </row>
    <row r="173" spans="3:9" x14ac:dyDescent="0.25">
      <c r="C173" s="78" t="s">
        <v>229</v>
      </c>
      <c r="D173" s="78"/>
      <c r="E173" s="81" t="s">
        <v>229</v>
      </c>
      <c r="F173" s="74" t="s">
        <v>229</v>
      </c>
      <c r="G173" s="75" t="s">
        <v>229</v>
      </c>
      <c r="H173" s="75" t="s">
        <v>229</v>
      </c>
      <c r="I173" s="75" t="s">
        <v>229</v>
      </c>
    </row>
    <row r="174" spans="3:9" x14ac:dyDescent="0.25">
      <c r="C174" s="78" t="s">
        <v>229</v>
      </c>
      <c r="D174" s="78"/>
      <c r="E174" s="81" t="s">
        <v>229</v>
      </c>
      <c r="F174" s="74" t="s">
        <v>229</v>
      </c>
      <c r="G174" s="75" t="s">
        <v>229</v>
      </c>
      <c r="H174" s="75" t="s">
        <v>229</v>
      </c>
      <c r="I174" s="75" t="s">
        <v>229</v>
      </c>
    </row>
    <row r="175" spans="3:9" x14ac:dyDescent="0.25">
      <c r="C175" s="78" t="s">
        <v>229</v>
      </c>
      <c r="D175" s="78"/>
      <c r="E175" s="81" t="s">
        <v>229</v>
      </c>
      <c r="F175" s="74" t="s">
        <v>229</v>
      </c>
      <c r="G175" s="75" t="s">
        <v>229</v>
      </c>
      <c r="H175" s="75" t="s">
        <v>229</v>
      </c>
      <c r="I175" s="75" t="s">
        <v>229</v>
      </c>
    </row>
    <row r="176" spans="3:9" x14ac:dyDescent="0.25">
      <c r="C176" s="78" t="s">
        <v>229</v>
      </c>
      <c r="D176" s="78"/>
      <c r="E176" s="81" t="s">
        <v>229</v>
      </c>
      <c r="F176" s="74" t="s">
        <v>229</v>
      </c>
      <c r="G176" s="75" t="s">
        <v>229</v>
      </c>
      <c r="H176" s="75" t="s">
        <v>229</v>
      </c>
      <c r="I176" s="75" t="s">
        <v>229</v>
      </c>
    </row>
    <row r="177" spans="3:9" x14ac:dyDescent="0.25">
      <c r="C177" s="78" t="s">
        <v>229</v>
      </c>
      <c r="D177" s="78"/>
      <c r="E177" s="81" t="s">
        <v>229</v>
      </c>
      <c r="F177" s="74" t="s">
        <v>229</v>
      </c>
      <c r="G177" s="75" t="s">
        <v>229</v>
      </c>
      <c r="H177" s="75" t="s">
        <v>229</v>
      </c>
      <c r="I177" s="75" t="s">
        <v>229</v>
      </c>
    </row>
    <row r="178" spans="3:9" x14ac:dyDescent="0.25">
      <c r="C178" s="78" t="s">
        <v>229</v>
      </c>
      <c r="D178" s="78"/>
      <c r="E178" s="81" t="s">
        <v>229</v>
      </c>
      <c r="F178" s="74" t="s">
        <v>229</v>
      </c>
      <c r="G178" s="75" t="s">
        <v>229</v>
      </c>
      <c r="H178" s="75" t="s">
        <v>229</v>
      </c>
      <c r="I178" s="75" t="s">
        <v>229</v>
      </c>
    </row>
    <row r="179" spans="3:9" x14ac:dyDescent="0.25">
      <c r="C179" s="78" t="s">
        <v>229</v>
      </c>
      <c r="D179" s="78"/>
      <c r="E179" s="81" t="s">
        <v>229</v>
      </c>
      <c r="F179" s="74" t="s">
        <v>229</v>
      </c>
      <c r="G179" s="75" t="s">
        <v>229</v>
      </c>
      <c r="H179" s="75" t="s">
        <v>229</v>
      </c>
      <c r="I179" s="75" t="s">
        <v>229</v>
      </c>
    </row>
    <row r="180" spans="3:9" x14ac:dyDescent="0.25">
      <c r="C180" s="78" t="s">
        <v>229</v>
      </c>
      <c r="D180" s="78"/>
      <c r="E180" s="81" t="s">
        <v>229</v>
      </c>
      <c r="F180" s="74" t="s">
        <v>229</v>
      </c>
      <c r="G180" s="75" t="s">
        <v>229</v>
      </c>
      <c r="H180" s="75" t="s">
        <v>229</v>
      </c>
      <c r="I180" s="75" t="s">
        <v>229</v>
      </c>
    </row>
    <row r="181" spans="3:9" x14ac:dyDescent="0.25">
      <c r="C181" s="78" t="s">
        <v>229</v>
      </c>
      <c r="D181" s="78"/>
      <c r="E181" s="81" t="s">
        <v>229</v>
      </c>
      <c r="F181" s="74" t="s">
        <v>229</v>
      </c>
      <c r="G181" s="75" t="s">
        <v>229</v>
      </c>
      <c r="H181" s="75" t="s">
        <v>229</v>
      </c>
      <c r="I181" s="75" t="s">
        <v>229</v>
      </c>
    </row>
    <row r="182" spans="3:9" x14ac:dyDescent="0.25">
      <c r="C182" s="78" t="s">
        <v>229</v>
      </c>
      <c r="D182" s="78"/>
      <c r="E182" s="81" t="s">
        <v>229</v>
      </c>
      <c r="F182" s="74" t="s">
        <v>229</v>
      </c>
      <c r="G182" s="75" t="s">
        <v>229</v>
      </c>
      <c r="H182" s="75" t="s">
        <v>229</v>
      </c>
      <c r="I182" s="75" t="s">
        <v>229</v>
      </c>
    </row>
    <row r="183" spans="3:9" x14ac:dyDescent="0.25">
      <c r="C183" s="78" t="s">
        <v>229</v>
      </c>
      <c r="D183" s="78"/>
      <c r="E183" s="81" t="s">
        <v>229</v>
      </c>
      <c r="F183" s="74" t="s">
        <v>229</v>
      </c>
      <c r="G183" s="75" t="s">
        <v>229</v>
      </c>
      <c r="H183" s="75" t="s">
        <v>229</v>
      </c>
      <c r="I183" s="75" t="s">
        <v>229</v>
      </c>
    </row>
    <row r="184" spans="3:9" x14ac:dyDescent="0.25">
      <c r="C184" s="78" t="s">
        <v>229</v>
      </c>
      <c r="D184" s="78"/>
      <c r="E184" s="81" t="s">
        <v>229</v>
      </c>
      <c r="F184" s="74" t="s">
        <v>229</v>
      </c>
      <c r="G184" s="75" t="s">
        <v>229</v>
      </c>
      <c r="H184" s="75" t="s">
        <v>229</v>
      </c>
      <c r="I184" s="75" t="s">
        <v>229</v>
      </c>
    </row>
    <row r="185" spans="3:9" x14ac:dyDescent="0.25">
      <c r="C185" s="78" t="s">
        <v>229</v>
      </c>
      <c r="D185" s="78"/>
      <c r="E185" s="81" t="s">
        <v>229</v>
      </c>
      <c r="F185" s="74" t="s">
        <v>229</v>
      </c>
      <c r="G185" s="75" t="s">
        <v>229</v>
      </c>
      <c r="H185" s="75" t="s">
        <v>229</v>
      </c>
      <c r="I185" s="75" t="s">
        <v>229</v>
      </c>
    </row>
    <row r="186" spans="3:9" x14ac:dyDescent="0.25">
      <c r="C186" s="78" t="s">
        <v>229</v>
      </c>
      <c r="D186" s="78"/>
      <c r="E186" s="81" t="s">
        <v>229</v>
      </c>
      <c r="F186" s="74" t="s">
        <v>229</v>
      </c>
      <c r="G186" s="75" t="s">
        <v>229</v>
      </c>
      <c r="H186" s="75" t="s">
        <v>229</v>
      </c>
      <c r="I186" s="75" t="s">
        <v>229</v>
      </c>
    </row>
    <row r="187" spans="3:9" x14ac:dyDescent="0.25">
      <c r="C187" s="78" t="s">
        <v>229</v>
      </c>
      <c r="D187" s="78"/>
      <c r="E187" s="81" t="s">
        <v>229</v>
      </c>
      <c r="F187" s="74" t="s">
        <v>229</v>
      </c>
      <c r="G187" s="75" t="s">
        <v>229</v>
      </c>
      <c r="H187" s="75" t="s">
        <v>229</v>
      </c>
      <c r="I187" s="75" t="s">
        <v>229</v>
      </c>
    </row>
    <row r="188" spans="3:9" x14ac:dyDescent="0.25">
      <c r="C188" s="78" t="s">
        <v>229</v>
      </c>
      <c r="D188" s="78"/>
      <c r="E188" s="81" t="s">
        <v>229</v>
      </c>
      <c r="F188" s="74" t="s">
        <v>229</v>
      </c>
      <c r="G188" s="75" t="s">
        <v>229</v>
      </c>
      <c r="H188" s="75" t="s">
        <v>229</v>
      </c>
      <c r="I188" s="75" t="s">
        <v>229</v>
      </c>
    </row>
    <row r="189" spans="3:9" x14ac:dyDescent="0.25">
      <c r="C189" s="78" t="s">
        <v>229</v>
      </c>
      <c r="D189" s="78"/>
      <c r="E189" s="81" t="s">
        <v>229</v>
      </c>
      <c r="F189" s="74" t="s">
        <v>229</v>
      </c>
      <c r="G189" s="75" t="s">
        <v>229</v>
      </c>
      <c r="H189" s="75" t="s">
        <v>229</v>
      </c>
      <c r="I189" s="75" t="s">
        <v>229</v>
      </c>
    </row>
    <row r="190" spans="3:9" x14ac:dyDescent="0.25">
      <c r="C190" s="78" t="s">
        <v>229</v>
      </c>
      <c r="D190" s="78"/>
      <c r="E190" s="81" t="s">
        <v>229</v>
      </c>
      <c r="F190" s="74" t="s">
        <v>229</v>
      </c>
      <c r="G190" s="75" t="s">
        <v>229</v>
      </c>
      <c r="H190" s="75" t="s">
        <v>229</v>
      </c>
      <c r="I190" s="75" t="s">
        <v>229</v>
      </c>
    </row>
    <row r="191" spans="3:9" x14ac:dyDescent="0.25">
      <c r="C191" s="78" t="s">
        <v>229</v>
      </c>
      <c r="D191" s="78"/>
      <c r="E191" s="81" t="s">
        <v>229</v>
      </c>
      <c r="F191" s="74" t="s">
        <v>229</v>
      </c>
      <c r="G191" s="75" t="s">
        <v>229</v>
      </c>
      <c r="H191" s="75" t="s">
        <v>229</v>
      </c>
      <c r="I191" s="75" t="s">
        <v>229</v>
      </c>
    </row>
    <row r="192" spans="3:9" x14ac:dyDescent="0.25">
      <c r="C192" s="78" t="s">
        <v>229</v>
      </c>
      <c r="D192" s="78"/>
      <c r="E192" s="81" t="s">
        <v>229</v>
      </c>
      <c r="F192" s="74" t="s">
        <v>229</v>
      </c>
      <c r="G192" s="75" t="s">
        <v>229</v>
      </c>
      <c r="H192" s="75" t="s">
        <v>229</v>
      </c>
      <c r="I192" s="75" t="s">
        <v>229</v>
      </c>
    </row>
    <row r="193" spans="3:9" x14ac:dyDescent="0.25">
      <c r="C193" s="78" t="s">
        <v>229</v>
      </c>
      <c r="D193" s="78"/>
      <c r="E193" s="81" t="s">
        <v>229</v>
      </c>
      <c r="F193" s="74" t="s">
        <v>229</v>
      </c>
      <c r="G193" s="75" t="s">
        <v>229</v>
      </c>
      <c r="H193" s="75" t="s">
        <v>229</v>
      </c>
      <c r="I193" s="75" t="s">
        <v>229</v>
      </c>
    </row>
    <row r="194" spans="3:9" x14ac:dyDescent="0.25">
      <c r="C194" s="78" t="s">
        <v>229</v>
      </c>
      <c r="D194" s="78"/>
      <c r="E194" s="81" t="s">
        <v>229</v>
      </c>
      <c r="F194" s="74" t="s">
        <v>229</v>
      </c>
      <c r="G194" s="75" t="s">
        <v>229</v>
      </c>
      <c r="H194" s="75" t="s">
        <v>229</v>
      </c>
      <c r="I194" s="75" t="s">
        <v>229</v>
      </c>
    </row>
    <row r="195" spans="3:9" x14ac:dyDescent="0.25">
      <c r="C195" s="78" t="s">
        <v>229</v>
      </c>
      <c r="D195" s="78"/>
      <c r="E195" s="81" t="s">
        <v>229</v>
      </c>
      <c r="F195" s="74" t="s">
        <v>229</v>
      </c>
      <c r="G195" s="75" t="s">
        <v>229</v>
      </c>
      <c r="H195" s="75" t="s">
        <v>229</v>
      </c>
      <c r="I195" s="75" t="s">
        <v>229</v>
      </c>
    </row>
    <row r="196" spans="3:9" x14ac:dyDescent="0.25">
      <c r="C196" s="78" t="s">
        <v>229</v>
      </c>
      <c r="D196" s="78"/>
      <c r="E196" s="81" t="s">
        <v>229</v>
      </c>
      <c r="F196" s="74" t="s">
        <v>229</v>
      </c>
      <c r="G196" s="75" t="s">
        <v>229</v>
      </c>
      <c r="H196" s="75" t="s">
        <v>229</v>
      </c>
      <c r="I196" s="75" t="s">
        <v>229</v>
      </c>
    </row>
    <row r="197" spans="3:9" x14ac:dyDescent="0.25">
      <c r="C197" s="78" t="s">
        <v>229</v>
      </c>
      <c r="D197" s="78"/>
      <c r="E197" s="81" t="s">
        <v>229</v>
      </c>
      <c r="F197" s="74" t="s">
        <v>229</v>
      </c>
      <c r="G197" s="75" t="s">
        <v>229</v>
      </c>
      <c r="H197" s="75" t="s">
        <v>229</v>
      </c>
      <c r="I197" s="75" t="s">
        <v>229</v>
      </c>
    </row>
    <row r="198" spans="3:9" x14ac:dyDescent="0.25">
      <c r="C198" s="78" t="s">
        <v>229</v>
      </c>
      <c r="D198" s="78"/>
      <c r="E198" s="81" t="s">
        <v>229</v>
      </c>
      <c r="F198" s="74" t="s">
        <v>229</v>
      </c>
      <c r="G198" s="75" t="s">
        <v>229</v>
      </c>
      <c r="H198" s="75" t="s">
        <v>229</v>
      </c>
      <c r="I198" s="75" t="s">
        <v>229</v>
      </c>
    </row>
    <row r="199" spans="3:9" x14ac:dyDescent="0.25">
      <c r="C199" s="78" t="s">
        <v>229</v>
      </c>
      <c r="D199" s="78"/>
      <c r="E199" s="81" t="s">
        <v>229</v>
      </c>
      <c r="F199" s="74" t="s">
        <v>229</v>
      </c>
      <c r="G199" s="75" t="s">
        <v>229</v>
      </c>
      <c r="H199" s="75" t="s">
        <v>229</v>
      </c>
      <c r="I199" s="75" t="s">
        <v>229</v>
      </c>
    </row>
    <row r="200" spans="3:9" x14ac:dyDescent="0.25">
      <c r="C200" s="78" t="s">
        <v>229</v>
      </c>
      <c r="D200" s="78"/>
      <c r="E200" s="81" t="s">
        <v>229</v>
      </c>
      <c r="F200" s="74" t="s">
        <v>229</v>
      </c>
      <c r="G200" s="75" t="s">
        <v>229</v>
      </c>
      <c r="H200" s="75" t="s">
        <v>229</v>
      </c>
      <c r="I200" s="75" t="s">
        <v>229</v>
      </c>
    </row>
    <row r="201" spans="3:9" x14ac:dyDescent="0.25">
      <c r="C201" s="78" t="s">
        <v>229</v>
      </c>
      <c r="D201" s="78"/>
      <c r="E201" s="81" t="s">
        <v>229</v>
      </c>
      <c r="F201" s="74" t="s">
        <v>229</v>
      </c>
      <c r="G201" s="75" t="s">
        <v>229</v>
      </c>
      <c r="H201" s="75" t="s">
        <v>229</v>
      </c>
      <c r="I201" s="75" t="s">
        <v>229</v>
      </c>
    </row>
    <row r="202" spans="3:9" x14ac:dyDescent="0.25">
      <c r="C202" s="78" t="s">
        <v>229</v>
      </c>
      <c r="D202" s="78"/>
      <c r="E202" s="81" t="s">
        <v>229</v>
      </c>
      <c r="F202" s="74" t="s">
        <v>229</v>
      </c>
      <c r="G202" s="75" t="s">
        <v>229</v>
      </c>
      <c r="H202" s="75" t="s">
        <v>229</v>
      </c>
      <c r="I202" s="75" t="s">
        <v>229</v>
      </c>
    </row>
    <row r="203" spans="3:9" x14ac:dyDescent="0.25">
      <c r="C203" s="78" t="s">
        <v>229</v>
      </c>
      <c r="D203" s="78"/>
      <c r="E203" s="81" t="s">
        <v>229</v>
      </c>
      <c r="F203" s="74" t="s">
        <v>229</v>
      </c>
      <c r="G203" s="75" t="s">
        <v>229</v>
      </c>
      <c r="H203" s="75" t="s">
        <v>229</v>
      </c>
      <c r="I203" s="75" t="s">
        <v>229</v>
      </c>
    </row>
    <row r="204" spans="3:9" x14ac:dyDescent="0.25">
      <c r="C204" s="78" t="s">
        <v>229</v>
      </c>
      <c r="D204" s="78"/>
      <c r="E204" s="81" t="s">
        <v>229</v>
      </c>
      <c r="F204" s="74" t="s">
        <v>229</v>
      </c>
      <c r="G204" s="75" t="s">
        <v>229</v>
      </c>
      <c r="H204" s="75" t="s">
        <v>229</v>
      </c>
      <c r="I204" s="75" t="s">
        <v>229</v>
      </c>
    </row>
    <row r="205" spans="3:9" x14ac:dyDescent="0.25">
      <c r="C205" s="78" t="s">
        <v>229</v>
      </c>
      <c r="D205" s="78"/>
      <c r="E205" s="81" t="s">
        <v>229</v>
      </c>
      <c r="F205" s="74" t="s">
        <v>229</v>
      </c>
      <c r="G205" s="75" t="s">
        <v>229</v>
      </c>
      <c r="H205" s="75" t="s">
        <v>229</v>
      </c>
      <c r="I205" s="75" t="s">
        <v>229</v>
      </c>
    </row>
    <row r="206" spans="3:9" x14ac:dyDescent="0.25">
      <c r="C206" s="78" t="s">
        <v>229</v>
      </c>
      <c r="D206" s="78"/>
      <c r="E206" s="81" t="s">
        <v>229</v>
      </c>
      <c r="F206" s="74" t="s">
        <v>229</v>
      </c>
      <c r="G206" s="75" t="s">
        <v>229</v>
      </c>
      <c r="H206" s="75" t="s">
        <v>229</v>
      </c>
      <c r="I206" s="75" t="s">
        <v>229</v>
      </c>
    </row>
    <row r="207" spans="3:9" x14ac:dyDescent="0.25">
      <c r="C207" s="78" t="s">
        <v>229</v>
      </c>
      <c r="D207" s="78"/>
      <c r="E207" s="81" t="s">
        <v>229</v>
      </c>
      <c r="F207" s="74" t="s">
        <v>229</v>
      </c>
      <c r="G207" s="75" t="s">
        <v>229</v>
      </c>
      <c r="H207" s="75" t="s">
        <v>229</v>
      </c>
      <c r="I207" s="75" t="s">
        <v>229</v>
      </c>
    </row>
    <row r="208" spans="3:9" x14ac:dyDescent="0.25">
      <c r="C208" s="78" t="s">
        <v>229</v>
      </c>
      <c r="D208" s="78"/>
      <c r="E208" s="81" t="s">
        <v>229</v>
      </c>
      <c r="F208" s="74" t="s">
        <v>229</v>
      </c>
      <c r="G208" s="75" t="s">
        <v>229</v>
      </c>
      <c r="H208" s="75" t="s">
        <v>229</v>
      </c>
      <c r="I208" s="75" t="s">
        <v>229</v>
      </c>
    </row>
    <row r="209" spans="3:9" x14ac:dyDescent="0.25">
      <c r="C209" s="78" t="s">
        <v>229</v>
      </c>
      <c r="D209" s="78"/>
      <c r="E209" s="81" t="s">
        <v>229</v>
      </c>
      <c r="F209" s="74" t="s">
        <v>229</v>
      </c>
      <c r="G209" s="75" t="s">
        <v>229</v>
      </c>
      <c r="H209" s="75" t="s">
        <v>229</v>
      </c>
      <c r="I209" s="75" t="s">
        <v>229</v>
      </c>
    </row>
    <row r="210" spans="3:9" x14ac:dyDescent="0.25">
      <c r="C210" s="78" t="s">
        <v>229</v>
      </c>
      <c r="D210" s="78"/>
      <c r="E210" s="81" t="s">
        <v>229</v>
      </c>
      <c r="F210" s="74" t="s">
        <v>229</v>
      </c>
      <c r="G210" s="75" t="s">
        <v>229</v>
      </c>
      <c r="H210" s="75" t="s">
        <v>229</v>
      </c>
      <c r="I210" s="75" t="s">
        <v>229</v>
      </c>
    </row>
    <row r="211" spans="3:9" x14ac:dyDescent="0.25">
      <c r="C211" s="78" t="s">
        <v>229</v>
      </c>
      <c r="D211" s="78"/>
      <c r="E211" s="81" t="s">
        <v>229</v>
      </c>
      <c r="F211" s="74" t="s">
        <v>229</v>
      </c>
      <c r="G211" s="75" t="s">
        <v>229</v>
      </c>
      <c r="H211" s="75" t="s">
        <v>229</v>
      </c>
      <c r="I211" s="75" t="s">
        <v>229</v>
      </c>
    </row>
    <row r="212" spans="3:9" x14ac:dyDescent="0.25">
      <c r="C212" s="78" t="s">
        <v>229</v>
      </c>
      <c r="D212" s="78"/>
      <c r="E212" s="81" t="s">
        <v>229</v>
      </c>
      <c r="F212" s="74" t="s">
        <v>229</v>
      </c>
      <c r="G212" s="75" t="s">
        <v>229</v>
      </c>
      <c r="H212" s="75" t="s">
        <v>229</v>
      </c>
      <c r="I212" s="75" t="s">
        <v>229</v>
      </c>
    </row>
    <row r="213" spans="3:9" x14ac:dyDescent="0.25">
      <c r="C213" s="78" t="s">
        <v>229</v>
      </c>
      <c r="D213" s="78"/>
      <c r="E213" s="81" t="s">
        <v>229</v>
      </c>
      <c r="F213" s="74" t="s">
        <v>229</v>
      </c>
      <c r="G213" s="75" t="s">
        <v>229</v>
      </c>
      <c r="H213" s="75" t="s">
        <v>229</v>
      </c>
      <c r="I213" s="75" t="s">
        <v>229</v>
      </c>
    </row>
    <row r="214" spans="3:9" x14ac:dyDescent="0.25">
      <c r="C214" s="78" t="s">
        <v>229</v>
      </c>
      <c r="D214" s="78"/>
      <c r="E214" s="81" t="s">
        <v>229</v>
      </c>
      <c r="F214" s="74" t="s">
        <v>229</v>
      </c>
      <c r="G214" s="75" t="s">
        <v>229</v>
      </c>
      <c r="H214" s="75" t="s">
        <v>229</v>
      </c>
      <c r="I214" s="75" t="s">
        <v>229</v>
      </c>
    </row>
    <row r="215" spans="3:9" x14ac:dyDescent="0.25">
      <c r="C215" s="78" t="s">
        <v>229</v>
      </c>
      <c r="D215" s="78"/>
      <c r="E215" s="81" t="s">
        <v>229</v>
      </c>
      <c r="F215" s="74" t="s">
        <v>229</v>
      </c>
      <c r="G215" s="75" t="s">
        <v>229</v>
      </c>
      <c r="H215" s="75" t="s">
        <v>229</v>
      </c>
      <c r="I215" s="75" t="s">
        <v>229</v>
      </c>
    </row>
    <row r="216" spans="3:9" x14ac:dyDescent="0.25">
      <c r="C216" s="78" t="s">
        <v>229</v>
      </c>
      <c r="D216" s="78"/>
      <c r="E216" s="81" t="s">
        <v>229</v>
      </c>
      <c r="F216" s="74" t="s">
        <v>229</v>
      </c>
      <c r="G216" s="75" t="s">
        <v>229</v>
      </c>
      <c r="H216" s="75" t="s">
        <v>229</v>
      </c>
      <c r="I216" s="75" t="s">
        <v>229</v>
      </c>
    </row>
    <row r="217" spans="3:9" x14ac:dyDescent="0.25">
      <c r="C217" s="78" t="s">
        <v>229</v>
      </c>
      <c r="D217" s="78"/>
      <c r="E217" s="81" t="s">
        <v>229</v>
      </c>
      <c r="F217" s="74" t="s">
        <v>229</v>
      </c>
      <c r="G217" s="75" t="s">
        <v>229</v>
      </c>
      <c r="H217" s="75" t="s">
        <v>229</v>
      </c>
      <c r="I217" s="75" t="s">
        <v>229</v>
      </c>
    </row>
    <row r="218" spans="3:9" x14ac:dyDescent="0.25">
      <c r="C218" s="78" t="s">
        <v>229</v>
      </c>
      <c r="D218" s="78"/>
      <c r="E218" s="81" t="s">
        <v>229</v>
      </c>
      <c r="F218" s="74" t="s">
        <v>229</v>
      </c>
      <c r="G218" s="75" t="s">
        <v>229</v>
      </c>
      <c r="H218" s="75" t="s">
        <v>229</v>
      </c>
      <c r="I218" s="75" t="s">
        <v>229</v>
      </c>
    </row>
    <row r="219" spans="3:9" x14ac:dyDescent="0.25">
      <c r="C219" s="78" t="s">
        <v>229</v>
      </c>
      <c r="D219" s="78"/>
      <c r="E219" s="81" t="s">
        <v>229</v>
      </c>
      <c r="F219" s="74" t="s">
        <v>229</v>
      </c>
      <c r="G219" s="75" t="s">
        <v>229</v>
      </c>
      <c r="H219" s="75" t="s">
        <v>229</v>
      </c>
      <c r="I219" s="75" t="s">
        <v>229</v>
      </c>
    </row>
    <row r="220" spans="3:9" x14ac:dyDescent="0.25">
      <c r="C220" s="78" t="s">
        <v>229</v>
      </c>
      <c r="D220" s="78"/>
      <c r="E220" s="81" t="s">
        <v>229</v>
      </c>
      <c r="F220" s="74" t="s">
        <v>229</v>
      </c>
      <c r="G220" s="75" t="s">
        <v>229</v>
      </c>
      <c r="H220" s="75" t="s">
        <v>229</v>
      </c>
      <c r="I220" s="75" t="s">
        <v>229</v>
      </c>
    </row>
    <row r="221" spans="3:9" x14ac:dyDescent="0.25">
      <c r="C221" s="78" t="s">
        <v>229</v>
      </c>
      <c r="D221" s="78"/>
      <c r="E221" s="81" t="s">
        <v>229</v>
      </c>
      <c r="F221" s="74" t="s">
        <v>229</v>
      </c>
      <c r="G221" s="75" t="s">
        <v>229</v>
      </c>
      <c r="H221" s="75" t="s">
        <v>229</v>
      </c>
      <c r="I221" s="75" t="s">
        <v>229</v>
      </c>
    </row>
    <row r="222" spans="3:9" x14ac:dyDescent="0.25">
      <c r="C222" s="78" t="s">
        <v>229</v>
      </c>
      <c r="D222" s="78"/>
      <c r="E222" s="81" t="s">
        <v>229</v>
      </c>
      <c r="F222" s="74" t="s">
        <v>229</v>
      </c>
      <c r="G222" s="75" t="s">
        <v>229</v>
      </c>
      <c r="H222" s="75" t="s">
        <v>229</v>
      </c>
      <c r="I222" s="75" t="s">
        <v>229</v>
      </c>
    </row>
    <row r="223" spans="3:9" x14ac:dyDescent="0.25">
      <c r="C223" s="78" t="s">
        <v>229</v>
      </c>
      <c r="D223" s="78"/>
      <c r="E223" s="81" t="s">
        <v>229</v>
      </c>
      <c r="F223" s="74" t="s">
        <v>229</v>
      </c>
      <c r="G223" s="75" t="s">
        <v>229</v>
      </c>
      <c r="H223" s="75" t="s">
        <v>229</v>
      </c>
      <c r="I223" s="75" t="s">
        <v>229</v>
      </c>
    </row>
    <row r="224" spans="3:9" x14ac:dyDescent="0.25">
      <c r="C224" s="78" t="s">
        <v>229</v>
      </c>
      <c r="D224" s="78"/>
      <c r="E224" s="81" t="s">
        <v>229</v>
      </c>
      <c r="F224" s="74" t="s">
        <v>229</v>
      </c>
      <c r="G224" s="75" t="s">
        <v>229</v>
      </c>
      <c r="H224" s="75" t="s">
        <v>229</v>
      </c>
      <c r="I224" s="75" t="s">
        <v>229</v>
      </c>
    </row>
    <row r="225" spans="3:9" x14ac:dyDescent="0.25">
      <c r="C225" s="78" t="s">
        <v>229</v>
      </c>
      <c r="D225" s="78"/>
      <c r="E225" s="81" t="s">
        <v>229</v>
      </c>
      <c r="F225" s="74" t="s">
        <v>229</v>
      </c>
      <c r="G225" s="75" t="s">
        <v>229</v>
      </c>
      <c r="H225" s="75" t="s">
        <v>229</v>
      </c>
      <c r="I225" s="75" t="s">
        <v>229</v>
      </c>
    </row>
    <row r="226" spans="3:9" x14ac:dyDescent="0.25">
      <c r="C226" s="78" t="s">
        <v>229</v>
      </c>
      <c r="D226" s="78"/>
      <c r="E226" s="81" t="s">
        <v>229</v>
      </c>
      <c r="F226" s="74" t="s">
        <v>229</v>
      </c>
      <c r="G226" s="75" t="s">
        <v>229</v>
      </c>
      <c r="H226" s="75" t="s">
        <v>229</v>
      </c>
      <c r="I226" s="75" t="s">
        <v>229</v>
      </c>
    </row>
    <row r="227" spans="3:9" x14ac:dyDescent="0.25">
      <c r="C227" s="78" t="s">
        <v>229</v>
      </c>
      <c r="D227" s="78"/>
      <c r="E227" s="81" t="s">
        <v>229</v>
      </c>
      <c r="F227" s="74" t="s">
        <v>229</v>
      </c>
      <c r="G227" s="75" t="s">
        <v>229</v>
      </c>
      <c r="H227" s="75" t="s">
        <v>229</v>
      </c>
      <c r="I227" s="75" t="s">
        <v>229</v>
      </c>
    </row>
    <row r="228" spans="3:9" x14ac:dyDescent="0.25">
      <c r="C228" s="78" t="s">
        <v>229</v>
      </c>
      <c r="D228" s="78"/>
      <c r="E228" s="81" t="s">
        <v>229</v>
      </c>
      <c r="F228" s="74" t="s">
        <v>229</v>
      </c>
      <c r="G228" s="75" t="s">
        <v>229</v>
      </c>
      <c r="H228" s="75" t="s">
        <v>229</v>
      </c>
      <c r="I228" s="75" t="s">
        <v>229</v>
      </c>
    </row>
    <row r="229" spans="3:9" x14ac:dyDescent="0.25">
      <c r="C229" s="78" t="s">
        <v>229</v>
      </c>
      <c r="D229" s="78"/>
      <c r="E229" s="81" t="s">
        <v>229</v>
      </c>
      <c r="F229" s="74" t="s">
        <v>229</v>
      </c>
      <c r="G229" s="75" t="s">
        <v>229</v>
      </c>
      <c r="H229" s="75" t="s">
        <v>229</v>
      </c>
      <c r="I229" s="75" t="s">
        <v>229</v>
      </c>
    </row>
    <row r="230" spans="3:9" x14ac:dyDescent="0.25">
      <c r="C230" s="78" t="s">
        <v>229</v>
      </c>
      <c r="D230" s="78"/>
      <c r="E230" s="81" t="s">
        <v>229</v>
      </c>
      <c r="F230" s="74" t="s">
        <v>229</v>
      </c>
      <c r="G230" s="75" t="s">
        <v>229</v>
      </c>
      <c r="H230" s="75" t="s">
        <v>229</v>
      </c>
      <c r="I230" s="75" t="s">
        <v>229</v>
      </c>
    </row>
    <row r="231" spans="3:9" x14ac:dyDescent="0.25">
      <c r="C231" s="78" t="s">
        <v>229</v>
      </c>
      <c r="D231" s="78"/>
      <c r="E231" s="81" t="s">
        <v>229</v>
      </c>
      <c r="F231" s="74" t="s">
        <v>229</v>
      </c>
      <c r="G231" s="75" t="s">
        <v>229</v>
      </c>
      <c r="H231" s="75" t="s">
        <v>229</v>
      </c>
      <c r="I231" s="75" t="s">
        <v>229</v>
      </c>
    </row>
    <row r="232" spans="3:9" x14ac:dyDescent="0.25">
      <c r="C232" s="78" t="s">
        <v>229</v>
      </c>
      <c r="D232" s="78"/>
      <c r="E232" s="81" t="s">
        <v>229</v>
      </c>
      <c r="F232" s="74" t="s">
        <v>229</v>
      </c>
      <c r="G232" s="75" t="s">
        <v>229</v>
      </c>
      <c r="H232" s="75" t="s">
        <v>229</v>
      </c>
      <c r="I232" s="75" t="s">
        <v>229</v>
      </c>
    </row>
    <row r="233" spans="3:9" x14ac:dyDescent="0.25">
      <c r="C233" s="78" t="s">
        <v>229</v>
      </c>
      <c r="D233" s="78"/>
      <c r="E233" s="81" t="s">
        <v>229</v>
      </c>
      <c r="F233" s="74" t="s">
        <v>229</v>
      </c>
      <c r="G233" s="75" t="s">
        <v>229</v>
      </c>
      <c r="H233" s="75" t="s">
        <v>229</v>
      </c>
      <c r="I233" s="75" t="s">
        <v>229</v>
      </c>
    </row>
    <row r="234" spans="3:9" x14ac:dyDescent="0.25">
      <c r="C234" s="78" t="s">
        <v>229</v>
      </c>
      <c r="D234" s="78"/>
      <c r="E234" s="81" t="s">
        <v>229</v>
      </c>
      <c r="F234" s="74" t="s">
        <v>229</v>
      </c>
      <c r="G234" s="75" t="s">
        <v>229</v>
      </c>
      <c r="H234" s="75" t="s">
        <v>229</v>
      </c>
      <c r="I234" s="75" t="s">
        <v>229</v>
      </c>
    </row>
    <row r="235" spans="3:9" x14ac:dyDescent="0.25">
      <c r="C235" s="78" t="s">
        <v>229</v>
      </c>
      <c r="D235" s="78"/>
      <c r="E235" s="81" t="s">
        <v>229</v>
      </c>
      <c r="F235" s="74" t="s">
        <v>229</v>
      </c>
      <c r="G235" s="75" t="s">
        <v>229</v>
      </c>
      <c r="H235" s="75" t="s">
        <v>229</v>
      </c>
      <c r="I235" s="75" t="s">
        <v>229</v>
      </c>
    </row>
    <row r="236" spans="3:9" x14ac:dyDescent="0.25">
      <c r="C236" s="78" t="s">
        <v>229</v>
      </c>
      <c r="D236" s="78"/>
      <c r="E236" s="81" t="s">
        <v>229</v>
      </c>
      <c r="F236" s="74" t="s">
        <v>229</v>
      </c>
      <c r="G236" s="75" t="s">
        <v>229</v>
      </c>
      <c r="H236" s="75" t="s">
        <v>229</v>
      </c>
      <c r="I236" s="75" t="s">
        <v>229</v>
      </c>
    </row>
    <row r="237" spans="3:9" x14ac:dyDescent="0.25">
      <c r="C237" s="78" t="s">
        <v>229</v>
      </c>
      <c r="D237" s="78"/>
      <c r="E237" s="81" t="s">
        <v>229</v>
      </c>
      <c r="F237" s="74" t="s">
        <v>229</v>
      </c>
      <c r="G237" s="75" t="s">
        <v>229</v>
      </c>
      <c r="H237" s="75" t="s">
        <v>229</v>
      </c>
      <c r="I237" s="75" t="s">
        <v>229</v>
      </c>
    </row>
    <row r="238" spans="3:9" x14ac:dyDescent="0.25">
      <c r="C238" s="78" t="s">
        <v>229</v>
      </c>
      <c r="D238" s="78"/>
      <c r="E238" s="81" t="s">
        <v>229</v>
      </c>
      <c r="F238" s="74" t="s">
        <v>229</v>
      </c>
      <c r="G238" s="75" t="s">
        <v>229</v>
      </c>
      <c r="H238" s="75" t="s">
        <v>229</v>
      </c>
      <c r="I238" s="75" t="s">
        <v>229</v>
      </c>
    </row>
    <row r="239" spans="3:9" x14ac:dyDescent="0.25">
      <c r="C239" s="78" t="s">
        <v>229</v>
      </c>
      <c r="D239" s="78"/>
      <c r="E239" s="81" t="s">
        <v>229</v>
      </c>
      <c r="F239" s="74" t="s">
        <v>229</v>
      </c>
      <c r="G239" s="75" t="s">
        <v>229</v>
      </c>
      <c r="H239" s="75" t="s">
        <v>229</v>
      </c>
      <c r="I239" s="75" t="s">
        <v>229</v>
      </c>
    </row>
    <row r="240" spans="3:9" x14ac:dyDescent="0.25">
      <c r="C240" s="78" t="s">
        <v>229</v>
      </c>
      <c r="D240" s="78"/>
      <c r="E240" s="81" t="s">
        <v>229</v>
      </c>
      <c r="F240" s="74" t="s">
        <v>229</v>
      </c>
      <c r="G240" s="75" t="s">
        <v>229</v>
      </c>
      <c r="H240" s="75" t="s">
        <v>229</v>
      </c>
      <c r="I240" s="75" t="s">
        <v>229</v>
      </c>
    </row>
    <row r="241" spans="3:9" x14ac:dyDescent="0.25">
      <c r="C241" s="78" t="s">
        <v>229</v>
      </c>
      <c r="D241" s="78"/>
      <c r="E241" s="81" t="s">
        <v>229</v>
      </c>
      <c r="F241" s="74" t="s">
        <v>229</v>
      </c>
      <c r="G241" s="75" t="s">
        <v>229</v>
      </c>
      <c r="H241" s="75" t="s">
        <v>229</v>
      </c>
      <c r="I241" s="75" t="s">
        <v>229</v>
      </c>
    </row>
    <row r="242" spans="3:9" x14ac:dyDescent="0.25">
      <c r="C242" s="78" t="s">
        <v>229</v>
      </c>
      <c r="D242" s="78"/>
      <c r="E242" s="81" t="s">
        <v>229</v>
      </c>
      <c r="F242" s="74" t="s">
        <v>229</v>
      </c>
      <c r="G242" s="75" t="s">
        <v>229</v>
      </c>
      <c r="H242" s="75" t="s">
        <v>229</v>
      </c>
      <c r="I242" s="75" t="s">
        <v>229</v>
      </c>
    </row>
    <row r="243" spans="3:9" x14ac:dyDescent="0.25">
      <c r="C243" s="78" t="s">
        <v>229</v>
      </c>
      <c r="D243" s="78"/>
      <c r="E243" s="81" t="s">
        <v>229</v>
      </c>
      <c r="F243" s="74" t="s">
        <v>229</v>
      </c>
      <c r="G243" s="75" t="s">
        <v>229</v>
      </c>
      <c r="H243" s="75" t="s">
        <v>229</v>
      </c>
      <c r="I243" s="75" t="s">
        <v>229</v>
      </c>
    </row>
    <row r="244" spans="3:9" x14ac:dyDescent="0.25">
      <c r="C244" s="78" t="s">
        <v>229</v>
      </c>
      <c r="D244" s="78"/>
      <c r="E244" s="81" t="s">
        <v>229</v>
      </c>
      <c r="F244" s="74" t="s">
        <v>229</v>
      </c>
      <c r="G244" s="75" t="s">
        <v>229</v>
      </c>
      <c r="H244" s="75" t="s">
        <v>229</v>
      </c>
      <c r="I244" s="75" t="s">
        <v>229</v>
      </c>
    </row>
    <row r="245" spans="3:9" x14ac:dyDescent="0.25">
      <c r="C245" s="78" t="s">
        <v>229</v>
      </c>
      <c r="D245" s="78"/>
      <c r="E245" s="81" t="s">
        <v>229</v>
      </c>
      <c r="F245" s="74" t="s">
        <v>229</v>
      </c>
      <c r="G245" s="75" t="s">
        <v>229</v>
      </c>
      <c r="H245" s="75" t="s">
        <v>229</v>
      </c>
      <c r="I245" s="75" t="s">
        <v>229</v>
      </c>
    </row>
    <row r="246" spans="3:9" x14ac:dyDescent="0.25">
      <c r="C246" s="78" t="s">
        <v>229</v>
      </c>
      <c r="D246" s="78"/>
      <c r="E246" s="81" t="s">
        <v>229</v>
      </c>
      <c r="F246" s="74" t="s">
        <v>229</v>
      </c>
      <c r="G246" s="75" t="s">
        <v>229</v>
      </c>
      <c r="H246" s="75" t="s">
        <v>229</v>
      </c>
      <c r="I246" s="75" t="s">
        <v>229</v>
      </c>
    </row>
    <row r="247" spans="3:9" x14ac:dyDescent="0.25">
      <c r="C247" s="78" t="s">
        <v>229</v>
      </c>
      <c r="D247" s="78"/>
      <c r="E247" s="81" t="s">
        <v>229</v>
      </c>
      <c r="F247" s="74" t="s">
        <v>229</v>
      </c>
      <c r="G247" s="75" t="s">
        <v>229</v>
      </c>
      <c r="H247" s="75" t="s">
        <v>229</v>
      </c>
      <c r="I247" s="75" t="s">
        <v>229</v>
      </c>
    </row>
    <row r="248" spans="3:9" x14ac:dyDescent="0.25">
      <c r="C248" s="78" t="s">
        <v>229</v>
      </c>
      <c r="D248" s="78"/>
      <c r="E248" s="81" t="s">
        <v>229</v>
      </c>
      <c r="F248" s="74" t="s">
        <v>229</v>
      </c>
      <c r="G248" s="75" t="s">
        <v>229</v>
      </c>
      <c r="H248" s="75" t="s">
        <v>229</v>
      </c>
      <c r="I248" s="75" t="s">
        <v>229</v>
      </c>
    </row>
    <row r="249" spans="3:9" x14ac:dyDescent="0.25">
      <c r="C249" s="78" t="s">
        <v>229</v>
      </c>
      <c r="D249" s="78"/>
      <c r="E249" s="81" t="s">
        <v>229</v>
      </c>
      <c r="F249" s="74" t="s">
        <v>229</v>
      </c>
      <c r="G249" s="75" t="s">
        <v>229</v>
      </c>
      <c r="H249" s="75" t="s">
        <v>229</v>
      </c>
      <c r="I249" s="75" t="s">
        <v>229</v>
      </c>
    </row>
    <row r="250" spans="3:9" x14ac:dyDescent="0.25">
      <c r="C250" s="78" t="s">
        <v>229</v>
      </c>
      <c r="D250" s="78"/>
      <c r="E250" s="81" t="s">
        <v>229</v>
      </c>
      <c r="F250" s="74" t="s">
        <v>229</v>
      </c>
      <c r="G250" s="75" t="s">
        <v>229</v>
      </c>
      <c r="H250" s="75" t="s">
        <v>229</v>
      </c>
      <c r="I250" s="75" t="s">
        <v>229</v>
      </c>
    </row>
    <row r="251" spans="3:9" x14ac:dyDescent="0.25">
      <c r="C251" s="78" t="s">
        <v>229</v>
      </c>
      <c r="D251" s="78"/>
      <c r="E251" s="81" t="s">
        <v>229</v>
      </c>
      <c r="F251" s="74" t="s">
        <v>229</v>
      </c>
      <c r="G251" s="75" t="s">
        <v>229</v>
      </c>
      <c r="H251" s="75" t="s">
        <v>229</v>
      </c>
      <c r="I251" s="75" t="s">
        <v>229</v>
      </c>
    </row>
    <row r="252" spans="3:9" x14ac:dyDescent="0.25">
      <c r="C252" s="78" t="s">
        <v>229</v>
      </c>
      <c r="D252" s="78"/>
      <c r="E252" s="81" t="s">
        <v>229</v>
      </c>
      <c r="F252" s="74" t="s">
        <v>229</v>
      </c>
      <c r="G252" s="75" t="s">
        <v>229</v>
      </c>
      <c r="H252" s="75" t="s">
        <v>229</v>
      </c>
      <c r="I252" s="75" t="s">
        <v>229</v>
      </c>
    </row>
    <row r="253" spans="3:9" x14ac:dyDescent="0.25">
      <c r="C253" s="78" t="s">
        <v>229</v>
      </c>
      <c r="D253" s="78"/>
      <c r="E253" s="81" t="s">
        <v>229</v>
      </c>
      <c r="F253" s="74" t="s">
        <v>229</v>
      </c>
      <c r="G253" s="75" t="s">
        <v>229</v>
      </c>
      <c r="H253" s="75" t="s">
        <v>229</v>
      </c>
      <c r="I253" s="75" t="s">
        <v>229</v>
      </c>
    </row>
    <row r="254" spans="3:9" x14ac:dyDescent="0.25">
      <c r="C254" s="78" t="s">
        <v>229</v>
      </c>
      <c r="D254" s="78"/>
      <c r="E254" s="81" t="s">
        <v>229</v>
      </c>
      <c r="F254" s="74" t="s">
        <v>229</v>
      </c>
      <c r="G254" s="75" t="s">
        <v>229</v>
      </c>
      <c r="H254" s="75" t="s">
        <v>229</v>
      </c>
      <c r="I254" s="75" t="s">
        <v>229</v>
      </c>
    </row>
    <row r="255" spans="3:9" x14ac:dyDescent="0.25">
      <c r="C255" s="78" t="s">
        <v>229</v>
      </c>
      <c r="D255" s="78"/>
      <c r="E255" s="81" t="s">
        <v>229</v>
      </c>
      <c r="F255" s="74" t="s">
        <v>229</v>
      </c>
      <c r="G255" s="75" t="s">
        <v>229</v>
      </c>
      <c r="H255" s="75" t="s">
        <v>229</v>
      </c>
      <c r="I255" s="75" t="s">
        <v>229</v>
      </c>
    </row>
    <row r="256" spans="3:9" x14ac:dyDescent="0.25">
      <c r="C256" s="78" t="s">
        <v>229</v>
      </c>
      <c r="D256" s="78"/>
      <c r="E256" s="81" t="s">
        <v>229</v>
      </c>
      <c r="F256" s="74" t="s">
        <v>229</v>
      </c>
      <c r="G256" s="75" t="s">
        <v>229</v>
      </c>
      <c r="H256" s="75" t="s">
        <v>229</v>
      </c>
      <c r="I256" s="75" t="s">
        <v>229</v>
      </c>
    </row>
    <row r="257" spans="3:9" x14ac:dyDescent="0.25">
      <c r="C257" s="78" t="s">
        <v>229</v>
      </c>
      <c r="D257" s="78"/>
      <c r="E257" s="81" t="s">
        <v>229</v>
      </c>
      <c r="F257" s="74" t="s">
        <v>229</v>
      </c>
      <c r="G257" s="75" t="s">
        <v>229</v>
      </c>
      <c r="H257" s="75" t="s">
        <v>229</v>
      </c>
      <c r="I257" s="75" t="s">
        <v>229</v>
      </c>
    </row>
    <row r="258" spans="3:9" x14ac:dyDescent="0.25">
      <c r="C258" s="78" t="s">
        <v>229</v>
      </c>
      <c r="D258" s="78"/>
      <c r="E258" s="81" t="s">
        <v>229</v>
      </c>
      <c r="F258" s="74" t="s">
        <v>229</v>
      </c>
      <c r="G258" s="75" t="s">
        <v>229</v>
      </c>
      <c r="H258" s="75" t="s">
        <v>229</v>
      </c>
      <c r="I258" s="75" t="s">
        <v>229</v>
      </c>
    </row>
    <row r="259" spans="3:9" x14ac:dyDescent="0.25">
      <c r="C259" s="78" t="s">
        <v>229</v>
      </c>
      <c r="D259" s="78"/>
      <c r="E259" s="81" t="s">
        <v>229</v>
      </c>
      <c r="F259" s="74" t="s">
        <v>229</v>
      </c>
      <c r="G259" s="75" t="s">
        <v>229</v>
      </c>
      <c r="H259" s="75" t="s">
        <v>229</v>
      </c>
      <c r="I259" s="75" t="s">
        <v>229</v>
      </c>
    </row>
    <row r="260" spans="3:9" x14ac:dyDescent="0.25">
      <c r="C260" s="78" t="s">
        <v>229</v>
      </c>
      <c r="D260" s="78"/>
      <c r="E260" s="81" t="s">
        <v>229</v>
      </c>
      <c r="F260" s="74" t="s">
        <v>229</v>
      </c>
      <c r="G260" s="75" t="s">
        <v>229</v>
      </c>
      <c r="H260" s="75" t="s">
        <v>229</v>
      </c>
      <c r="I260" s="75" t="s">
        <v>229</v>
      </c>
    </row>
    <row r="261" spans="3:9" x14ac:dyDescent="0.25">
      <c r="C261" s="78" t="s">
        <v>229</v>
      </c>
      <c r="D261" s="78"/>
      <c r="E261" s="81" t="s">
        <v>229</v>
      </c>
      <c r="F261" s="74" t="s">
        <v>229</v>
      </c>
      <c r="G261" s="75" t="s">
        <v>229</v>
      </c>
      <c r="H261" s="75" t="s">
        <v>229</v>
      </c>
      <c r="I261" s="75" t="s">
        <v>229</v>
      </c>
    </row>
    <row r="262" spans="3:9" x14ac:dyDescent="0.25">
      <c r="C262" s="78" t="s">
        <v>229</v>
      </c>
      <c r="D262" s="78"/>
      <c r="E262" s="81" t="s">
        <v>229</v>
      </c>
      <c r="F262" s="74" t="s">
        <v>229</v>
      </c>
      <c r="G262" s="75" t="s">
        <v>229</v>
      </c>
      <c r="H262" s="75" t="s">
        <v>229</v>
      </c>
      <c r="I262" s="75" t="s">
        <v>229</v>
      </c>
    </row>
    <row r="263" spans="3:9" x14ac:dyDescent="0.25">
      <c r="C263" s="78" t="s">
        <v>229</v>
      </c>
      <c r="D263" s="78"/>
      <c r="E263" s="81" t="s">
        <v>229</v>
      </c>
      <c r="F263" s="74" t="s">
        <v>229</v>
      </c>
      <c r="G263" s="75" t="s">
        <v>229</v>
      </c>
      <c r="H263" s="75" t="s">
        <v>229</v>
      </c>
      <c r="I263" s="75" t="s">
        <v>229</v>
      </c>
    </row>
    <row r="264" spans="3:9" x14ac:dyDescent="0.25">
      <c r="C264" s="78" t="s">
        <v>229</v>
      </c>
      <c r="D264" s="78"/>
      <c r="E264" s="81" t="s">
        <v>229</v>
      </c>
      <c r="F264" s="74" t="s">
        <v>229</v>
      </c>
      <c r="G264" s="75" t="s">
        <v>229</v>
      </c>
      <c r="H264" s="75" t="s">
        <v>229</v>
      </c>
      <c r="I264" s="75" t="s">
        <v>229</v>
      </c>
    </row>
    <row r="265" spans="3:9" x14ac:dyDescent="0.25">
      <c r="C265" s="78" t="s">
        <v>229</v>
      </c>
      <c r="D265" s="78"/>
      <c r="E265" s="81" t="s">
        <v>229</v>
      </c>
      <c r="F265" s="74" t="s">
        <v>229</v>
      </c>
      <c r="G265" s="75" t="s">
        <v>229</v>
      </c>
      <c r="H265" s="75" t="s">
        <v>229</v>
      </c>
      <c r="I265" s="75" t="s">
        <v>229</v>
      </c>
    </row>
    <row r="266" spans="3:9" x14ac:dyDescent="0.25">
      <c r="C266" s="78" t="s">
        <v>229</v>
      </c>
      <c r="D266" s="78"/>
      <c r="E266" s="81" t="s">
        <v>229</v>
      </c>
      <c r="F266" s="74" t="s">
        <v>229</v>
      </c>
      <c r="G266" s="75" t="s">
        <v>229</v>
      </c>
      <c r="H266" s="75" t="s">
        <v>229</v>
      </c>
      <c r="I266" s="75" t="s">
        <v>229</v>
      </c>
    </row>
    <row r="267" spans="3:9" x14ac:dyDescent="0.25">
      <c r="C267" s="78" t="s">
        <v>229</v>
      </c>
      <c r="D267" s="78"/>
      <c r="E267" s="81" t="s">
        <v>229</v>
      </c>
      <c r="F267" s="74" t="s">
        <v>229</v>
      </c>
      <c r="G267" s="75" t="s">
        <v>229</v>
      </c>
      <c r="H267" s="75" t="s">
        <v>229</v>
      </c>
      <c r="I267" s="75" t="s">
        <v>229</v>
      </c>
    </row>
    <row r="268" spans="3:9" x14ac:dyDescent="0.25">
      <c r="C268" s="78" t="s">
        <v>229</v>
      </c>
      <c r="D268" s="78"/>
      <c r="E268" s="81" t="s">
        <v>229</v>
      </c>
      <c r="F268" s="74" t="s">
        <v>229</v>
      </c>
      <c r="G268" s="75" t="s">
        <v>229</v>
      </c>
      <c r="H268" s="75" t="s">
        <v>229</v>
      </c>
      <c r="I268" s="75" t="s">
        <v>229</v>
      </c>
    </row>
    <row r="269" spans="3:9" x14ac:dyDescent="0.25">
      <c r="C269" s="78" t="s">
        <v>229</v>
      </c>
      <c r="D269" s="78"/>
      <c r="E269" s="81" t="s">
        <v>229</v>
      </c>
      <c r="F269" s="74" t="s">
        <v>229</v>
      </c>
      <c r="G269" s="75" t="s">
        <v>229</v>
      </c>
      <c r="H269" s="75" t="s">
        <v>229</v>
      </c>
      <c r="I269" s="75" t="s">
        <v>229</v>
      </c>
    </row>
    <row r="270" spans="3:9" x14ac:dyDescent="0.25">
      <c r="C270" s="78" t="s">
        <v>229</v>
      </c>
      <c r="D270" s="78"/>
      <c r="E270" s="81" t="s">
        <v>229</v>
      </c>
      <c r="F270" s="74" t="s">
        <v>229</v>
      </c>
      <c r="G270" s="75" t="s">
        <v>229</v>
      </c>
      <c r="H270" s="75" t="s">
        <v>229</v>
      </c>
      <c r="I270" s="75" t="s">
        <v>229</v>
      </c>
    </row>
    <row r="271" spans="3:9" x14ac:dyDescent="0.25">
      <c r="C271" s="78" t="s">
        <v>229</v>
      </c>
      <c r="D271" s="78"/>
      <c r="E271" s="81" t="s">
        <v>229</v>
      </c>
      <c r="F271" s="74" t="s">
        <v>229</v>
      </c>
      <c r="G271" s="75" t="s">
        <v>229</v>
      </c>
      <c r="H271" s="75" t="s">
        <v>229</v>
      </c>
      <c r="I271" s="75" t="s">
        <v>229</v>
      </c>
    </row>
    <row r="272" spans="3:9" x14ac:dyDescent="0.25">
      <c r="C272" s="78" t="s">
        <v>229</v>
      </c>
      <c r="D272" s="78"/>
      <c r="E272" s="81" t="s">
        <v>229</v>
      </c>
      <c r="F272" s="74" t="s">
        <v>229</v>
      </c>
      <c r="G272" s="75" t="s">
        <v>229</v>
      </c>
      <c r="H272" s="75" t="s">
        <v>229</v>
      </c>
      <c r="I272" s="75" t="s">
        <v>229</v>
      </c>
    </row>
    <row r="273" spans="3:9" x14ac:dyDescent="0.25">
      <c r="C273" s="78" t="s">
        <v>229</v>
      </c>
      <c r="D273" s="78"/>
      <c r="E273" s="81" t="s">
        <v>229</v>
      </c>
      <c r="F273" s="74" t="s">
        <v>229</v>
      </c>
      <c r="G273" s="75" t="s">
        <v>229</v>
      </c>
      <c r="H273" s="75" t="s">
        <v>229</v>
      </c>
      <c r="I273" s="75" t="s">
        <v>229</v>
      </c>
    </row>
    <row r="274" spans="3:9" x14ac:dyDescent="0.25">
      <c r="C274" s="78" t="s">
        <v>229</v>
      </c>
      <c r="D274" s="78"/>
      <c r="E274" s="81" t="s">
        <v>229</v>
      </c>
      <c r="F274" s="74" t="s">
        <v>229</v>
      </c>
      <c r="G274" s="75" t="s">
        <v>229</v>
      </c>
      <c r="H274" s="75" t="s">
        <v>229</v>
      </c>
      <c r="I274" s="75" t="s">
        <v>229</v>
      </c>
    </row>
    <row r="275" spans="3:9" x14ac:dyDescent="0.25">
      <c r="C275" s="78" t="s">
        <v>229</v>
      </c>
      <c r="D275" s="78"/>
      <c r="E275" s="81" t="s">
        <v>229</v>
      </c>
      <c r="F275" s="74" t="s">
        <v>229</v>
      </c>
      <c r="G275" s="75" t="s">
        <v>229</v>
      </c>
      <c r="H275" s="75" t="s">
        <v>229</v>
      </c>
      <c r="I275" s="75" t="s">
        <v>229</v>
      </c>
    </row>
    <row r="276" spans="3:9" x14ac:dyDescent="0.25">
      <c r="C276" s="78" t="s">
        <v>229</v>
      </c>
      <c r="D276" s="78"/>
      <c r="E276" s="81" t="s">
        <v>229</v>
      </c>
      <c r="F276" s="74" t="s">
        <v>229</v>
      </c>
      <c r="G276" s="75" t="s">
        <v>229</v>
      </c>
      <c r="H276" s="75" t="s">
        <v>229</v>
      </c>
      <c r="I276" s="75" t="s">
        <v>229</v>
      </c>
    </row>
    <row r="277" spans="3:9" x14ac:dyDescent="0.25">
      <c r="C277" s="78" t="s">
        <v>229</v>
      </c>
      <c r="D277" s="78"/>
      <c r="E277" s="81" t="s">
        <v>229</v>
      </c>
      <c r="F277" s="74" t="s">
        <v>229</v>
      </c>
      <c r="G277" s="75" t="s">
        <v>229</v>
      </c>
      <c r="H277" s="75" t="s">
        <v>229</v>
      </c>
      <c r="I277" s="75" t="s">
        <v>229</v>
      </c>
    </row>
    <row r="278" spans="3:9" x14ac:dyDescent="0.25">
      <c r="C278" s="78" t="s">
        <v>229</v>
      </c>
      <c r="D278" s="78"/>
      <c r="E278" s="81" t="s">
        <v>229</v>
      </c>
      <c r="F278" s="74" t="s">
        <v>229</v>
      </c>
      <c r="G278" s="75" t="s">
        <v>229</v>
      </c>
      <c r="H278" s="75" t="s">
        <v>229</v>
      </c>
      <c r="I278" s="75" t="s">
        <v>229</v>
      </c>
    </row>
    <row r="279" spans="3:9" x14ac:dyDescent="0.25">
      <c r="C279" s="78" t="s">
        <v>229</v>
      </c>
      <c r="D279" s="78"/>
      <c r="E279" s="81" t="s">
        <v>229</v>
      </c>
      <c r="F279" s="74" t="s">
        <v>229</v>
      </c>
      <c r="G279" s="75" t="s">
        <v>229</v>
      </c>
      <c r="H279" s="75" t="s">
        <v>229</v>
      </c>
      <c r="I279" s="75" t="s">
        <v>229</v>
      </c>
    </row>
    <row r="280" spans="3:9" x14ac:dyDescent="0.25">
      <c r="C280" s="78" t="s">
        <v>229</v>
      </c>
      <c r="D280" s="78"/>
      <c r="E280" s="81" t="s">
        <v>229</v>
      </c>
      <c r="F280" s="74" t="s">
        <v>229</v>
      </c>
      <c r="G280" s="75" t="s">
        <v>229</v>
      </c>
      <c r="H280" s="75" t="s">
        <v>229</v>
      </c>
      <c r="I280" s="75" t="s">
        <v>229</v>
      </c>
    </row>
    <row r="281" spans="3:9" x14ac:dyDescent="0.25">
      <c r="C281" s="78" t="s">
        <v>229</v>
      </c>
      <c r="D281" s="78"/>
      <c r="E281" s="81" t="s">
        <v>229</v>
      </c>
      <c r="F281" s="74" t="s">
        <v>229</v>
      </c>
      <c r="G281" s="75" t="s">
        <v>229</v>
      </c>
      <c r="H281" s="75" t="s">
        <v>229</v>
      </c>
      <c r="I281" s="75" t="s">
        <v>229</v>
      </c>
    </row>
    <row r="282" spans="3:9" x14ac:dyDescent="0.25">
      <c r="C282" s="78" t="s">
        <v>229</v>
      </c>
      <c r="D282" s="78"/>
      <c r="E282" s="81" t="s">
        <v>229</v>
      </c>
      <c r="F282" s="74" t="s">
        <v>229</v>
      </c>
      <c r="G282" s="75" t="s">
        <v>229</v>
      </c>
      <c r="H282" s="75" t="s">
        <v>229</v>
      </c>
      <c r="I282" s="75" t="s">
        <v>229</v>
      </c>
    </row>
    <row r="283" spans="3:9" x14ac:dyDescent="0.25">
      <c r="C283" s="78" t="s">
        <v>229</v>
      </c>
      <c r="D283" s="78"/>
      <c r="E283" s="81" t="s">
        <v>229</v>
      </c>
      <c r="F283" s="74" t="s">
        <v>229</v>
      </c>
      <c r="G283" s="75" t="s">
        <v>229</v>
      </c>
      <c r="H283" s="75" t="s">
        <v>229</v>
      </c>
      <c r="I283" s="75" t="s">
        <v>229</v>
      </c>
    </row>
    <row r="284" spans="3:9" x14ac:dyDescent="0.25">
      <c r="C284" s="78" t="s">
        <v>229</v>
      </c>
      <c r="D284" s="78"/>
      <c r="E284" s="81" t="s">
        <v>229</v>
      </c>
      <c r="F284" s="74" t="s">
        <v>229</v>
      </c>
      <c r="G284" s="75" t="s">
        <v>229</v>
      </c>
      <c r="H284" s="75" t="s">
        <v>229</v>
      </c>
      <c r="I284" s="75" t="s">
        <v>229</v>
      </c>
    </row>
    <row r="285" spans="3:9" x14ac:dyDescent="0.25">
      <c r="C285" s="78" t="s">
        <v>229</v>
      </c>
      <c r="D285" s="78"/>
      <c r="E285" s="81" t="s">
        <v>229</v>
      </c>
      <c r="F285" s="74" t="s">
        <v>229</v>
      </c>
      <c r="G285" s="75" t="s">
        <v>229</v>
      </c>
      <c r="H285" s="75" t="s">
        <v>229</v>
      </c>
      <c r="I285" s="75" t="s">
        <v>229</v>
      </c>
    </row>
    <row r="286" spans="3:9" x14ac:dyDescent="0.25">
      <c r="C286" s="78" t="s">
        <v>229</v>
      </c>
      <c r="D286" s="78"/>
      <c r="E286" s="81" t="s">
        <v>229</v>
      </c>
      <c r="F286" s="74" t="s">
        <v>229</v>
      </c>
      <c r="G286" s="75" t="s">
        <v>229</v>
      </c>
      <c r="H286" s="75" t="s">
        <v>229</v>
      </c>
      <c r="I286" s="75" t="s">
        <v>229</v>
      </c>
    </row>
    <row r="287" spans="3:9" x14ac:dyDescent="0.25">
      <c r="C287" s="78" t="s">
        <v>229</v>
      </c>
      <c r="D287" s="78"/>
      <c r="E287" s="81" t="s">
        <v>229</v>
      </c>
      <c r="F287" s="74" t="s">
        <v>229</v>
      </c>
      <c r="G287" s="75" t="s">
        <v>229</v>
      </c>
      <c r="H287" s="75" t="s">
        <v>229</v>
      </c>
      <c r="I287" s="75" t="s">
        <v>229</v>
      </c>
    </row>
    <row r="288" spans="3:9" x14ac:dyDescent="0.25">
      <c r="C288" s="78" t="s">
        <v>229</v>
      </c>
      <c r="D288" s="78"/>
      <c r="E288" s="81" t="s">
        <v>229</v>
      </c>
      <c r="F288" s="74" t="s">
        <v>229</v>
      </c>
      <c r="G288" s="75" t="s">
        <v>229</v>
      </c>
      <c r="H288" s="75" t="s">
        <v>229</v>
      </c>
      <c r="I288" s="75" t="s">
        <v>229</v>
      </c>
    </row>
    <row r="289" spans="3:9" x14ac:dyDescent="0.25">
      <c r="C289" s="78" t="s">
        <v>229</v>
      </c>
      <c r="D289" s="78"/>
      <c r="E289" s="81" t="s">
        <v>229</v>
      </c>
      <c r="F289" s="74" t="s">
        <v>229</v>
      </c>
      <c r="G289" s="75" t="s">
        <v>229</v>
      </c>
      <c r="H289" s="75" t="s">
        <v>229</v>
      </c>
      <c r="I289" s="75" t="s">
        <v>229</v>
      </c>
    </row>
    <row r="290" spans="3:9" x14ac:dyDescent="0.25">
      <c r="C290" s="78" t="s">
        <v>229</v>
      </c>
      <c r="D290" s="78"/>
      <c r="E290" s="81" t="s">
        <v>229</v>
      </c>
      <c r="F290" s="74" t="s">
        <v>229</v>
      </c>
      <c r="G290" s="75" t="s">
        <v>229</v>
      </c>
      <c r="H290" s="75" t="s">
        <v>229</v>
      </c>
      <c r="I290" s="75" t="s">
        <v>229</v>
      </c>
    </row>
    <row r="291" spans="3:9" x14ac:dyDescent="0.25">
      <c r="C291" s="78" t="s">
        <v>229</v>
      </c>
      <c r="D291" s="78"/>
      <c r="E291" s="81" t="s">
        <v>229</v>
      </c>
      <c r="F291" s="74" t="s">
        <v>229</v>
      </c>
      <c r="G291" s="75" t="s">
        <v>229</v>
      </c>
      <c r="H291" s="75" t="s">
        <v>229</v>
      </c>
      <c r="I291" s="75" t="s">
        <v>229</v>
      </c>
    </row>
    <row r="292" spans="3:9" x14ac:dyDescent="0.25">
      <c r="C292" s="78" t="s">
        <v>229</v>
      </c>
      <c r="D292" s="78"/>
      <c r="E292" s="81" t="s">
        <v>229</v>
      </c>
      <c r="F292" s="74" t="s">
        <v>229</v>
      </c>
      <c r="G292" s="75" t="s">
        <v>229</v>
      </c>
      <c r="H292" s="75" t="s">
        <v>229</v>
      </c>
      <c r="I292" s="75" t="s">
        <v>229</v>
      </c>
    </row>
    <row r="293" spans="3:9" x14ac:dyDescent="0.25">
      <c r="C293" s="78" t="s">
        <v>229</v>
      </c>
      <c r="D293" s="78"/>
      <c r="E293" s="81" t="s">
        <v>229</v>
      </c>
      <c r="F293" s="74" t="s">
        <v>229</v>
      </c>
      <c r="G293" s="75" t="s">
        <v>229</v>
      </c>
      <c r="H293" s="75" t="s">
        <v>229</v>
      </c>
      <c r="I293" s="75" t="s">
        <v>229</v>
      </c>
    </row>
    <row r="294" spans="3:9" x14ac:dyDescent="0.25">
      <c r="C294" s="78" t="s">
        <v>229</v>
      </c>
      <c r="D294" s="78"/>
      <c r="E294" s="81" t="s">
        <v>229</v>
      </c>
      <c r="F294" s="74" t="s">
        <v>229</v>
      </c>
      <c r="G294" s="75" t="s">
        <v>229</v>
      </c>
      <c r="H294" s="75" t="s">
        <v>229</v>
      </c>
      <c r="I294" s="75" t="s">
        <v>229</v>
      </c>
    </row>
    <row r="295" spans="3:9" x14ac:dyDescent="0.25">
      <c r="C295" s="78" t="s">
        <v>229</v>
      </c>
      <c r="D295" s="78"/>
      <c r="E295" s="81" t="s">
        <v>229</v>
      </c>
      <c r="F295" s="74" t="s">
        <v>229</v>
      </c>
      <c r="G295" s="75" t="s">
        <v>229</v>
      </c>
      <c r="H295" s="75" t="s">
        <v>229</v>
      </c>
      <c r="I295" s="75" t="s">
        <v>229</v>
      </c>
    </row>
    <row r="296" spans="3:9" x14ac:dyDescent="0.25">
      <c r="C296" s="78" t="s">
        <v>229</v>
      </c>
      <c r="D296" s="78"/>
      <c r="E296" s="81" t="s">
        <v>229</v>
      </c>
      <c r="F296" s="74" t="s">
        <v>229</v>
      </c>
      <c r="G296" s="75" t="s">
        <v>229</v>
      </c>
      <c r="H296" s="75" t="s">
        <v>229</v>
      </c>
      <c r="I296" s="75" t="s">
        <v>229</v>
      </c>
    </row>
    <row r="297" spans="3:9" x14ac:dyDescent="0.25">
      <c r="C297" s="78" t="s">
        <v>229</v>
      </c>
      <c r="D297" s="78"/>
      <c r="E297" s="81" t="s">
        <v>229</v>
      </c>
      <c r="F297" s="74" t="s">
        <v>229</v>
      </c>
      <c r="G297" s="75" t="s">
        <v>229</v>
      </c>
      <c r="H297" s="75" t="s">
        <v>229</v>
      </c>
      <c r="I297" s="75" t="s">
        <v>229</v>
      </c>
    </row>
    <row r="298" spans="3:9" x14ac:dyDescent="0.25">
      <c r="C298" s="78" t="s">
        <v>229</v>
      </c>
      <c r="D298" s="78"/>
      <c r="E298" s="81" t="s">
        <v>229</v>
      </c>
      <c r="F298" s="74" t="s">
        <v>229</v>
      </c>
      <c r="G298" s="75" t="s">
        <v>229</v>
      </c>
      <c r="H298" s="75" t="s">
        <v>229</v>
      </c>
      <c r="I298" s="75" t="s">
        <v>229</v>
      </c>
    </row>
    <row r="299" spans="3:9" x14ac:dyDescent="0.25">
      <c r="C299" s="78" t="s">
        <v>229</v>
      </c>
      <c r="D299" s="78"/>
      <c r="E299" s="81" t="s">
        <v>229</v>
      </c>
      <c r="F299" s="74" t="s">
        <v>229</v>
      </c>
      <c r="G299" s="75" t="s">
        <v>229</v>
      </c>
      <c r="H299" s="75" t="s">
        <v>229</v>
      </c>
      <c r="I299" s="75" t="s">
        <v>229</v>
      </c>
    </row>
    <row r="300" spans="3:9" x14ac:dyDescent="0.25">
      <c r="C300" s="78" t="s">
        <v>229</v>
      </c>
      <c r="D300" s="78"/>
      <c r="E300" s="81" t="s">
        <v>229</v>
      </c>
      <c r="F300" s="74" t="s">
        <v>229</v>
      </c>
      <c r="G300" s="75" t="s">
        <v>229</v>
      </c>
      <c r="H300" s="75" t="s">
        <v>229</v>
      </c>
      <c r="I300" s="75" t="s">
        <v>229</v>
      </c>
    </row>
    <row r="301" spans="3:9" x14ac:dyDescent="0.25">
      <c r="C301" s="78" t="s">
        <v>229</v>
      </c>
      <c r="D301" s="78"/>
      <c r="E301" s="81" t="s">
        <v>229</v>
      </c>
      <c r="F301" s="74" t="s">
        <v>229</v>
      </c>
      <c r="G301" s="75" t="s">
        <v>229</v>
      </c>
      <c r="H301" s="75" t="s">
        <v>229</v>
      </c>
      <c r="I301" s="75" t="s">
        <v>229</v>
      </c>
    </row>
    <row r="302" spans="3:9" x14ac:dyDescent="0.25">
      <c r="C302" s="78" t="s">
        <v>229</v>
      </c>
      <c r="D302" s="78"/>
      <c r="E302" s="81" t="s">
        <v>229</v>
      </c>
      <c r="F302" s="74" t="s">
        <v>229</v>
      </c>
      <c r="G302" s="75" t="s">
        <v>229</v>
      </c>
      <c r="H302" s="75" t="s">
        <v>229</v>
      </c>
      <c r="I302" s="75" t="s">
        <v>229</v>
      </c>
    </row>
    <row r="303" spans="3:9" x14ac:dyDescent="0.25">
      <c r="C303" s="78" t="s">
        <v>229</v>
      </c>
      <c r="D303" s="78"/>
      <c r="E303" s="81" t="s">
        <v>229</v>
      </c>
      <c r="F303" s="74" t="s">
        <v>229</v>
      </c>
      <c r="G303" s="75" t="s">
        <v>229</v>
      </c>
      <c r="H303" s="75" t="s">
        <v>229</v>
      </c>
      <c r="I303" s="75" t="s">
        <v>229</v>
      </c>
    </row>
    <row r="304" spans="3:9" x14ac:dyDescent="0.25">
      <c r="C304" s="78" t="s">
        <v>229</v>
      </c>
      <c r="D304" s="78"/>
      <c r="E304" s="81" t="s">
        <v>229</v>
      </c>
      <c r="F304" s="74" t="s">
        <v>229</v>
      </c>
      <c r="G304" s="75" t="s">
        <v>229</v>
      </c>
      <c r="H304" s="75" t="s">
        <v>229</v>
      </c>
      <c r="I304" s="75" t="s">
        <v>229</v>
      </c>
    </row>
    <row r="305" spans="3:9" x14ac:dyDescent="0.25">
      <c r="C305" s="78" t="s">
        <v>229</v>
      </c>
      <c r="D305" s="78"/>
      <c r="E305" s="81" t="s">
        <v>229</v>
      </c>
      <c r="F305" s="74" t="s">
        <v>229</v>
      </c>
      <c r="G305" s="75" t="s">
        <v>229</v>
      </c>
      <c r="H305" s="75" t="s">
        <v>229</v>
      </c>
      <c r="I305" s="75" t="s">
        <v>229</v>
      </c>
    </row>
    <row r="306" spans="3:9" x14ac:dyDescent="0.25">
      <c r="C306" s="78" t="s">
        <v>229</v>
      </c>
      <c r="D306" s="78"/>
      <c r="E306" s="81" t="s">
        <v>229</v>
      </c>
      <c r="F306" s="74" t="s">
        <v>229</v>
      </c>
      <c r="G306" s="75" t="s">
        <v>229</v>
      </c>
      <c r="H306" s="75" t="s">
        <v>229</v>
      </c>
      <c r="I306" s="75" t="s">
        <v>229</v>
      </c>
    </row>
    <row r="307" spans="3:9" x14ac:dyDescent="0.25">
      <c r="C307" s="78" t="s">
        <v>229</v>
      </c>
      <c r="D307" s="78"/>
      <c r="E307" s="81" t="s">
        <v>229</v>
      </c>
      <c r="F307" s="74" t="s">
        <v>229</v>
      </c>
      <c r="G307" s="75" t="s">
        <v>229</v>
      </c>
      <c r="H307" s="75" t="s">
        <v>229</v>
      </c>
      <c r="I307" s="75" t="s">
        <v>229</v>
      </c>
    </row>
    <row r="308" spans="3:9" x14ac:dyDescent="0.25">
      <c r="C308" s="78" t="s">
        <v>229</v>
      </c>
      <c r="D308" s="78"/>
      <c r="E308" s="81" t="s">
        <v>229</v>
      </c>
      <c r="F308" s="74" t="s">
        <v>229</v>
      </c>
      <c r="G308" s="75" t="s">
        <v>229</v>
      </c>
      <c r="H308" s="75" t="s">
        <v>229</v>
      </c>
      <c r="I308" s="75" t="s">
        <v>229</v>
      </c>
    </row>
    <row r="309" spans="3:9" x14ac:dyDescent="0.25">
      <c r="C309" s="78" t="s">
        <v>229</v>
      </c>
      <c r="D309" s="78"/>
      <c r="E309" s="81" t="s">
        <v>229</v>
      </c>
      <c r="F309" s="74" t="s">
        <v>229</v>
      </c>
      <c r="G309" s="75" t="s">
        <v>229</v>
      </c>
      <c r="H309" s="75" t="s">
        <v>229</v>
      </c>
      <c r="I309" s="75" t="s">
        <v>229</v>
      </c>
    </row>
    <row r="310" spans="3:9" x14ac:dyDescent="0.25">
      <c r="C310" s="78" t="s">
        <v>229</v>
      </c>
      <c r="D310" s="78"/>
      <c r="E310" s="81" t="s">
        <v>229</v>
      </c>
      <c r="F310" s="74" t="s">
        <v>229</v>
      </c>
      <c r="G310" s="75" t="s">
        <v>229</v>
      </c>
      <c r="H310" s="75" t="s">
        <v>229</v>
      </c>
      <c r="I310" s="75" t="s">
        <v>229</v>
      </c>
    </row>
    <row r="311" spans="3:9" x14ac:dyDescent="0.25">
      <c r="C311" s="78" t="s">
        <v>229</v>
      </c>
      <c r="D311" s="78"/>
      <c r="E311" s="81" t="s">
        <v>229</v>
      </c>
      <c r="F311" s="74" t="s">
        <v>229</v>
      </c>
      <c r="G311" s="75" t="s">
        <v>229</v>
      </c>
      <c r="H311" s="75" t="s">
        <v>229</v>
      </c>
      <c r="I311" s="75" t="s">
        <v>229</v>
      </c>
    </row>
    <row r="312" spans="3:9" x14ac:dyDescent="0.25">
      <c r="C312" s="78" t="s">
        <v>229</v>
      </c>
      <c r="D312" s="78"/>
      <c r="E312" s="81" t="s">
        <v>229</v>
      </c>
      <c r="F312" s="74" t="s">
        <v>229</v>
      </c>
      <c r="G312" s="75" t="s">
        <v>229</v>
      </c>
      <c r="H312" s="75" t="s">
        <v>229</v>
      </c>
      <c r="I312" s="75" t="s">
        <v>229</v>
      </c>
    </row>
    <row r="313" spans="3:9" x14ac:dyDescent="0.25">
      <c r="C313" s="78" t="s">
        <v>229</v>
      </c>
      <c r="D313" s="78"/>
      <c r="E313" s="81" t="s">
        <v>229</v>
      </c>
      <c r="F313" s="74" t="s">
        <v>229</v>
      </c>
      <c r="G313" s="75" t="s">
        <v>229</v>
      </c>
      <c r="H313" s="75" t="s">
        <v>229</v>
      </c>
      <c r="I313" s="75" t="s">
        <v>229</v>
      </c>
    </row>
    <row r="314" spans="3:9" x14ac:dyDescent="0.25">
      <c r="C314" s="78" t="s">
        <v>229</v>
      </c>
      <c r="D314" s="78"/>
      <c r="E314" s="81" t="s">
        <v>229</v>
      </c>
      <c r="F314" s="74" t="s">
        <v>229</v>
      </c>
      <c r="G314" s="75" t="s">
        <v>229</v>
      </c>
      <c r="H314" s="75" t="s">
        <v>229</v>
      </c>
      <c r="I314" s="75" t="s">
        <v>229</v>
      </c>
    </row>
    <row r="315" spans="3:9" x14ac:dyDescent="0.25">
      <c r="C315" s="78" t="s">
        <v>229</v>
      </c>
      <c r="D315" s="78"/>
      <c r="E315" s="81" t="s">
        <v>229</v>
      </c>
      <c r="F315" s="74" t="s">
        <v>229</v>
      </c>
      <c r="G315" s="75" t="s">
        <v>229</v>
      </c>
      <c r="H315" s="75" t="s">
        <v>229</v>
      </c>
      <c r="I315" s="75" t="s">
        <v>229</v>
      </c>
    </row>
    <row r="316" spans="3:9" x14ac:dyDescent="0.25">
      <c r="D316" s="81"/>
      <c r="E316" s="81"/>
    </row>
    <row r="317" spans="3:9" x14ac:dyDescent="0.25">
      <c r="D317" s="81"/>
      <c r="E317" s="81"/>
    </row>
    <row r="318" spans="3:9" x14ac:dyDescent="0.25">
      <c r="D318" s="81"/>
      <c r="E318" s="81"/>
    </row>
    <row r="319" spans="3:9" x14ac:dyDescent="0.25">
      <c r="D319" s="81"/>
      <c r="E319" s="81"/>
    </row>
    <row r="320" spans="3:9" x14ac:dyDescent="0.25">
      <c r="D320" s="81"/>
      <c r="E320" s="81"/>
    </row>
    <row r="321" spans="4:5" x14ac:dyDescent="0.25">
      <c r="D321" s="81"/>
      <c r="E321" s="81"/>
    </row>
    <row r="322" spans="4:5" x14ac:dyDescent="0.25">
      <c r="D322" s="81"/>
      <c r="E322" s="81"/>
    </row>
    <row r="323" spans="4:5" x14ac:dyDescent="0.25">
      <c r="D323" s="81"/>
      <c r="E323" s="81"/>
    </row>
    <row r="324" spans="4:5" x14ac:dyDescent="0.25">
      <c r="D324" s="81"/>
      <c r="E324" s="81"/>
    </row>
    <row r="325" spans="4:5" x14ac:dyDescent="0.25">
      <c r="D325" s="81"/>
      <c r="E325" s="81"/>
    </row>
    <row r="326" spans="4:5" x14ac:dyDescent="0.25">
      <c r="D326" s="81"/>
      <c r="E326" s="81"/>
    </row>
    <row r="327" spans="4:5" x14ac:dyDescent="0.25">
      <c r="D327" s="81"/>
      <c r="E327" s="81"/>
    </row>
    <row r="328" spans="4:5" x14ac:dyDescent="0.25">
      <c r="D328" s="81"/>
      <c r="E328" s="81"/>
    </row>
    <row r="329" spans="4:5" x14ac:dyDescent="0.25">
      <c r="D329" s="81"/>
      <c r="E329" s="81"/>
    </row>
    <row r="330" spans="4:5" x14ac:dyDescent="0.25">
      <c r="D330" s="81"/>
      <c r="E330" s="81"/>
    </row>
    <row r="331" spans="4:5" x14ac:dyDescent="0.25">
      <c r="D331" s="81"/>
      <c r="E331" s="81"/>
    </row>
    <row r="332" spans="4:5" x14ac:dyDescent="0.25">
      <c r="D332" s="81"/>
      <c r="E332" s="81"/>
    </row>
    <row r="333" spans="4:5" x14ac:dyDescent="0.25">
      <c r="D333" s="81"/>
      <c r="E333" s="81"/>
    </row>
    <row r="334" spans="4:5" x14ac:dyDescent="0.25">
      <c r="D334" s="81"/>
      <c r="E334" s="81"/>
    </row>
    <row r="335" spans="4:5" x14ac:dyDescent="0.25">
      <c r="D335" s="81"/>
      <c r="E335" s="81"/>
    </row>
    <row r="336" spans="4:5" x14ac:dyDescent="0.25">
      <c r="D336" s="81"/>
      <c r="E336" s="81"/>
    </row>
    <row r="337" spans="4:5" x14ac:dyDescent="0.25">
      <c r="D337" s="81"/>
      <c r="E337" s="81"/>
    </row>
    <row r="338" spans="4:5" x14ac:dyDescent="0.25">
      <c r="D338" s="81"/>
      <c r="E338" s="81"/>
    </row>
    <row r="339" spans="4:5" x14ac:dyDescent="0.25">
      <c r="D339" s="81"/>
      <c r="E339" s="81"/>
    </row>
    <row r="340" spans="4:5" x14ac:dyDescent="0.25">
      <c r="D340" s="81"/>
      <c r="E340" s="81"/>
    </row>
    <row r="341" spans="4:5" x14ac:dyDescent="0.25">
      <c r="D341" s="81"/>
      <c r="E341" s="81"/>
    </row>
    <row r="342" spans="4:5" x14ac:dyDescent="0.25">
      <c r="D342" s="81"/>
      <c r="E342" s="81"/>
    </row>
    <row r="343" spans="4:5" x14ac:dyDescent="0.25">
      <c r="D343" s="81"/>
      <c r="E343" s="81"/>
    </row>
    <row r="344" spans="4:5" x14ac:dyDescent="0.25">
      <c r="D344" s="81"/>
      <c r="E344" s="81"/>
    </row>
    <row r="345" spans="4:5" x14ac:dyDescent="0.25">
      <c r="D345" s="81"/>
      <c r="E345" s="81"/>
    </row>
    <row r="346" spans="4:5" x14ac:dyDescent="0.25">
      <c r="D346" s="81"/>
      <c r="E346" s="81"/>
    </row>
    <row r="347" spans="4:5" x14ac:dyDescent="0.25">
      <c r="D347" s="81"/>
      <c r="E347" s="81"/>
    </row>
    <row r="348" spans="4:5" x14ac:dyDescent="0.25">
      <c r="D348" s="81"/>
      <c r="E348" s="81"/>
    </row>
    <row r="349" spans="4:5" x14ac:dyDescent="0.25">
      <c r="D349" s="81"/>
      <c r="E349" s="81"/>
    </row>
    <row r="350" spans="4:5" x14ac:dyDescent="0.25">
      <c r="D350" s="81"/>
      <c r="E350" s="81"/>
    </row>
    <row r="351" spans="4:5" x14ac:dyDescent="0.25">
      <c r="D351" s="81"/>
      <c r="E351" s="81"/>
    </row>
    <row r="352" spans="4:5" x14ac:dyDescent="0.25">
      <c r="D352" s="81"/>
      <c r="E352" s="81"/>
    </row>
    <row r="353" spans="4:5" x14ac:dyDescent="0.25">
      <c r="D353" s="81"/>
      <c r="E353" s="81"/>
    </row>
    <row r="354" spans="4:5" x14ac:dyDescent="0.25">
      <c r="D354" s="81"/>
      <c r="E354" s="81"/>
    </row>
    <row r="355" spans="4:5" x14ac:dyDescent="0.25">
      <c r="D355" s="81"/>
      <c r="E355" s="81"/>
    </row>
    <row r="356" spans="4:5" x14ac:dyDescent="0.25">
      <c r="D356" s="81"/>
      <c r="E356" s="81"/>
    </row>
    <row r="357" spans="4:5" x14ac:dyDescent="0.25">
      <c r="D357" s="81"/>
      <c r="E357" s="81"/>
    </row>
    <row r="358" spans="4:5" x14ac:dyDescent="0.25">
      <c r="D358" s="81"/>
      <c r="E358" s="81"/>
    </row>
    <row r="359" spans="4:5" x14ac:dyDescent="0.25">
      <c r="D359" s="81"/>
      <c r="E359" s="81"/>
    </row>
    <row r="360" spans="4:5" x14ac:dyDescent="0.25">
      <c r="D360" s="81"/>
      <c r="E360" s="81"/>
    </row>
    <row r="361" spans="4:5" x14ac:dyDescent="0.25">
      <c r="D361" s="81"/>
      <c r="E361" s="81"/>
    </row>
    <row r="362" spans="4:5" x14ac:dyDescent="0.25">
      <c r="D362" s="81"/>
      <c r="E362" s="81"/>
    </row>
    <row r="363" spans="4:5" x14ac:dyDescent="0.25">
      <c r="D363" s="81"/>
      <c r="E363" s="81"/>
    </row>
    <row r="364" spans="4:5" x14ac:dyDescent="0.25">
      <c r="D364" s="81"/>
      <c r="E364" s="81"/>
    </row>
    <row r="365" spans="4:5" x14ac:dyDescent="0.25">
      <c r="D365" s="81"/>
      <c r="E365" s="81"/>
    </row>
    <row r="366" spans="4:5" x14ac:dyDescent="0.25">
      <c r="D366" s="81"/>
      <c r="E366" s="81"/>
    </row>
    <row r="367" spans="4:5" x14ac:dyDescent="0.25">
      <c r="D367" s="81"/>
      <c r="E367" s="81"/>
    </row>
    <row r="368" spans="4:5" x14ac:dyDescent="0.25">
      <c r="D368" s="81"/>
      <c r="E368" s="81"/>
    </row>
    <row r="369" spans="4:5" x14ac:dyDescent="0.25">
      <c r="D369" s="81"/>
      <c r="E369" s="81"/>
    </row>
    <row r="370" spans="4:5" x14ac:dyDescent="0.25">
      <c r="D370" s="81"/>
      <c r="E370" s="81"/>
    </row>
    <row r="371" spans="4:5" x14ac:dyDescent="0.25">
      <c r="D371" s="81"/>
      <c r="E371" s="81"/>
    </row>
    <row r="372" spans="4:5" x14ac:dyDescent="0.25">
      <c r="D372" s="81"/>
      <c r="E372" s="81"/>
    </row>
    <row r="373" spans="4:5" x14ac:dyDescent="0.25">
      <c r="D373" s="81"/>
      <c r="E373" s="81"/>
    </row>
    <row r="374" spans="4:5" x14ac:dyDescent="0.25">
      <c r="D374" s="81"/>
      <c r="E374" s="81"/>
    </row>
    <row r="375" spans="4:5" x14ac:dyDescent="0.25">
      <c r="D375" s="81"/>
      <c r="E375" s="81"/>
    </row>
    <row r="376" spans="4:5" x14ac:dyDescent="0.25">
      <c r="D376" s="81"/>
      <c r="E376" s="81"/>
    </row>
    <row r="377" spans="4:5" x14ac:dyDescent="0.25">
      <c r="D377" s="81"/>
      <c r="E377" s="81"/>
    </row>
    <row r="378" spans="4:5" x14ac:dyDescent="0.25">
      <c r="D378" s="81"/>
      <c r="E378" s="81"/>
    </row>
    <row r="379" spans="4:5" x14ac:dyDescent="0.25">
      <c r="D379" s="81"/>
      <c r="E379" s="81"/>
    </row>
    <row r="380" spans="4:5" x14ac:dyDescent="0.25">
      <c r="D380" s="81"/>
      <c r="E380" s="81"/>
    </row>
    <row r="381" spans="4:5" x14ac:dyDescent="0.25">
      <c r="D381" s="81"/>
      <c r="E381" s="81"/>
    </row>
    <row r="382" spans="4:5" x14ac:dyDescent="0.25">
      <c r="D382" s="81"/>
      <c r="E382" s="81"/>
    </row>
    <row r="383" spans="4:5" x14ac:dyDescent="0.25">
      <c r="D383" s="81"/>
      <c r="E383" s="81"/>
    </row>
    <row r="384" spans="4:5" x14ac:dyDescent="0.25">
      <c r="D384" s="81"/>
      <c r="E384" s="81"/>
    </row>
    <row r="385" spans="4:5" x14ac:dyDescent="0.25">
      <c r="D385" s="81"/>
      <c r="E385" s="81"/>
    </row>
    <row r="386" spans="4:5" x14ac:dyDescent="0.25">
      <c r="D386" s="81"/>
      <c r="E386" s="81"/>
    </row>
    <row r="387" spans="4:5" x14ac:dyDescent="0.25">
      <c r="D387" s="81"/>
      <c r="E387" s="81"/>
    </row>
    <row r="388" spans="4:5" x14ac:dyDescent="0.25">
      <c r="D388" s="81"/>
      <c r="E388" s="81"/>
    </row>
    <row r="389" spans="4:5" x14ac:dyDescent="0.25">
      <c r="D389" s="81"/>
      <c r="E389" s="81"/>
    </row>
    <row r="390" spans="4:5" x14ac:dyDescent="0.25">
      <c r="D390" s="81"/>
      <c r="E390" s="81"/>
    </row>
    <row r="391" spans="4:5" x14ac:dyDescent="0.25">
      <c r="D391" s="81"/>
      <c r="E391" s="81"/>
    </row>
    <row r="392" spans="4:5" x14ac:dyDescent="0.25">
      <c r="D392" s="81"/>
      <c r="E392" s="81"/>
    </row>
    <row r="393" spans="4:5" x14ac:dyDescent="0.25">
      <c r="D393" s="81"/>
      <c r="E393" s="81"/>
    </row>
    <row r="394" spans="4:5" x14ac:dyDescent="0.25">
      <c r="D394" s="81"/>
      <c r="E394" s="81"/>
    </row>
    <row r="395" spans="4:5" x14ac:dyDescent="0.25">
      <c r="D395" s="81"/>
      <c r="E395" s="81"/>
    </row>
    <row r="396" spans="4:5" x14ac:dyDescent="0.25">
      <c r="D396" s="81"/>
      <c r="E396" s="81"/>
    </row>
    <row r="397" spans="4:5" x14ac:dyDescent="0.25">
      <c r="D397" s="81"/>
      <c r="E397" s="81"/>
    </row>
    <row r="398" spans="4:5" x14ac:dyDescent="0.25">
      <c r="D398" s="81"/>
      <c r="E398" s="81"/>
    </row>
  </sheetData>
  <dataValidations disablePrompts="1" count="3">
    <dataValidation type="list" allowBlank="1" showInputMessage="1" showErrorMessage="1" sqref="C6" xr:uid="{7A597BDE-0B0F-48E5-84C4-FF82B4FB7917}">
      <formula1>"CDI+,IPCA+,Pré"</formula1>
    </dataValidation>
    <dataValidation type="list" allowBlank="1" showInputMessage="1" showErrorMessage="1" sqref="C11" xr:uid="{D43F06A9-9DED-47E6-8974-BCE9199D9F72}">
      <formula1>"Mensal,Trimestral,Semestral,Anual"</formula1>
    </dataValidation>
    <dataValidation type="list" allowBlank="1" showInputMessage="1" showErrorMessage="1" sqref="C12" xr:uid="{B1B44F92-D8BB-4B98-A306-4049B0664A7E}">
      <formula1>"SAC,Price"</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B4CF-03C0-4912-AD31-0C40392C0B4B}">
  <dimension ref="A2:M11"/>
  <sheetViews>
    <sheetView showGridLines="0" workbookViewId="0">
      <selection activeCell="D5" sqref="D5"/>
    </sheetView>
  </sheetViews>
  <sheetFormatPr defaultColWidth="9.140625" defaultRowHeight="15" x14ac:dyDescent="0.25"/>
  <cols>
    <col min="1" max="1" width="30.7109375" style="21" customWidth="1"/>
    <col min="2" max="2" width="16.7109375" style="50" customWidth="1"/>
    <col min="3" max="3" width="13.28515625" style="44" bestFit="1" customWidth="1"/>
    <col min="4" max="4" width="16.7109375" style="44" customWidth="1"/>
    <col min="5" max="13" width="9.140625" style="44"/>
    <col min="14" max="16384" width="9.140625" style="35"/>
  </cols>
  <sheetData>
    <row r="2" spans="1:4" x14ac:dyDescent="0.25">
      <c r="A2" s="36" t="s">
        <v>187</v>
      </c>
      <c r="B2" s="50">
        <v>70000</v>
      </c>
    </row>
    <row r="3" spans="1:4" x14ac:dyDescent="0.25">
      <c r="A3" s="36" t="s">
        <v>188</v>
      </c>
      <c r="B3" s="50">
        <v>500</v>
      </c>
    </row>
    <row r="4" spans="1:4" x14ac:dyDescent="0.25">
      <c r="A4" s="36" t="s">
        <v>189</v>
      </c>
      <c r="B4" s="50">
        <f>$C$4*6</f>
        <v>30000</v>
      </c>
      <c r="C4" s="87">
        <f>-Precificação!$B$10</f>
        <v>5000</v>
      </c>
    </row>
    <row r="5" spans="1:4" x14ac:dyDescent="0.25">
      <c r="A5" s="36" t="s">
        <v>228</v>
      </c>
      <c r="B5" s="50">
        <f>$C$5*$D$5</f>
        <v>139500</v>
      </c>
      <c r="C5" s="44">
        <f>SUM('Fluxo de Caixa'!$C$4:$AZ$4)</f>
        <v>45</v>
      </c>
      <c r="D5" s="88">
        <v>3100</v>
      </c>
    </row>
    <row r="6" spans="1:4" x14ac:dyDescent="0.25">
      <c r="A6" s="36" t="s">
        <v>190</v>
      </c>
      <c r="B6" s="50">
        <v>5000</v>
      </c>
    </row>
    <row r="7" spans="1:4" x14ac:dyDescent="0.25">
      <c r="A7" s="36" t="s">
        <v>191</v>
      </c>
      <c r="B7" s="50">
        <v>3000</v>
      </c>
    </row>
    <row r="8" spans="1:4" x14ac:dyDescent="0.25">
      <c r="A8" s="36" t="s">
        <v>192</v>
      </c>
      <c r="B8" s="50">
        <v>4000</v>
      </c>
    </row>
    <row r="9" spans="1:4" x14ac:dyDescent="0.25">
      <c r="A9" s="36" t="s">
        <v>193</v>
      </c>
      <c r="B9" s="50">
        <v>3000</v>
      </c>
    </row>
    <row r="10" spans="1:4" x14ac:dyDescent="0.25">
      <c r="A10" s="36" t="s">
        <v>231</v>
      </c>
      <c r="B10" s="50">
        <f>$C$10*6</f>
        <v>6000</v>
      </c>
      <c r="C10" s="87">
        <v>1000</v>
      </c>
    </row>
    <row r="11" spans="1:4" x14ac:dyDescent="0.25">
      <c r="A11" s="21" t="s">
        <v>194</v>
      </c>
      <c r="B11" s="68">
        <f>SUM(B2:B10)</f>
        <v>261000</v>
      </c>
    </row>
  </sheetData>
  <pageMargins left="0.511811024" right="0.511811024" top="0.78740157499999996" bottom="0.78740157499999996" header="0.31496062000000002" footer="0.31496062000000002"/>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9977-6DA7-4D79-8545-A8388CF8F749}">
  <dimension ref="A1:AM41"/>
  <sheetViews>
    <sheetView showGridLines="0" zoomScaleNormal="100" workbookViewId="0">
      <selection activeCell="B9" sqref="B9"/>
    </sheetView>
  </sheetViews>
  <sheetFormatPr defaultColWidth="9.140625" defaultRowHeight="15" outlineLevelCol="1" x14ac:dyDescent="0.25"/>
  <cols>
    <col min="1" max="1" width="35.7109375" style="37" customWidth="1"/>
    <col min="2" max="2" width="19.7109375" style="50" customWidth="1"/>
    <col min="3" max="4" width="19.7109375" style="44" customWidth="1"/>
    <col min="5" max="5" width="19.7109375" style="35" hidden="1" customWidth="1" outlineLevel="1"/>
    <col min="6" max="6" width="9.140625" style="35" collapsed="1"/>
    <col min="7" max="13" width="9.140625" style="35"/>
    <col min="14" max="14" width="10" style="35" bestFit="1" customWidth="1"/>
    <col min="15" max="35" width="9.140625" style="35"/>
    <col min="36" max="36" width="10.7109375" style="35" bestFit="1" customWidth="1"/>
    <col min="37" max="37" width="11.140625" style="35" bestFit="1" customWidth="1"/>
    <col min="38" max="16384" width="9.140625" style="35"/>
  </cols>
  <sheetData>
    <row r="1" spans="1:37" x14ac:dyDescent="0.25">
      <c r="A1" s="93"/>
      <c r="B1" s="93"/>
      <c r="C1" s="93"/>
      <c r="D1" s="93"/>
      <c r="E1" s="93"/>
    </row>
    <row r="2" spans="1:37" x14ac:dyDescent="0.25">
      <c r="A2" s="57" t="s">
        <v>153</v>
      </c>
      <c r="B2" s="45">
        <v>180</v>
      </c>
      <c r="C2" s="1" t="s">
        <v>184</v>
      </c>
      <c r="D2" s="50">
        <f ca="1">$B$5*B34</f>
        <v>33738.983570151773</v>
      </c>
    </row>
    <row r="3" spans="1:37" x14ac:dyDescent="0.25">
      <c r="A3" s="57" t="s">
        <v>107</v>
      </c>
      <c r="B3" s="39">
        <v>45840</v>
      </c>
      <c r="C3" s="86" t="s">
        <v>185</v>
      </c>
      <c r="D3" s="50">
        <f ca="1">$D$2+B32</f>
        <v>1606.6182652453208</v>
      </c>
      <c r="E3" s="86"/>
    </row>
    <row r="4" spans="1:37" x14ac:dyDescent="0.25">
      <c r="A4" s="57" t="s">
        <v>151</v>
      </c>
      <c r="B4" s="51">
        <f>3100/60</f>
        <v>51.666666666666664</v>
      </c>
      <c r="C4" s="1" t="s">
        <v>186</v>
      </c>
      <c r="D4" s="95">
        <f ca="1">$D$3/$D$2</f>
        <v>4.7619047619047568E-2</v>
      </c>
      <c r="E4" s="1"/>
    </row>
    <row r="5" spans="1:37" x14ac:dyDescent="0.25">
      <c r="A5" s="57" t="s">
        <v>155</v>
      </c>
      <c r="B5" s="50">
        <f>$B$2/$B$6</f>
        <v>720</v>
      </c>
      <c r="C5" s="1" t="s">
        <v>195</v>
      </c>
      <c r="D5" s="63">
        <f>($B$12-$B$10)+$B$17+$B$22</f>
        <v>-15773.8</v>
      </c>
      <c r="E5" s="56"/>
    </row>
    <row r="6" spans="1:37" x14ac:dyDescent="0.25">
      <c r="A6" s="57" t="s">
        <v>197</v>
      </c>
      <c r="B6" s="69">
        <v>0.25</v>
      </c>
      <c r="C6" s="94" t="s">
        <v>32</v>
      </c>
      <c r="D6" s="63">
        <f ca="1">$B$10+$B$24+$B$27+$B$28+$B$29</f>
        <v>-12012.728849910625</v>
      </c>
      <c r="E6" s="56"/>
    </row>
    <row r="7" spans="1:37" x14ac:dyDescent="0.25">
      <c r="E7" s="82"/>
    </row>
    <row r="8" spans="1:37" ht="15.75" x14ac:dyDescent="0.25">
      <c r="A8" s="59"/>
      <c r="B8" s="62" t="s">
        <v>149</v>
      </c>
      <c r="E8" s="62" t="s">
        <v>198</v>
      </c>
    </row>
    <row r="9" spans="1:37" x14ac:dyDescent="0.25">
      <c r="A9" s="37" t="s">
        <v>209</v>
      </c>
      <c r="B9" s="63">
        <f>-1000</f>
        <v>-1000</v>
      </c>
      <c r="E9" s="96">
        <f ca="1">-B9/$B$32</f>
        <v>-3.1121269489840668E-2</v>
      </c>
      <c r="AK9" s="60"/>
    </row>
    <row r="10" spans="1:37" x14ac:dyDescent="0.25">
      <c r="A10" s="37" t="s">
        <v>213</v>
      </c>
      <c r="B10" s="63">
        <v>-5000</v>
      </c>
      <c r="E10" s="96">
        <f ca="1">-B10/$B$32</f>
        <v>-0.15560634744920335</v>
      </c>
    </row>
    <row r="11" spans="1:37" x14ac:dyDescent="0.25">
      <c r="A11" s="37" t="s">
        <v>214</v>
      </c>
      <c r="B11" s="63">
        <f>-$B$4*$B$2</f>
        <v>-9300</v>
      </c>
      <c r="E11" s="96">
        <f ca="1">-B11/$B$32</f>
        <v>-0.28942780625551823</v>
      </c>
    </row>
    <row r="12" spans="1:37" x14ac:dyDescent="0.25">
      <c r="A12" s="57" t="s">
        <v>152</v>
      </c>
      <c r="B12" s="19">
        <f>SUM(B9:B11)</f>
        <v>-15300</v>
      </c>
      <c r="E12" s="97">
        <f ca="1">-B12/$B$32</f>
        <v>-0.47615542319456222</v>
      </c>
      <c r="AI12" s="56"/>
      <c r="AJ12" s="58"/>
    </row>
    <row r="13" spans="1:37" x14ac:dyDescent="0.25">
      <c r="B13" s="63"/>
      <c r="E13" s="46"/>
      <c r="AI13" s="56"/>
      <c r="AJ13" s="58"/>
      <c r="AK13" s="56"/>
    </row>
    <row r="14" spans="1:37" x14ac:dyDescent="0.25">
      <c r="A14" s="37" t="s">
        <v>215</v>
      </c>
      <c r="B14" s="63">
        <f>-$C$14*$B$4*$B$2</f>
        <v>-1673.9999999999998</v>
      </c>
      <c r="C14" s="117">
        <v>0.18</v>
      </c>
      <c r="E14" s="96">
        <f ca="1">-B14/$B$32</f>
        <v>-5.2097005125993273E-2</v>
      </c>
      <c r="O14" s="56"/>
      <c r="AI14" s="56"/>
      <c r="AJ14" s="58"/>
    </row>
    <row r="15" spans="1:37" x14ac:dyDescent="0.25">
      <c r="A15" s="37" t="s">
        <v>216</v>
      </c>
      <c r="B15" s="63">
        <f>-300</f>
        <v>-300</v>
      </c>
      <c r="E15" s="96">
        <f ca="1">-B15/$B$32</f>
        <v>-9.3363808469522011E-3</v>
      </c>
      <c r="O15" s="56"/>
      <c r="AI15" s="56"/>
      <c r="AJ15" s="58"/>
    </row>
    <row r="16" spans="1:37" x14ac:dyDescent="0.25">
      <c r="A16" s="37" t="s">
        <v>217</v>
      </c>
      <c r="B16" s="63">
        <f>-$C$16*$B$2</f>
        <v>-154.80000000000001</v>
      </c>
      <c r="C16" s="64">
        <v>0.86</v>
      </c>
      <c r="E16" s="96">
        <f ca="1">-B16/$B$32</f>
        <v>-4.8175725170273359E-3</v>
      </c>
      <c r="N16" s="58"/>
      <c r="O16" s="56"/>
      <c r="AI16" s="56"/>
      <c r="AJ16" s="58"/>
    </row>
    <row r="17" spans="1:38" x14ac:dyDescent="0.25">
      <c r="A17" s="57" t="s">
        <v>147</v>
      </c>
      <c r="B17" s="19">
        <f>SUM(B14:B16)</f>
        <v>-2128.7999999999997</v>
      </c>
      <c r="E17" s="97">
        <f ca="1">-B17/$B$32</f>
        <v>-6.6250958489972811E-2</v>
      </c>
      <c r="N17" s="58"/>
      <c r="O17" s="56"/>
      <c r="AI17" s="56"/>
      <c r="AJ17" s="58"/>
    </row>
    <row r="18" spans="1:38" x14ac:dyDescent="0.25">
      <c r="B18" s="63"/>
      <c r="E18" s="46"/>
      <c r="N18" s="58"/>
      <c r="O18" s="56"/>
      <c r="AI18" s="56"/>
      <c r="AJ18" s="58"/>
    </row>
    <row r="19" spans="1:38" x14ac:dyDescent="0.25">
      <c r="A19" s="37" t="s">
        <v>210</v>
      </c>
      <c r="B19" s="63">
        <f>-$C$19*$D$19</f>
        <v>-2880</v>
      </c>
      <c r="C19" s="65">
        <f>$B$5</f>
        <v>720</v>
      </c>
      <c r="D19" s="67">
        <v>4</v>
      </c>
      <c r="E19" s="96">
        <f ca="1">-B19/$B$32</f>
        <v>-8.9629256130741117E-2</v>
      </c>
      <c r="N19" s="58"/>
      <c r="O19" s="56"/>
      <c r="AI19" s="56"/>
      <c r="AJ19" s="58"/>
    </row>
    <row r="20" spans="1:38" x14ac:dyDescent="0.25">
      <c r="A20" s="37" t="s">
        <v>211</v>
      </c>
      <c r="B20" s="63">
        <v>0</v>
      </c>
      <c r="C20" s="66" t="s">
        <v>154</v>
      </c>
      <c r="D20" s="46">
        <v>0.3</v>
      </c>
      <c r="E20" s="96">
        <f ca="1">-B20/$B$32</f>
        <v>0</v>
      </c>
      <c r="N20" s="58"/>
      <c r="O20" s="56"/>
      <c r="AI20" s="56"/>
      <c r="AJ20" s="58"/>
    </row>
    <row r="21" spans="1:38" x14ac:dyDescent="0.25">
      <c r="A21" s="37" t="s">
        <v>212</v>
      </c>
      <c r="B21" s="63">
        <f>-$C$21*($B$2*$B$4)</f>
        <v>-465</v>
      </c>
      <c r="C21" s="117">
        <v>0.05</v>
      </c>
      <c r="E21" s="96">
        <f ca="1">-B21/$B$32</f>
        <v>-1.447139031277591E-2</v>
      </c>
      <c r="N21" s="58"/>
      <c r="O21" s="56"/>
      <c r="AI21" s="56"/>
      <c r="AJ21" s="58"/>
      <c r="AL21" s="56"/>
    </row>
    <row r="22" spans="1:38" x14ac:dyDescent="0.25">
      <c r="A22" s="57" t="s">
        <v>148</v>
      </c>
      <c r="B22" s="19">
        <f>SUM(B19:B21)</f>
        <v>-3345</v>
      </c>
      <c r="C22" s="117"/>
      <c r="E22" s="97">
        <f ca="1">-B22/$B$32</f>
        <v>-0.10410064644351703</v>
      </c>
      <c r="O22" s="56"/>
      <c r="AI22" s="56"/>
      <c r="AJ22" s="58"/>
    </row>
    <row r="23" spans="1:38" x14ac:dyDescent="0.25">
      <c r="B23" s="63"/>
      <c r="C23" s="117"/>
      <c r="E23" s="46"/>
      <c r="N23" s="58"/>
      <c r="O23" s="56"/>
      <c r="AI23" s="56"/>
      <c r="AJ23" s="58"/>
    </row>
    <row r="24" spans="1:38" x14ac:dyDescent="0.25">
      <c r="A24" s="37" t="s">
        <v>196</v>
      </c>
      <c r="B24" s="63">
        <f>-$C$24*$B$2*$B$4</f>
        <v>-465</v>
      </c>
      <c r="C24" s="117">
        <v>0.05</v>
      </c>
      <c r="E24" s="96">
        <f ca="1">-B24/$B$32</f>
        <v>-1.447139031277591E-2</v>
      </c>
      <c r="N24" s="58"/>
      <c r="O24" s="56"/>
      <c r="AI24" s="56"/>
      <c r="AJ24" s="58"/>
    </row>
    <row r="25" spans="1:38" x14ac:dyDescent="0.25">
      <c r="A25" s="37" t="s">
        <v>93</v>
      </c>
      <c r="B25" s="63">
        <f>-AVERAGE('Simulação Empréstimo'!$K$6:$K$11)/12</f>
        <v>-1714.1957365239887</v>
      </c>
      <c r="C25" s="117"/>
      <c r="E25" s="96">
        <f ca="1">-B25/$B$32</f>
        <v>-5.334794747469896E-2</v>
      </c>
      <c r="N25" s="58"/>
      <c r="O25" s="56"/>
      <c r="AI25" s="56"/>
      <c r="AJ25" s="58"/>
    </row>
    <row r="26" spans="1:38" x14ac:dyDescent="0.25">
      <c r="A26" s="37" t="s">
        <v>206</v>
      </c>
      <c r="B26" s="63">
        <f ca="1">-$C$26*$D$2</f>
        <v>-2631.6407184718382</v>
      </c>
      <c r="C26" s="117">
        <v>7.8E-2</v>
      </c>
      <c r="D26" s="44" t="s">
        <v>150</v>
      </c>
      <c r="E26" s="96">
        <f ca="1">-B26/$B$32</f>
        <v>-8.1899999999999987E-2</v>
      </c>
      <c r="O26" s="56"/>
      <c r="AI26" s="56"/>
      <c r="AJ26" s="58"/>
    </row>
    <row r="27" spans="1:38" x14ac:dyDescent="0.25">
      <c r="A27" s="37" t="s">
        <v>218</v>
      </c>
      <c r="B27" s="63">
        <f>-$C$27*($B$2*$B$4)</f>
        <v>-186</v>
      </c>
      <c r="C27" s="117">
        <v>0.02</v>
      </c>
      <c r="E27" s="96">
        <f ca="1">-B27/$B$32</f>
        <v>-5.7885561251103642E-3</v>
      </c>
      <c r="N27" s="58"/>
      <c r="O27" s="56"/>
      <c r="AI27" s="56"/>
      <c r="AJ27" s="58"/>
    </row>
    <row r="28" spans="1:38" x14ac:dyDescent="0.25">
      <c r="A28" s="37" t="s">
        <v>219</v>
      </c>
      <c r="B28" s="63">
        <f ca="1">-$D$2*$C$28</f>
        <v>-2361.7288499106244</v>
      </c>
      <c r="C28" s="117">
        <v>7.0000000000000007E-2</v>
      </c>
      <c r="E28" s="96">
        <f ca="1">-B28/$B$32</f>
        <v>-7.350000000000001E-2</v>
      </c>
      <c r="N28" s="58"/>
      <c r="O28" s="56"/>
      <c r="AI28" s="56"/>
      <c r="AJ28" s="58"/>
    </row>
    <row r="29" spans="1:38" x14ac:dyDescent="0.25">
      <c r="A29" s="37" t="s">
        <v>220</v>
      </c>
      <c r="B29" s="63">
        <v>-4000</v>
      </c>
      <c r="C29" s="46"/>
      <c r="E29" s="96"/>
      <c r="G29" s="82"/>
      <c r="N29" s="58"/>
      <c r="O29" s="56"/>
      <c r="AI29" s="56"/>
      <c r="AJ29" s="58"/>
    </row>
    <row r="30" spans="1:38" x14ac:dyDescent="0.25">
      <c r="A30" s="57" t="s">
        <v>226</v>
      </c>
      <c r="B30" s="19">
        <f ca="1">SUM(B24:B29)</f>
        <v>-11358.565304906451</v>
      </c>
      <c r="E30" s="97">
        <f ca="1">-B30/$B$32</f>
        <v>-0.35349297187194789</v>
      </c>
      <c r="N30" s="58"/>
      <c r="O30" s="56"/>
      <c r="AI30" s="56"/>
      <c r="AJ30" s="58"/>
    </row>
    <row r="31" spans="1:38" x14ac:dyDescent="0.25">
      <c r="N31" s="58"/>
      <c r="O31" s="56"/>
      <c r="AI31" s="56"/>
      <c r="AJ31" s="58"/>
    </row>
    <row r="32" spans="1:38" x14ac:dyDescent="0.25">
      <c r="A32" s="57" t="s">
        <v>225</v>
      </c>
      <c r="B32" s="19">
        <f ca="1">SUM($B$30+$B$22+$B$17+$B$12)</f>
        <v>-32132.365304906452</v>
      </c>
      <c r="D32" s="46"/>
      <c r="O32" s="56"/>
      <c r="AI32" s="56"/>
      <c r="AJ32" s="58"/>
    </row>
    <row r="33" spans="1:39" x14ac:dyDescent="0.25">
      <c r="C33" s="61"/>
      <c r="O33" s="56"/>
      <c r="AI33" s="56"/>
      <c r="AJ33" s="58"/>
    </row>
    <row r="34" spans="1:39" x14ac:dyDescent="0.25">
      <c r="A34" s="57" t="s">
        <v>182</v>
      </c>
      <c r="B34" s="68">
        <f ca="1">(-B32+(-$B$32*$C$34))/$B$5</f>
        <v>46.859699402988575</v>
      </c>
      <c r="C34" s="83">
        <v>0.05</v>
      </c>
      <c r="E34" s="92"/>
      <c r="N34" s="58"/>
      <c r="O34" s="56"/>
      <c r="AI34" s="56"/>
      <c r="AJ34" s="58"/>
    </row>
    <row r="35" spans="1:39" x14ac:dyDescent="0.25">
      <c r="A35" s="57"/>
      <c r="N35" s="58"/>
      <c r="O35" s="56"/>
      <c r="AI35" s="56"/>
      <c r="AJ35" s="58"/>
      <c r="AM35" s="56"/>
    </row>
    <row r="36" spans="1:39" x14ac:dyDescent="0.25">
      <c r="N36" s="58"/>
      <c r="O36" s="56"/>
      <c r="AI36" s="56"/>
      <c r="AJ36" s="58"/>
    </row>
    <row r="37" spans="1:39" x14ac:dyDescent="0.25">
      <c r="AI37" s="56"/>
      <c r="AJ37" s="58"/>
    </row>
    <row r="38" spans="1:39" x14ac:dyDescent="0.25">
      <c r="B38" s="66"/>
      <c r="AI38" s="56"/>
      <c r="AJ38" s="58"/>
    </row>
    <row r="39" spans="1:39" x14ac:dyDescent="0.25">
      <c r="AI39" s="56"/>
      <c r="AJ39" s="58"/>
    </row>
    <row r="41" spans="1:39" x14ac:dyDescent="0.25">
      <c r="B41" s="51"/>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3BD83-C9A9-4525-8633-09B6C115566E}">
  <dimension ref="A1:KH44"/>
  <sheetViews>
    <sheetView showGridLines="0" zoomScaleNormal="100" workbookViewId="0">
      <selection sqref="A1:XFD1048576"/>
    </sheetView>
  </sheetViews>
  <sheetFormatPr defaultColWidth="8.85546875" defaultRowHeight="15" outlineLevelRow="1" x14ac:dyDescent="0.25"/>
  <cols>
    <col min="1" max="1" width="25.7109375" style="44" bestFit="1" customWidth="1"/>
    <col min="2" max="2" width="2.28515625" style="35" bestFit="1" customWidth="1"/>
    <col min="3" max="3" width="27.5703125" style="37" bestFit="1" customWidth="1"/>
    <col min="4" max="4" width="12.85546875" style="44" bestFit="1" customWidth="1"/>
    <col min="5" max="5" width="16.42578125" style="44" bestFit="1" customWidth="1"/>
    <col min="6" max="6" width="3.7109375" style="44" customWidth="1"/>
    <col min="7" max="7" width="23.7109375" style="37" customWidth="1"/>
    <col min="8" max="8" width="11.42578125" style="35" bestFit="1" customWidth="1"/>
    <col min="9" max="9" width="16.42578125" style="35" bestFit="1" customWidth="1"/>
    <col min="10" max="10" width="2.28515625" style="44" bestFit="1" customWidth="1"/>
    <col min="11" max="11" width="23.85546875" style="35" bestFit="1" customWidth="1"/>
    <col min="12" max="12" width="11.42578125" style="35" bestFit="1" customWidth="1"/>
    <col min="13" max="13" width="16.42578125" style="35" bestFit="1" customWidth="1"/>
    <col min="14" max="14" width="2.28515625" style="35" bestFit="1" customWidth="1"/>
    <col min="15" max="15" width="23.85546875" style="35" bestFit="1" customWidth="1"/>
    <col min="16" max="16" width="11.42578125" style="35" bestFit="1" customWidth="1"/>
    <col min="17" max="17" width="16.42578125" style="35" bestFit="1" customWidth="1"/>
    <col min="18" max="18" width="2.28515625" style="35" bestFit="1" customWidth="1"/>
    <col min="19" max="19" width="23.85546875" style="35" bestFit="1" customWidth="1"/>
    <col min="20" max="20" width="11.42578125" style="35" bestFit="1" customWidth="1"/>
    <col min="21" max="21" width="16.42578125" style="35" bestFit="1" customWidth="1"/>
    <col min="22" max="22" width="2.28515625" style="35" bestFit="1" customWidth="1"/>
    <col min="23" max="23" width="23.85546875" style="35" bestFit="1" customWidth="1"/>
    <col min="24" max="24" width="11.42578125" style="35" bestFit="1" customWidth="1"/>
    <col min="25" max="25" width="16.42578125" style="35" bestFit="1" customWidth="1"/>
    <col min="26" max="26" width="2.28515625" style="35" bestFit="1" customWidth="1"/>
    <col min="27" max="27" width="23.85546875" style="35" bestFit="1" customWidth="1"/>
    <col min="28" max="28" width="11.42578125" style="35" bestFit="1" customWidth="1"/>
    <col min="29" max="29" width="16.42578125" style="35" bestFit="1" customWidth="1"/>
    <col min="30" max="30" width="2.28515625" style="35" bestFit="1" customWidth="1"/>
    <col min="31" max="31" width="23.85546875" style="35" bestFit="1" customWidth="1"/>
    <col min="32" max="32" width="11.42578125" style="35" bestFit="1" customWidth="1"/>
    <col min="33" max="33" width="16.42578125" style="35" bestFit="1" customWidth="1"/>
    <col min="34" max="34" width="2.28515625" style="35" bestFit="1" customWidth="1"/>
    <col min="35" max="35" width="23.85546875" style="35" bestFit="1" customWidth="1"/>
    <col min="36" max="36" width="11.42578125" style="35" bestFit="1" customWidth="1"/>
    <col min="37" max="37" width="16.42578125" style="35" bestFit="1" customWidth="1"/>
    <col min="38" max="38" width="2.28515625" style="35" bestFit="1" customWidth="1"/>
    <col min="39" max="39" width="23.85546875" style="35" bestFit="1" customWidth="1"/>
    <col min="40" max="40" width="11.42578125" style="35" bestFit="1" customWidth="1"/>
    <col min="41" max="41" width="16.42578125" style="35" bestFit="1" customWidth="1"/>
    <col min="42" max="42" width="2.28515625" style="35" bestFit="1" customWidth="1"/>
    <col min="43" max="43" width="23.85546875" style="35" bestFit="1" customWidth="1"/>
    <col min="44" max="44" width="11.42578125" style="35" bestFit="1" customWidth="1"/>
    <col min="45" max="45" width="16.42578125" style="35" bestFit="1" customWidth="1"/>
    <col min="46" max="46" width="2.28515625" style="35" bestFit="1" customWidth="1"/>
    <col min="47" max="47" width="23.85546875" style="35" bestFit="1" customWidth="1"/>
    <col min="48" max="48" width="11.42578125" style="35" bestFit="1" customWidth="1"/>
    <col min="49" max="49" width="16.42578125" style="35" bestFit="1" customWidth="1"/>
    <col min="50" max="50" width="2.28515625" style="35" bestFit="1" customWidth="1"/>
    <col min="51" max="51" width="23.85546875" style="35" bestFit="1" customWidth="1"/>
    <col min="52" max="52" width="11.42578125" style="35" bestFit="1" customWidth="1"/>
    <col min="53" max="53" width="16.42578125" style="35" bestFit="1" customWidth="1"/>
    <col min="54" max="54" width="2.28515625" style="35" bestFit="1" customWidth="1"/>
    <col min="55" max="55" width="23.85546875" style="35" bestFit="1" customWidth="1"/>
    <col min="56" max="56" width="11.42578125" style="35" bestFit="1" customWidth="1"/>
    <col min="57" max="57" width="16.42578125" style="35" bestFit="1" customWidth="1"/>
    <col min="58" max="58" width="2.28515625" style="35" bestFit="1" customWidth="1"/>
    <col min="59" max="59" width="23.85546875" style="35" bestFit="1" customWidth="1"/>
    <col min="60" max="60" width="11.42578125" style="35" bestFit="1" customWidth="1"/>
    <col min="61" max="61" width="16.42578125" style="35" bestFit="1" customWidth="1"/>
    <col min="62" max="62" width="2.28515625" style="35" bestFit="1" customWidth="1"/>
    <col min="63" max="63" width="23.85546875" style="35" bestFit="1" customWidth="1"/>
    <col min="64" max="64" width="11.42578125" style="35" bestFit="1" customWidth="1"/>
    <col min="65" max="65" width="16.42578125" style="35" bestFit="1" customWidth="1"/>
    <col min="66" max="66" width="2.28515625" style="35" bestFit="1" customWidth="1"/>
    <col min="67" max="67" width="23.85546875" style="35" bestFit="1" customWidth="1"/>
    <col min="68" max="68" width="11.42578125" style="35" bestFit="1" customWidth="1"/>
    <col min="69" max="69" width="16.42578125" style="35" bestFit="1" customWidth="1"/>
    <col min="70" max="70" width="2.28515625" style="35" bestFit="1" customWidth="1"/>
    <col min="71" max="71" width="23.85546875" style="35" bestFit="1" customWidth="1"/>
    <col min="72" max="72" width="11.42578125" style="35" bestFit="1" customWidth="1"/>
    <col min="73" max="73" width="16.42578125" style="35" bestFit="1" customWidth="1"/>
    <col min="74" max="74" width="2.28515625" style="35" bestFit="1" customWidth="1"/>
    <col min="75" max="75" width="23.85546875" style="35" bestFit="1" customWidth="1"/>
    <col min="76" max="76" width="11.28515625" style="35" bestFit="1" customWidth="1"/>
    <col min="77" max="77" width="16.42578125" style="35" bestFit="1" customWidth="1"/>
    <col min="78" max="78" width="2.28515625" style="35" bestFit="1" customWidth="1"/>
    <col min="79" max="79" width="23.85546875" style="35" bestFit="1" customWidth="1"/>
    <col min="80" max="80" width="11.28515625" style="35" bestFit="1" customWidth="1"/>
    <col min="81" max="81" width="16.42578125" style="35" bestFit="1" customWidth="1"/>
    <col min="82" max="82" width="2.28515625" style="35" bestFit="1" customWidth="1"/>
    <col min="83" max="83" width="23.85546875" style="35" bestFit="1" customWidth="1"/>
    <col min="84" max="84" width="10.140625" style="35" bestFit="1" customWidth="1"/>
    <col min="85" max="85" width="16.42578125" style="35" bestFit="1" customWidth="1"/>
    <col min="86" max="86" width="2.28515625" style="35" bestFit="1" customWidth="1"/>
    <col min="87" max="87" width="23.85546875" style="35" bestFit="1" customWidth="1"/>
    <col min="88" max="88" width="11.28515625" style="35" bestFit="1" customWidth="1"/>
    <col min="89" max="89" width="16.42578125" style="35" bestFit="1" customWidth="1"/>
    <col min="90" max="90" width="2.28515625" style="35" bestFit="1" customWidth="1"/>
    <col min="91" max="91" width="23.85546875" style="35" bestFit="1" customWidth="1"/>
    <col min="92" max="92" width="11.28515625" style="35" bestFit="1" customWidth="1"/>
    <col min="93" max="93" width="16.42578125" style="35" bestFit="1" customWidth="1"/>
    <col min="94" max="94" width="2.28515625" style="35" bestFit="1" customWidth="1"/>
    <col min="95" max="95" width="23.85546875" style="35" bestFit="1" customWidth="1"/>
    <col min="96" max="96" width="11.42578125" style="35" bestFit="1" customWidth="1"/>
    <col min="97" max="97" width="16.42578125" style="35" bestFit="1" customWidth="1"/>
    <col min="98" max="98" width="2.28515625" style="35" bestFit="1" customWidth="1"/>
    <col min="99" max="99" width="23.7109375" style="35" customWidth="1"/>
    <col min="100" max="100" width="11.42578125" style="35" bestFit="1" customWidth="1"/>
    <col min="101" max="101" width="16.42578125" style="35" bestFit="1" customWidth="1"/>
    <col min="102" max="102" width="8.85546875" style="35"/>
    <col min="103" max="103" width="23.85546875" style="35" bestFit="1" customWidth="1"/>
    <col min="104" max="104" width="11.42578125" style="35" bestFit="1" customWidth="1"/>
    <col min="105" max="105" width="16.42578125" style="35" bestFit="1" customWidth="1"/>
    <col min="106" max="106" width="8.85546875" style="35"/>
    <col min="107" max="107" width="23.85546875" style="35" bestFit="1" customWidth="1"/>
    <col min="108" max="108" width="11.42578125" style="35" bestFit="1" customWidth="1"/>
    <col min="109" max="109" width="16.42578125" style="35" bestFit="1" customWidth="1"/>
    <col min="110" max="110" width="8.85546875" style="35"/>
    <col min="111" max="111" width="23.85546875" style="35" bestFit="1" customWidth="1"/>
    <col min="112" max="112" width="11.42578125" style="35" bestFit="1" customWidth="1"/>
    <col min="113" max="113" width="16.42578125" style="35" bestFit="1" customWidth="1"/>
    <col min="114" max="114" width="8.85546875" style="35"/>
    <col min="115" max="115" width="23.85546875" style="35" bestFit="1" customWidth="1"/>
    <col min="116" max="116" width="11.42578125" style="35" bestFit="1" customWidth="1"/>
    <col min="117" max="117" width="16.42578125" style="35" bestFit="1" customWidth="1"/>
    <col min="118" max="118" width="8.85546875" style="35"/>
    <col min="119" max="119" width="23.85546875" style="35" bestFit="1" customWidth="1"/>
    <col min="120" max="120" width="11.42578125" style="35" bestFit="1" customWidth="1"/>
    <col min="121" max="121" width="16.42578125" style="35" bestFit="1" customWidth="1"/>
    <col min="122" max="122" width="8.85546875" style="35"/>
    <col min="123" max="123" width="23.85546875" style="35" bestFit="1" customWidth="1"/>
    <col min="124" max="124" width="11.42578125" style="35" bestFit="1" customWidth="1"/>
    <col min="125" max="125" width="16.42578125" style="35" bestFit="1" customWidth="1"/>
    <col min="126" max="126" width="8.85546875" style="35"/>
    <col min="127" max="127" width="23.85546875" style="35" bestFit="1" customWidth="1"/>
    <col min="128" max="128" width="11.42578125" style="35" bestFit="1" customWidth="1"/>
    <col min="129" max="129" width="16.42578125" style="35" bestFit="1" customWidth="1"/>
    <col min="130" max="130" width="8.85546875" style="35"/>
    <col min="131" max="131" width="23.85546875" style="35" bestFit="1" customWidth="1"/>
    <col min="132" max="132" width="11.42578125" style="35" bestFit="1" customWidth="1"/>
    <col min="133" max="133" width="16.42578125" style="35" bestFit="1" customWidth="1"/>
    <col min="134" max="134" width="8.85546875" style="35"/>
    <col min="135" max="135" width="23.85546875" style="35" bestFit="1" customWidth="1"/>
    <col min="136" max="136" width="11.42578125" style="35" bestFit="1" customWidth="1"/>
    <col min="137" max="137" width="16.42578125" style="35" bestFit="1" customWidth="1"/>
    <col min="138" max="138" width="8.85546875" style="35"/>
    <col min="139" max="139" width="23.85546875" style="35" bestFit="1" customWidth="1"/>
    <col min="140" max="140" width="11.42578125" style="35" bestFit="1" customWidth="1"/>
    <col min="141" max="141" width="16.42578125" style="35" bestFit="1" customWidth="1"/>
    <col min="142" max="142" width="8.85546875" style="35"/>
    <col min="143" max="143" width="23.85546875" style="35" bestFit="1" customWidth="1"/>
    <col min="144" max="144" width="11.42578125" style="35" bestFit="1" customWidth="1"/>
    <col min="145" max="145" width="16.42578125" style="35" bestFit="1" customWidth="1"/>
    <col min="146" max="146" width="8.85546875" style="35"/>
    <col min="147" max="147" width="23.85546875" style="35" bestFit="1" customWidth="1"/>
    <col min="148" max="148" width="11.42578125" style="35" bestFit="1" customWidth="1"/>
    <col min="149" max="149" width="16.42578125" style="35" bestFit="1" customWidth="1"/>
    <col min="150" max="150" width="8.85546875" style="35"/>
    <col min="151" max="151" width="23.85546875" style="35" bestFit="1" customWidth="1"/>
    <col min="152" max="152" width="10.140625" style="35" bestFit="1" customWidth="1"/>
    <col min="153" max="153" width="16.42578125" style="35" bestFit="1" customWidth="1"/>
    <col min="154" max="154" width="8.85546875" style="35"/>
    <col min="155" max="155" width="23.85546875" style="35" bestFit="1" customWidth="1"/>
    <col min="156" max="156" width="10.140625" style="35" bestFit="1" customWidth="1"/>
    <col min="157" max="157" width="16.42578125" style="35" bestFit="1" customWidth="1"/>
    <col min="158" max="158" width="8.85546875" style="35"/>
    <col min="159" max="159" width="23.85546875" style="35" bestFit="1" customWidth="1"/>
    <col min="160" max="160" width="11.28515625" style="35" bestFit="1" customWidth="1"/>
    <col min="161" max="161" width="16.42578125" style="35" bestFit="1" customWidth="1"/>
    <col min="162" max="162" width="8.85546875" style="35"/>
    <col min="163" max="163" width="23.85546875" style="35" bestFit="1" customWidth="1"/>
    <col min="164" max="164" width="10.5703125" style="35" bestFit="1" customWidth="1"/>
    <col min="165" max="165" width="16.42578125" style="35" bestFit="1" customWidth="1"/>
    <col min="166" max="166" width="8.85546875" style="35"/>
    <col min="167" max="167" width="23.85546875" style="35" bestFit="1" customWidth="1"/>
    <col min="168" max="168" width="10.5703125" style="35" bestFit="1" customWidth="1"/>
    <col min="169" max="169" width="16.42578125" style="35" bestFit="1" customWidth="1"/>
    <col min="170" max="170" width="8.85546875" style="35"/>
    <col min="171" max="171" width="23.85546875" style="35" bestFit="1" customWidth="1"/>
    <col min="172" max="172" width="11.28515625" style="35" bestFit="1" customWidth="1"/>
    <col min="173" max="173" width="16.42578125" style="35" bestFit="1" customWidth="1"/>
    <col min="174" max="174" width="8.85546875" style="35"/>
    <col min="175" max="175" width="23.85546875" style="35" bestFit="1" customWidth="1"/>
    <col min="176" max="176" width="10.5703125" style="35" bestFit="1" customWidth="1"/>
    <col min="177" max="177" width="16.42578125" style="35" bestFit="1" customWidth="1"/>
    <col min="178" max="178" width="8.85546875" style="35"/>
    <col min="179" max="179" width="23.85546875" style="35" bestFit="1" customWidth="1"/>
    <col min="180" max="180" width="10.5703125" style="35" bestFit="1" customWidth="1"/>
    <col min="181" max="181" width="16.42578125" style="35" bestFit="1" customWidth="1"/>
    <col min="182" max="182" width="8.85546875" style="35"/>
    <col min="183" max="183" width="23.85546875" style="35" bestFit="1" customWidth="1"/>
    <col min="184" max="184" width="11.28515625" style="35" bestFit="1" customWidth="1"/>
    <col min="185" max="185" width="16.42578125" style="35" bestFit="1" customWidth="1"/>
    <col min="186" max="186" width="8.85546875" style="35"/>
    <col min="187" max="187" width="23.85546875" style="35" bestFit="1" customWidth="1"/>
    <col min="188" max="188" width="13.28515625" style="35" bestFit="1" customWidth="1"/>
    <col min="189" max="189" width="16.42578125" style="35" bestFit="1" customWidth="1"/>
    <col min="190" max="190" width="8.85546875" style="35"/>
    <col min="191" max="191" width="23.85546875" style="35" bestFit="1" customWidth="1"/>
    <col min="192" max="192" width="11.42578125" style="35" bestFit="1" customWidth="1"/>
    <col min="193" max="193" width="16.42578125" style="35" bestFit="1" customWidth="1"/>
    <col min="194" max="194" width="8.85546875" style="35"/>
    <col min="195" max="195" width="23.85546875" style="35" bestFit="1" customWidth="1"/>
    <col min="196" max="196" width="11.42578125" style="35" bestFit="1" customWidth="1"/>
    <col min="197" max="197" width="16.42578125" style="35" bestFit="1" customWidth="1"/>
    <col min="198" max="198" width="8.85546875" style="35"/>
    <col min="199" max="199" width="23.85546875" style="35" bestFit="1" customWidth="1"/>
    <col min="200" max="200" width="11.42578125" style="35" bestFit="1" customWidth="1"/>
    <col min="201" max="201" width="16.42578125" style="35" bestFit="1" customWidth="1"/>
    <col min="202" max="202" width="8.85546875" style="35"/>
    <col min="203" max="203" width="23.85546875" style="35" bestFit="1" customWidth="1"/>
    <col min="204" max="204" width="11.42578125" style="35" bestFit="1" customWidth="1"/>
    <col min="205" max="205" width="16.42578125" style="35" bestFit="1" customWidth="1"/>
    <col min="206" max="206" width="8.85546875" style="35"/>
    <col min="207" max="207" width="23.85546875" style="35" bestFit="1" customWidth="1"/>
    <col min="208" max="208" width="11.42578125" style="35" bestFit="1" customWidth="1"/>
    <col min="209" max="209" width="16.42578125" style="35" bestFit="1" customWidth="1"/>
    <col min="210" max="210" width="8.85546875" style="35"/>
    <col min="211" max="211" width="23.85546875" style="35" bestFit="1" customWidth="1"/>
    <col min="212" max="212" width="11.42578125" style="35" bestFit="1" customWidth="1"/>
    <col min="213" max="213" width="16.42578125" style="35" bestFit="1" customWidth="1"/>
    <col min="214" max="214" width="8.85546875" style="35"/>
    <col min="215" max="215" width="23.85546875" style="35" bestFit="1" customWidth="1"/>
    <col min="216" max="216" width="11.42578125" style="35" bestFit="1" customWidth="1"/>
    <col min="217" max="217" width="16.42578125" style="35" bestFit="1" customWidth="1"/>
    <col min="218" max="218" width="8.85546875" style="35"/>
    <col min="219" max="219" width="23.85546875" style="35" bestFit="1" customWidth="1"/>
    <col min="220" max="220" width="11.42578125" style="35" bestFit="1" customWidth="1"/>
    <col min="221" max="221" width="16.42578125" style="35" bestFit="1" customWidth="1"/>
    <col min="222" max="222" width="8.85546875" style="35"/>
    <col min="223" max="223" width="23.85546875" style="35" bestFit="1" customWidth="1"/>
    <col min="224" max="224" width="10.5703125" style="35" bestFit="1" customWidth="1"/>
    <col min="225" max="225" width="16.42578125" style="35" bestFit="1" customWidth="1"/>
    <col min="226" max="226" width="8.85546875" style="35"/>
    <col min="227" max="227" width="23.85546875" style="35" bestFit="1" customWidth="1"/>
    <col min="228" max="228" width="10.5703125" style="35" bestFit="1" customWidth="1"/>
    <col min="229" max="229" width="16.42578125" style="35" bestFit="1" customWidth="1"/>
    <col min="230" max="230" width="8.85546875" style="35"/>
    <col min="231" max="231" width="23.85546875" style="35" bestFit="1" customWidth="1"/>
    <col min="232" max="232" width="11.28515625" style="35" bestFit="1" customWidth="1"/>
    <col min="233" max="233" width="16.42578125" style="35" bestFit="1" customWidth="1"/>
    <col min="234" max="234" width="8.85546875" style="35"/>
    <col min="235" max="235" width="23.85546875" style="35" bestFit="1" customWidth="1"/>
    <col min="236" max="236" width="10.5703125" style="35" bestFit="1" customWidth="1"/>
    <col min="237" max="237" width="16.42578125" style="35" bestFit="1" customWidth="1"/>
    <col min="238" max="238" width="8.85546875" style="35"/>
    <col min="239" max="239" width="23.85546875" style="35" bestFit="1" customWidth="1"/>
    <col min="240" max="240" width="10.5703125" style="35" bestFit="1" customWidth="1"/>
    <col min="241" max="241" width="16.42578125" style="35" bestFit="1" customWidth="1"/>
    <col min="242" max="242" width="8.85546875" style="35"/>
    <col min="243" max="243" width="23.85546875" style="35" bestFit="1" customWidth="1"/>
    <col min="244" max="244" width="11.42578125" style="35" bestFit="1" customWidth="1"/>
    <col min="245" max="245" width="16.42578125" style="35" bestFit="1" customWidth="1"/>
    <col min="246" max="246" width="8.85546875" style="35"/>
    <col min="247" max="247" width="23.85546875" style="35" bestFit="1" customWidth="1"/>
    <col min="248" max="248" width="10.5703125" style="35" bestFit="1" customWidth="1"/>
    <col min="249" max="249" width="16.42578125" style="35" bestFit="1" customWidth="1"/>
    <col min="250" max="250" width="8.85546875" style="35"/>
    <col min="251" max="251" width="23.85546875" style="35" bestFit="1" customWidth="1"/>
    <col min="252" max="252" width="10.5703125" style="35" bestFit="1" customWidth="1"/>
    <col min="253" max="253" width="16.42578125" style="35" bestFit="1" customWidth="1"/>
    <col min="254" max="254" width="8.85546875" style="35"/>
    <col min="255" max="255" width="23.85546875" style="35" bestFit="1" customWidth="1"/>
    <col min="256" max="256" width="11.28515625" style="35" bestFit="1" customWidth="1"/>
    <col min="257" max="257" width="16.42578125" style="35" bestFit="1" customWidth="1"/>
    <col min="258" max="258" width="8.85546875" style="35"/>
    <col min="259" max="259" width="23.85546875" style="35" bestFit="1" customWidth="1"/>
    <col min="260" max="260" width="10.5703125" style="35" bestFit="1" customWidth="1"/>
    <col min="261" max="261" width="16.42578125" style="35" bestFit="1" customWidth="1"/>
    <col min="262" max="262" width="8.85546875" style="35"/>
    <col min="263" max="263" width="23.85546875" style="35" bestFit="1" customWidth="1"/>
    <col min="264" max="264" width="10.5703125" style="35" bestFit="1" customWidth="1"/>
    <col min="265" max="265" width="16.42578125" style="35" bestFit="1" customWidth="1"/>
    <col min="266" max="266" width="8.85546875" style="35"/>
    <col min="267" max="267" width="23.85546875" style="35" bestFit="1" customWidth="1"/>
    <col min="268" max="268" width="11.28515625" style="35" bestFit="1" customWidth="1"/>
    <col min="269" max="269" width="16.42578125" style="35" bestFit="1" customWidth="1"/>
    <col min="270" max="270" width="8.85546875" style="35"/>
    <col min="271" max="271" width="23.85546875" style="35" bestFit="1" customWidth="1"/>
    <col min="272" max="272" width="10.5703125" style="35" bestFit="1" customWidth="1"/>
    <col min="273" max="273" width="16.42578125" style="35" bestFit="1" customWidth="1"/>
    <col min="274" max="274" width="8.85546875" style="35"/>
    <col min="275" max="275" width="23.85546875" style="35" bestFit="1" customWidth="1"/>
    <col min="276" max="276" width="10.5703125" style="35" bestFit="1" customWidth="1"/>
    <col min="277" max="277" width="16.42578125" style="35" bestFit="1" customWidth="1"/>
    <col min="278" max="278" width="8.85546875" style="35"/>
    <col min="279" max="279" width="23.85546875" style="35" bestFit="1" customWidth="1"/>
    <col min="280" max="280" width="11.42578125" style="35" bestFit="1" customWidth="1"/>
    <col min="281" max="281" width="16.42578125" style="35" bestFit="1" customWidth="1"/>
    <col min="282" max="282" width="8.85546875" style="35"/>
    <col min="283" max="283" width="23.85546875" style="35" bestFit="1" customWidth="1"/>
    <col min="284" max="284" width="10.5703125" style="35" bestFit="1" customWidth="1"/>
    <col min="285" max="285" width="16.42578125" style="35" bestFit="1" customWidth="1"/>
    <col min="286" max="286" width="8.85546875" style="35"/>
    <col min="287" max="287" width="23.85546875" style="35" bestFit="1" customWidth="1"/>
    <col min="288" max="288" width="10.5703125" style="35" bestFit="1" customWidth="1"/>
    <col min="289" max="289" width="16.42578125" style="35" bestFit="1" customWidth="1"/>
    <col min="290" max="290" width="8.85546875" style="35"/>
    <col min="291" max="291" width="23.85546875" style="35" bestFit="1" customWidth="1"/>
    <col min="292" max="292" width="11.42578125" style="35" bestFit="1" customWidth="1"/>
    <col min="293" max="293" width="16.42578125" style="35" bestFit="1" customWidth="1"/>
    <col min="294" max="16384" width="8.85546875" style="35"/>
  </cols>
  <sheetData>
    <row r="1" spans="1:294" x14ac:dyDescent="0.25">
      <c r="A1" s="99" t="s">
        <v>207</v>
      </c>
      <c r="C1" s="98">
        <v>0</v>
      </c>
      <c r="D1" s="89"/>
      <c r="E1" s="63"/>
      <c r="F1" s="63"/>
      <c r="G1" s="98">
        <f>C$1+1</f>
        <v>1</v>
      </c>
      <c r="H1" s="89"/>
      <c r="I1" s="63"/>
      <c r="J1" s="63"/>
      <c r="K1" s="98">
        <f t="shared" ref="K1" si="0">G$1+1</f>
        <v>2</v>
      </c>
      <c r="L1" s="89"/>
      <c r="M1" s="63"/>
      <c r="N1" s="63"/>
      <c r="O1" s="98">
        <f t="shared" ref="O1" si="1">K$1+1</f>
        <v>3</v>
      </c>
      <c r="P1" s="89"/>
      <c r="Q1" s="63"/>
      <c r="R1" s="63"/>
      <c r="S1" s="98">
        <f t="shared" ref="S1" si="2">O$1+1</f>
        <v>4</v>
      </c>
      <c r="T1" s="89"/>
      <c r="U1" s="63"/>
      <c r="V1" s="63"/>
      <c r="W1" s="98">
        <f t="shared" ref="W1" si="3">S$1+1</f>
        <v>5</v>
      </c>
      <c r="X1" s="89"/>
      <c r="Y1" s="63"/>
      <c r="Z1" s="63"/>
      <c r="AA1" s="98">
        <f t="shared" ref="AA1" si="4">W$1+1</f>
        <v>6</v>
      </c>
      <c r="AB1" s="89"/>
      <c r="AC1" s="63"/>
      <c r="AD1" s="63"/>
      <c r="AE1" s="98">
        <f t="shared" ref="AE1" si="5">AA$1+1</f>
        <v>7</v>
      </c>
      <c r="AF1" s="89"/>
      <c r="AG1" s="63"/>
      <c r="AH1" s="63"/>
      <c r="AI1" s="98">
        <f t="shared" ref="AI1" si="6">AE$1+1</f>
        <v>8</v>
      </c>
      <c r="AJ1" s="89"/>
      <c r="AK1" s="63"/>
      <c r="AL1" s="63"/>
      <c r="AM1" s="98">
        <f t="shared" ref="AM1" si="7">AI$1+1</f>
        <v>9</v>
      </c>
      <c r="AN1" s="89"/>
      <c r="AO1" s="63"/>
      <c r="AP1" s="63"/>
      <c r="AQ1" s="98">
        <f t="shared" ref="AQ1" si="8">AM$1+1</f>
        <v>10</v>
      </c>
      <c r="AR1" s="89"/>
      <c r="AS1" s="63"/>
      <c r="AT1" s="63"/>
      <c r="AU1" s="98">
        <f t="shared" ref="AU1" si="9">AQ$1+1</f>
        <v>11</v>
      </c>
      <c r="AV1" s="89"/>
      <c r="AW1" s="63"/>
      <c r="AX1" s="63"/>
      <c r="AY1" s="98">
        <f t="shared" ref="AY1" si="10">AU$1+1</f>
        <v>12</v>
      </c>
      <c r="AZ1" s="89"/>
      <c r="BA1" s="63"/>
      <c r="BB1" s="63"/>
      <c r="BC1" s="98">
        <f t="shared" ref="BC1" si="11">AY$1+1</f>
        <v>13</v>
      </c>
      <c r="BD1" s="89"/>
      <c r="BE1" s="63"/>
      <c r="BF1" s="63"/>
      <c r="BG1" s="98">
        <f t="shared" ref="BG1" si="12">BC$1+1</f>
        <v>14</v>
      </c>
      <c r="BH1" s="89"/>
      <c r="BI1" s="63"/>
      <c r="BJ1" s="63"/>
      <c r="BK1" s="98">
        <f t="shared" ref="BK1" si="13">BG$1+1</f>
        <v>15</v>
      </c>
      <c r="BL1" s="89"/>
      <c r="BM1" s="63"/>
      <c r="BN1" s="63"/>
      <c r="BO1" s="98">
        <f t="shared" ref="BO1" si="14">BK$1+1</f>
        <v>16</v>
      </c>
      <c r="BP1" s="89"/>
      <c r="BQ1" s="63"/>
      <c r="BR1" s="63"/>
      <c r="BS1" s="98">
        <f t="shared" ref="BS1" si="15">BO$1+1</f>
        <v>17</v>
      </c>
      <c r="BT1" s="89"/>
      <c r="BU1" s="63"/>
      <c r="BV1" s="63"/>
      <c r="BW1" s="98">
        <f t="shared" ref="BW1" si="16">BS$1+1</f>
        <v>18</v>
      </c>
      <c r="BX1" s="89"/>
      <c r="BY1" s="63"/>
      <c r="BZ1" s="63"/>
      <c r="CA1" s="98">
        <f t="shared" ref="CA1" si="17">BW$1+1</f>
        <v>19</v>
      </c>
      <c r="CB1" s="89"/>
      <c r="CC1" s="63"/>
      <c r="CD1" s="63"/>
      <c r="CE1" s="98">
        <f t="shared" ref="CE1" si="18">CA$1+1</f>
        <v>20</v>
      </c>
      <c r="CF1" s="89"/>
      <c r="CG1" s="63"/>
      <c r="CH1" s="63"/>
      <c r="CI1" s="98">
        <f t="shared" ref="CI1" si="19">CE$1+1</f>
        <v>21</v>
      </c>
      <c r="CJ1" s="89"/>
      <c r="CK1" s="63"/>
      <c r="CL1" s="63"/>
      <c r="CM1" s="98">
        <f t="shared" ref="CM1" si="20">CI$1+1</f>
        <v>22</v>
      </c>
      <c r="CN1" s="89"/>
      <c r="CO1" s="63"/>
      <c r="CP1" s="63"/>
      <c r="CQ1" s="98">
        <f t="shared" ref="CQ1" si="21">CM$1+1</f>
        <v>23</v>
      </c>
      <c r="CR1" s="89"/>
      <c r="CS1" s="63"/>
      <c r="CT1" s="63"/>
      <c r="CU1" s="98">
        <f t="shared" ref="CU1" si="22">CQ$1+1</f>
        <v>24</v>
      </c>
      <c r="CV1" s="89"/>
      <c r="CW1" s="63"/>
      <c r="CX1" s="63"/>
      <c r="CY1" s="98">
        <f t="shared" ref="CY1" si="23">CU$1+1</f>
        <v>25</v>
      </c>
      <c r="CZ1" s="89"/>
      <c r="DA1" s="63"/>
      <c r="DB1" s="63"/>
      <c r="DC1" s="98">
        <f t="shared" ref="DC1" si="24">CY$1+1</f>
        <v>26</v>
      </c>
      <c r="DD1" s="89"/>
      <c r="DE1" s="63"/>
      <c r="DF1" s="63"/>
      <c r="DG1" s="98">
        <f t="shared" ref="DG1" si="25">DC$1+1</f>
        <v>27</v>
      </c>
      <c r="DH1" s="89"/>
      <c r="DI1" s="63"/>
      <c r="DJ1" s="63"/>
      <c r="DK1" s="98">
        <f t="shared" ref="DK1" si="26">DG$1+1</f>
        <v>28</v>
      </c>
      <c r="DL1" s="89"/>
      <c r="DM1" s="63"/>
      <c r="DN1" s="63"/>
      <c r="DO1" s="98">
        <f t="shared" ref="DO1" si="27">DK$1+1</f>
        <v>29</v>
      </c>
      <c r="DP1" s="89"/>
      <c r="DQ1" s="63"/>
      <c r="DR1" s="63"/>
      <c r="DS1" s="98">
        <f t="shared" ref="DS1" si="28">DO$1+1</f>
        <v>30</v>
      </c>
      <c r="DT1" s="89"/>
      <c r="DU1" s="63"/>
      <c r="DV1" s="63"/>
      <c r="DW1" s="98">
        <f t="shared" ref="DW1" si="29">DS$1+1</f>
        <v>31</v>
      </c>
      <c r="DX1" s="89"/>
      <c r="DY1" s="63"/>
      <c r="DZ1" s="63"/>
      <c r="EA1" s="98">
        <f t="shared" ref="EA1" si="30">DW$1+1</f>
        <v>32</v>
      </c>
      <c r="EB1" s="89"/>
      <c r="EC1" s="63"/>
      <c r="ED1" s="63"/>
      <c r="EE1" s="98">
        <f t="shared" ref="EE1" si="31">EA$1+1</f>
        <v>33</v>
      </c>
      <c r="EF1" s="89"/>
      <c r="EG1" s="63"/>
      <c r="EH1" s="63"/>
      <c r="EI1" s="98">
        <f t="shared" ref="EI1" si="32">EE$1+1</f>
        <v>34</v>
      </c>
      <c r="EJ1" s="89"/>
      <c r="EK1" s="63"/>
      <c r="EL1" s="63"/>
      <c r="EM1" s="98">
        <f t="shared" ref="EM1" si="33">EI$1+1</f>
        <v>35</v>
      </c>
      <c r="EN1" s="89"/>
      <c r="EO1" s="63"/>
      <c r="EP1" s="63"/>
      <c r="EQ1" s="98">
        <f t="shared" ref="EQ1" si="34">EM$1+1</f>
        <v>36</v>
      </c>
      <c r="ER1" s="89"/>
      <c r="ES1" s="63"/>
      <c r="ET1" s="63"/>
      <c r="EU1" s="98">
        <f t="shared" ref="EU1" si="35">EQ$1+1</f>
        <v>37</v>
      </c>
      <c r="EV1" s="89"/>
      <c r="EW1" s="63"/>
      <c r="EX1" s="63"/>
      <c r="EY1" s="98">
        <f t="shared" ref="EY1" si="36">EU$1+1</f>
        <v>38</v>
      </c>
      <c r="EZ1" s="89"/>
      <c r="FA1" s="63"/>
      <c r="FB1" s="63"/>
      <c r="FC1" s="98">
        <f t="shared" ref="FC1" si="37">EY$1+1</f>
        <v>39</v>
      </c>
      <c r="FD1" s="89"/>
      <c r="FE1" s="63"/>
      <c r="FF1" s="63"/>
      <c r="FG1" s="98">
        <f t="shared" ref="FG1" si="38">FC$1+1</f>
        <v>40</v>
      </c>
      <c r="FH1" s="89"/>
      <c r="FI1" s="63"/>
      <c r="FJ1" s="63"/>
      <c r="FK1" s="98">
        <f t="shared" ref="FK1" si="39">FG$1+1</f>
        <v>41</v>
      </c>
      <c r="FL1" s="89"/>
      <c r="FM1" s="63"/>
      <c r="FN1" s="63"/>
      <c r="FO1" s="98">
        <f t="shared" ref="FO1" si="40">FK$1+1</f>
        <v>42</v>
      </c>
      <c r="FP1" s="89"/>
      <c r="FQ1" s="63"/>
      <c r="FR1" s="63"/>
      <c r="FS1" s="98">
        <f t="shared" ref="FS1" si="41">FO$1+1</f>
        <v>43</v>
      </c>
      <c r="FT1" s="89"/>
      <c r="FU1" s="63"/>
      <c r="FV1" s="63"/>
      <c r="FW1" s="98">
        <f t="shared" ref="FW1" si="42">FS$1+1</f>
        <v>44</v>
      </c>
      <c r="FX1" s="89"/>
      <c r="FY1" s="63"/>
      <c r="FZ1" s="63"/>
      <c r="GA1" s="98">
        <f t="shared" ref="GA1" si="43">FW$1+1</f>
        <v>45</v>
      </c>
      <c r="GB1" s="89"/>
      <c r="GC1" s="63"/>
      <c r="GD1" s="63"/>
      <c r="GE1" s="98">
        <f t="shared" ref="GE1" si="44">GA$1+1</f>
        <v>46</v>
      </c>
      <c r="GF1" s="89"/>
      <c r="GG1" s="63"/>
      <c r="GH1" s="63"/>
      <c r="GI1" s="98">
        <f t="shared" ref="GI1" si="45">GE$1+1</f>
        <v>47</v>
      </c>
      <c r="GJ1" s="89"/>
      <c r="GK1" s="63"/>
      <c r="GL1" s="63"/>
      <c r="GM1" s="98">
        <f t="shared" ref="GM1" si="46">GI$1+1</f>
        <v>48</v>
      </c>
      <c r="GN1" s="89"/>
      <c r="GO1" s="63"/>
      <c r="GP1" s="63"/>
      <c r="GQ1" s="98">
        <f t="shared" ref="GQ1" si="47">GM$1+1</f>
        <v>49</v>
      </c>
      <c r="GR1" s="89"/>
      <c r="GS1" s="63"/>
      <c r="GT1" s="63"/>
      <c r="GU1" s="98">
        <f t="shared" ref="GU1" si="48">GQ$1+1</f>
        <v>50</v>
      </c>
      <c r="GV1" s="89"/>
      <c r="GW1" s="63"/>
      <c r="GX1" s="63"/>
      <c r="GY1" s="98">
        <f t="shared" ref="GY1" si="49">GU$1+1</f>
        <v>51</v>
      </c>
      <c r="GZ1" s="89"/>
      <c r="HA1" s="63"/>
      <c r="HB1" s="63"/>
      <c r="HC1" s="98">
        <f t="shared" ref="HC1" si="50">GY$1+1</f>
        <v>52</v>
      </c>
      <c r="HD1" s="89"/>
      <c r="HE1" s="63"/>
      <c r="HF1" s="63"/>
      <c r="HG1" s="98">
        <f t="shared" ref="HG1" si="51">HC$1+1</f>
        <v>53</v>
      </c>
      <c r="HH1" s="89"/>
      <c r="HI1" s="63"/>
      <c r="HJ1" s="63"/>
      <c r="HK1" s="98">
        <f t="shared" ref="HK1" si="52">HG$1+1</f>
        <v>54</v>
      </c>
      <c r="HL1" s="89"/>
      <c r="HM1" s="63"/>
      <c r="HN1" s="63"/>
      <c r="HO1" s="98">
        <f t="shared" ref="HO1" si="53">HK$1+1</f>
        <v>55</v>
      </c>
      <c r="HP1" s="89"/>
      <c r="HQ1" s="63"/>
      <c r="HR1" s="63"/>
      <c r="HS1" s="98">
        <f t="shared" ref="HS1" si="54">HO$1+1</f>
        <v>56</v>
      </c>
      <c r="HT1" s="89"/>
      <c r="HU1" s="63"/>
      <c r="HV1" s="63"/>
      <c r="HW1" s="98">
        <f t="shared" ref="HW1" si="55">HS$1+1</f>
        <v>57</v>
      </c>
      <c r="HX1" s="89"/>
      <c r="HY1" s="63"/>
      <c r="HZ1" s="63"/>
      <c r="IA1" s="98">
        <f t="shared" ref="IA1" si="56">HW$1+1</f>
        <v>58</v>
      </c>
      <c r="IB1" s="89"/>
      <c r="IC1" s="63"/>
      <c r="ID1" s="63"/>
      <c r="IE1" s="98">
        <f t="shared" ref="IE1" si="57">IA$1+1</f>
        <v>59</v>
      </c>
      <c r="IF1" s="89"/>
      <c r="IG1" s="63"/>
      <c r="IH1" s="63"/>
      <c r="II1" s="98">
        <f t="shared" ref="II1" si="58">IE$1+1</f>
        <v>60</v>
      </c>
      <c r="IJ1" s="89"/>
      <c r="IK1" s="63"/>
      <c r="IL1" s="63"/>
      <c r="IM1" s="98">
        <f t="shared" ref="IM1" si="59">II$1+1</f>
        <v>61</v>
      </c>
      <c r="IN1" s="89"/>
      <c r="IO1" s="63"/>
      <c r="IP1" s="63"/>
      <c r="IQ1" s="98">
        <f t="shared" ref="IQ1" si="60">IM$1+1</f>
        <v>62</v>
      </c>
      <c r="IR1" s="89"/>
      <c r="IS1" s="63"/>
      <c r="IT1" s="63"/>
      <c r="IU1" s="98">
        <f t="shared" ref="IU1" si="61">IQ$1+1</f>
        <v>63</v>
      </c>
      <c r="IV1" s="89"/>
      <c r="IW1" s="63"/>
      <c r="IX1" s="63"/>
      <c r="IY1" s="98">
        <f t="shared" ref="IY1" si="62">IU$1+1</f>
        <v>64</v>
      </c>
      <c r="IZ1" s="89"/>
      <c r="JA1" s="63"/>
      <c r="JB1" s="63"/>
      <c r="JC1" s="98">
        <f t="shared" ref="JC1" si="63">IY$1+1</f>
        <v>65</v>
      </c>
      <c r="JD1" s="89"/>
      <c r="JE1" s="63"/>
      <c r="JF1" s="63"/>
      <c r="JG1" s="98">
        <f t="shared" ref="JG1" si="64">JC$1+1</f>
        <v>66</v>
      </c>
      <c r="JH1" s="89"/>
      <c r="JI1" s="63"/>
      <c r="JJ1" s="63"/>
      <c r="JK1" s="98">
        <f t="shared" ref="JK1" si="65">JG$1+1</f>
        <v>67</v>
      </c>
      <c r="JL1" s="89"/>
      <c r="JM1" s="63"/>
      <c r="JN1" s="63"/>
      <c r="JO1" s="98">
        <f t="shared" ref="JO1" si="66">JK$1+1</f>
        <v>68</v>
      </c>
      <c r="JP1" s="89"/>
      <c r="JQ1" s="63"/>
      <c r="JR1" s="63"/>
      <c r="JS1" s="98">
        <f t="shared" ref="JS1" si="67">JO$1+1</f>
        <v>69</v>
      </c>
      <c r="JT1" s="89"/>
      <c r="JU1" s="63"/>
      <c r="JV1" s="63"/>
      <c r="JW1" s="98">
        <f t="shared" ref="JW1" si="68">JS$1+1</f>
        <v>70</v>
      </c>
      <c r="JX1" s="89"/>
      <c r="JY1" s="63"/>
      <c r="JZ1" s="63"/>
      <c r="KA1" s="98">
        <f t="shared" ref="KA1" si="69">JW$1+1</f>
        <v>71</v>
      </c>
      <c r="KB1" s="89"/>
      <c r="KC1" s="63"/>
      <c r="KD1" s="63"/>
      <c r="KE1" s="98">
        <f t="shared" ref="KE1" si="70">KA$1+1</f>
        <v>72</v>
      </c>
      <c r="KF1" s="89"/>
      <c r="KG1" s="63"/>
      <c r="KH1" s="63"/>
    </row>
    <row r="2" spans="1:294" s="44" customFormat="1" x14ac:dyDescent="0.25">
      <c r="A2" s="100">
        <v>3100</v>
      </c>
      <c r="B2" s="35"/>
      <c r="C2" s="98" t="s">
        <v>203</v>
      </c>
      <c r="D2" s="89" t="s">
        <v>146</v>
      </c>
      <c r="E2" s="63"/>
      <c r="F2" s="63"/>
      <c r="G2" s="98" t="s">
        <v>203</v>
      </c>
      <c r="H2" s="89" t="s">
        <v>146</v>
      </c>
      <c r="I2" s="63"/>
      <c r="J2" s="63"/>
      <c r="K2" s="98" t="s">
        <v>203</v>
      </c>
      <c r="L2" s="89" t="s">
        <v>146</v>
      </c>
      <c r="M2" s="63"/>
      <c r="N2" s="63"/>
      <c r="O2" s="98" t="s">
        <v>203</v>
      </c>
      <c r="P2" s="89" t="s">
        <v>146</v>
      </c>
      <c r="Q2" s="63"/>
      <c r="R2" s="63"/>
      <c r="S2" s="98" t="s">
        <v>203</v>
      </c>
      <c r="T2" s="89" t="s">
        <v>146</v>
      </c>
      <c r="U2" s="63"/>
      <c r="V2" s="63"/>
      <c r="W2" s="98" t="s">
        <v>203</v>
      </c>
      <c r="X2" s="89" t="s">
        <v>146</v>
      </c>
      <c r="Y2" s="63"/>
      <c r="Z2" s="63"/>
      <c r="AA2" s="98" t="s">
        <v>203</v>
      </c>
      <c r="AB2" s="89" t="s">
        <v>146</v>
      </c>
      <c r="AC2" s="63"/>
      <c r="AD2" s="63"/>
      <c r="AE2" s="98" t="s">
        <v>203</v>
      </c>
      <c r="AF2" s="89" t="s">
        <v>146</v>
      </c>
      <c r="AG2" s="63"/>
      <c r="AH2" s="63"/>
      <c r="AI2" s="98" t="s">
        <v>203</v>
      </c>
      <c r="AJ2" s="89" t="s">
        <v>146</v>
      </c>
      <c r="AK2" s="63"/>
      <c r="AL2" s="63"/>
      <c r="AM2" s="98" t="s">
        <v>203</v>
      </c>
      <c r="AN2" s="89" t="s">
        <v>146</v>
      </c>
      <c r="AO2" s="63"/>
      <c r="AP2" s="63"/>
      <c r="AQ2" s="98" t="s">
        <v>203</v>
      </c>
      <c r="AR2" s="89" t="s">
        <v>146</v>
      </c>
      <c r="AS2" s="63"/>
      <c r="AT2" s="63"/>
      <c r="AU2" s="98" t="s">
        <v>203</v>
      </c>
      <c r="AV2" s="89" t="s">
        <v>146</v>
      </c>
      <c r="AW2" s="63"/>
      <c r="AX2" s="63"/>
      <c r="AY2" s="98" t="s">
        <v>203</v>
      </c>
      <c r="AZ2" s="89" t="s">
        <v>146</v>
      </c>
      <c r="BA2" s="63"/>
      <c r="BB2" s="63"/>
      <c r="BC2" s="98" t="s">
        <v>203</v>
      </c>
      <c r="BD2" s="89" t="s">
        <v>146</v>
      </c>
      <c r="BE2" s="63"/>
      <c r="BF2" s="63"/>
      <c r="BG2" s="98" t="s">
        <v>203</v>
      </c>
      <c r="BH2" s="89" t="s">
        <v>146</v>
      </c>
      <c r="BI2" s="63"/>
      <c r="BJ2" s="63"/>
      <c r="BK2" s="98" t="s">
        <v>203</v>
      </c>
      <c r="BL2" s="89" t="s">
        <v>146</v>
      </c>
      <c r="BM2" s="63"/>
      <c r="BN2" s="63"/>
      <c r="BO2" s="98" t="s">
        <v>203</v>
      </c>
      <c r="BP2" s="89" t="s">
        <v>146</v>
      </c>
      <c r="BQ2" s="63"/>
      <c r="BR2" s="63"/>
      <c r="BS2" s="98" t="s">
        <v>203</v>
      </c>
      <c r="BT2" s="89" t="s">
        <v>146</v>
      </c>
      <c r="BU2" s="63"/>
      <c r="BV2" s="63"/>
      <c r="BW2" s="98" t="s">
        <v>203</v>
      </c>
      <c r="BX2" s="89" t="s">
        <v>146</v>
      </c>
      <c r="BY2" s="63"/>
      <c r="BZ2" s="63"/>
      <c r="CA2" s="98" t="s">
        <v>203</v>
      </c>
      <c r="CB2" s="89" t="s">
        <v>146</v>
      </c>
      <c r="CC2" s="63"/>
      <c r="CD2" s="63"/>
      <c r="CE2" s="98" t="s">
        <v>203</v>
      </c>
      <c r="CF2" s="89" t="s">
        <v>146</v>
      </c>
      <c r="CG2" s="63"/>
      <c r="CH2" s="63"/>
      <c r="CI2" s="98" t="s">
        <v>203</v>
      </c>
      <c r="CJ2" s="89" t="s">
        <v>146</v>
      </c>
      <c r="CK2" s="63"/>
      <c r="CL2" s="63"/>
      <c r="CM2" s="98" t="s">
        <v>203</v>
      </c>
      <c r="CN2" s="89" t="s">
        <v>146</v>
      </c>
      <c r="CO2" s="63"/>
      <c r="CP2" s="63"/>
      <c r="CQ2" s="98" t="s">
        <v>203</v>
      </c>
      <c r="CR2" s="89" t="s">
        <v>146</v>
      </c>
      <c r="CS2" s="63"/>
      <c r="CT2" s="63"/>
      <c r="CU2" s="98" t="s">
        <v>203</v>
      </c>
      <c r="CV2" s="89" t="s">
        <v>146</v>
      </c>
      <c r="CW2" s="63"/>
      <c r="CX2" s="63"/>
      <c r="CY2" s="98" t="s">
        <v>203</v>
      </c>
      <c r="CZ2" s="89" t="s">
        <v>146</v>
      </c>
      <c r="DA2" s="63"/>
      <c r="DB2" s="63"/>
      <c r="DC2" s="98" t="s">
        <v>203</v>
      </c>
      <c r="DD2" s="89" t="s">
        <v>146</v>
      </c>
      <c r="DE2" s="63"/>
      <c r="DF2" s="63"/>
      <c r="DG2" s="98" t="s">
        <v>203</v>
      </c>
      <c r="DH2" s="89" t="s">
        <v>146</v>
      </c>
      <c r="DI2" s="63"/>
      <c r="DJ2" s="63"/>
      <c r="DK2" s="98" t="s">
        <v>203</v>
      </c>
      <c r="DL2" s="89" t="s">
        <v>146</v>
      </c>
      <c r="DM2" s="63"/>
      <c r="DN2" s="63"/>
      <c r="DO2" s="98" t="s">
        <v>203</v>
      </c>
      <c r="DP2" s="89" t="s">
        <v>146</v>
      </c>
      <c r="DQ2" s="63"/>
      <c r="DR2" s="63"/>
      <c r="DS2" s="98" t="s">
        <v>203</v>
      </c>
      <c r="DT2" s="89" t="s">
        <v>146</v>
      </c>
      <c r="DU2" s="63"/>
      <c r="DV2" s="63"/>
      <c r="DW2" s="98" t="s">
        <v>203</v>
      </c>
      <c r="DX2" s="89" t="s">
        <v>146</v>
      </c>
      <c r="DY2" s="63"/>
      <c r="DZ2" s="63"/>
      <c r="EA2" s="98" t="s">
        <v>203</v>
      </c>
      <c r="EB2" s="89" t="s">
        <v>146</v>
      </c>
      <c r="EC2" s="63"/>
      <c r="ED2" s="63"/>
      <c r="EE2" s="98" t="s">
        <v>203</v>
      </c>
      <c r="EF2" s="89" t="s">
        <v>146</v>
      </c>
      <c r="EG2" s="63"/>
      <c r="EH2" s="63"/>
      <c r="EI2" s="98" t="s">
        <v>203</v>
      </c>
      <c r="EJ2" s="89" t="s">
        <v>146</v>
      </c>
      <c r="EK2" s="63"/>
      <c r="EL2" s="63"/>
      <c r="EM2" s="98" t="s">
        <v>203</v>
      </c>
      <c r="EN2" s="89" t="s">
        <v>146</v>
      </c>
      <c r="EO2" s="63"/>
      <c r="EP2" s="63"/>
      <c r="EQ2" s="98" t="s">
        <v>203</v>
      </c>
      <c r="ER2" s="89" t="s">
        <v>146</v>
      </c>
      <c r="ES2" s="63"/>
      <c r="ET2" s="63"/>
      <c r="EU2" s="98" t="s">
        <v>203</v>
      </c>
      <c r="EV2" s="89" t="s">
        <v>146</v>
      </c>
      <c r="EW2" s="63"/>
      <c r="EX2" s="63"/>
      <c r="EY2" s="98" t="s">
        <v>203</v>
      </c>
      <c r="EZ2" s="89" t="s">
        <v>146</v>
      </c>
      <c r="FA2" s="63"/>
      <c r="FB2" s="63"/>
      <c r="FC2" s="98" t="s">
        <v>203</v>
      </c>
      <c r="FD2" s="89" t="s">
        <v>146</v>
      </c>
      <c r="FE2" s="63"/>
      <c r="FF2" s="63"/>
      <c r="FG2" s="98" t="s">
        <v>203</v>
      </c>
      <c r="FH2" s="89" t="s">
        <v>146</v>
      </c>
      <c r="FI2" s="63"/>
      <c r="FJ2" s="63"/>
      <c r="FK2" s="98" t="s">
        <v>203</v>
      </c>
      <c r="FL2" s="89" t="s">
        <v>146</v>
      </c>
      <c r="FM2" s="63"/>
      <c r="FN2" s="63"/>
      <c r="FO2" s="98" t="s">
        <v>203</v>
      </c>
      <c r="FP2" s="89" t="s">
        <v>146</v>
      </c>
      <c r="FQ2" s="63"/>
      <c r="FR2" s="63"/>
      <c r="FS2" s="98" t="s">
        <v>203</v>
      </c>
      <c r="FT2" s="89" t="s">
        <v>146</v>
      </c>
      <c r="FU2" s="63"/>
      <c r="FV2" s="63"/>
      <c r="FW2" s="98" t="s">
        <v>203</v>
      </c>
      <c r="FX2" s="89" t="s">
        <v>146</v>
      </c>
      <c r="FY2" s="63"/>
      <c r="FZ2" s="63"/>
      <c r="GA2" s="98" t="s">
        <v>203</v>
      </c>
      <c r="GB2" s="89" t="s">
        <v>146</v>
      </c>
      <c r="GC2" s="63"/>
      <c r="GD2" s="63"/>
      <c r="GE2" s="98" t="s">
        <v>203</v>
      </c>
      <c r="GF2" s="89" t="s">
        <v>146</v>
      </c>
      <c r="GG2" s="63"/>
      <c r="GH2" s="63"/>
      <c r="GI2" s="98" t="s">
        <v>203</v>
      </c>
      <c r="GJ2" s="89" t="s">
        <v>146</v>
      </c>
      <c r="GK2" s="63"/>
      <c r="GL2" s="63"/>
      <c r="GM2" s="98" t="s">
        <v>203</v>
      </c>
      <c r="GN2" s="89" t="s">
        <v>146</v>
      </c>
      <c r="GO2" s="63"/>
      <c r="GP2" s="63"/>
      <c r="GQ2" s="98" t="s">
        <v>203</v>
      </c>
      <c r="GR2" s="89" t="s">
        <v>146</v>
      </c>
      <c r="GS2" s="63"/>
      <c r="GT2" s="63"/>
      <c r="GU2" s="98" t="s">
        <v>203</v>
      </c>
      <c r="GV2" s="89" t="s">
        <v>146</v>
      </c>
      <c r="GW2" s="63"/>
      <c r="GX2" s="63"/>
      <c r="GY2" s="98" t="s">
        <v>203</v>
      </c>
      <c r="GZ2" s="89" t="s">
        <v>146</v>
      </c>
      <c r="HA2" s="63"/>
      <c r="HB2" s="63"/>
      <c r="HC2" s="98" t="s">
        <v>203</v>
      </c>
      <c r="HD2" s="89" t="s">
        <v>146</v>
      </c>
      <c r="HE2" s="63"/>
      <c r="HF2" s="63"/>
      <c r="HG2" s="98" t="s">
        <v>203</v>
      </c>
      <c r="HH2" s="89" t="s">
        <v>146</v>
      </c>
      <c r="HI2" s="63"/>
      <c r="HJ2" s="63"/>
      <c r="HK2" s="98" t="s">
        <v>203</v>
      </c>
      <c r="HL2" s="89" t="s">
        <v>146</v>
      </c>
      <c r="HM2" s="63"/>
      <c r="HN2" s="63"/>
      <c r="HO2" s="98" t="s">
        <v>203</v>
      </c>
      <c r="HP2" s="89" t="s">
        <v>146</v>
      </c>
      <c r="HQ2" s="63"/>
      <c r="HR2" s="63"/>
      <c r="HS2" s="98" t="s">
        <v>203</v>
      </c>
      <c r="HT2" s="89" t="s">
        <v>146</v>
      </c>
      <c r="HU2" s="63"/>
      <c r="HV2" s="63"/>
      <c r="HW2" s="98" t="s">
        <v>203</v>
      </c>
      <c r="HX2" s="89" t="s">
        <v>146</v>
      </c>
      <c r="HY2" s="63"/>
      <c r="HZ2" s="63"/>
      <c r="IA2" s="98" t="s">
        <v>203</v>
      </c>
      <c r="IB2" s="89" t="s">
        <v>146</v>
      </c>
      <c r="IC2" s="63"/>
      <c r="ID2" s="63"/>
      <c r="IE2" s="98" t="s">
        <v>203</v>
      </c>
      <c r="IF2" s="89" t="s">
        <v>146</v>
      </c>
      <c r="IG2" s="63"/>
      <c r="IH2" s="63"/>
      <c r="II2" s="98" t="s">
        <v>203</v>
      </c>
      <c r="IJ2" s="89" t="s">
        <v>146</v>
      </c>
      <c r="IK2" s="63"/>
      <c r="IL2" s="63"/>
      <c r="IM2" s="98" t="s">
        <v>203</v>
      </c>
      <c r="IN2" s="89" t="s">
        <v>146</v>
      </c>
      <c r="IO2" s="63"/>
      <c r="IP2" s="63"/>
      <c r="IQ2" s="98" t="s">
        <v>203</v>
      </c>
      <c r="IR2" s="89" t="s">
        <v>146</v>
      </c>
      <c r="IS2" s="63"/>
      <c r="IT2" s="63"/>
      <c r="IU2" s="98" t="s">
        <v>203</v>
      </c>
      <c r="IV2" s="89" t="s">
        <v>146</v>
      </c>
      <c r="IW2" s="63"/>
      <c r="IX2" s="63"/>
      <c r="IY2" s="98" t="s">
        <v>203</v>
      </c>
      <c r="IZ2" s="89" t="s">
        <v>146</v>
      </c>
      <c r="JA2" s="63"/>
      <c r="JB2" s="63"/>
      <c r="JC2" s="98" t="s">
        <v>203</v>
      </c>
      <c r="JD2" s="89" t="s">
        <v>146</v>
      </c>
      <c r="JE2" s="63"/>
      <c r="JF2" s="63"/>
      <c r="JG2" s="98" t="s">
        <v>203</v>
      </c>
      <c r="JH2" s="89" t="s">
        <v>146</v>
      </c>
      <c r="JI2" s="63"/>
      <c r="JJ2" s="63"/>
      <c r="JK2" s="98" t="s">
        <v>203</v>
      </c>
      <c r="JL2" s="89" t="s">
        <v>146</v>
      </c>
      <c r="JM2" s="63"/>
      <c r="JN2" s="63"/>
      <c r="JO2" s="98" t="s">
        <v>203</v>
      </c>
      <c r="JP2" s="89" t="s">
        <v>146</v>
      </c>
      <c r="JQ2" s="63"/>
      <c r="JR2" s="63"/>
      <c r="JS2" s="98" t="s">
        <v>203</v>
      </c>
      <c r="JT2" s="89" t="s">
        <v>146</v>
      </c>
      <c r="JU2" s="63"/>
      <c r="JV2" s="63"/>
      <c r="JW2" s="98" t="s">
        <v>203</v>
      </c>
      <c r="JX2" s="89" t="s">
        <v>146</v>
      </c>
      <c r="JY2" s="63"/>
      <c r="JZ2" s="63"/>
      <c r="KA2" s="98" t="s">
        <v>203</v>
      </c>
      <c r="KB2" s="89" t="s">
        <v>146</v>
      </c>
      <c r="KC2" s="63"/>
      <c r="KD2" s="63"/>
      <c r="KE2" s="98" t="s">
        <v>203</v>
      </c>
      <c r="KF2" s="89" t="s">
        <v>146</v>
      </c>
      <c r="KG2" s="63"/>
      <c r="KH2" s="63"/>
    </row>
    <row r="3" spans="1:294" x14ac:dyDescent="0.25">
      <c r="A3" s="118">
        <v>40</v>
      </c>
      <c r="C3" s="37" t="s">
        <v>205</v>
      </c>
      <c r="D3" s="63">
        <f>((D$4*60)/0.25)*D$5</f>
        <v>28800</v>
      </c>
      <c r="E3" s="83">
        <f ca="1">-(D$3+D$30)/D$30</f>
        <v>-0.78362458173046678</v>
      </c>
      <c r="F3" s="63"/>
      <c r="G3" s="37" t="s">
        <v>205</v>
      </c>
      <c r="H3" s="63">
        <f>((H$4*60)/0.25)*H$5</f>
        <v>28800</v>
      </c>
      <c r="I3" s="83">
        <f ca="1">-(H$3+H$30)/H$30</f>
        <v>0.32706689051321797</v>
      </c>
      <c r="J3" s="63"/>
      <c r="K3" s="37" t="s">
        <v>205</v>
      </c>
      <c r="L3" s="63">
        <f t="shared" ref="L3" si="71">((L$4*60)/0.25)*L$5</f>
        <v>28800</v>
      </c>
      <c r="M3" s="83">
        <f t="shared" ref="M3" ca="1" si="72">-(L$3+L$30)/L$30</f>
        <v>0.32706689051321797</v>
      </c>
      <c r="N3" s="63"/>
      <c r="O3" s="37" t="s">
        <v>205</v>
      </c>
      <c r="P3" s="63">
        <f t="shared" ref="P3" si="73">((P$4*60)/0.25)*P$5</f>
        <v>28800</v>
      </c>
      <c r="Q3" s="83">
        <f t="shared" ref="Q3" ca="1" si="74">-(P$3+P$30)/P$30</f>
        <v>-0.43085248751933192</v>
      </c>
      <c r="R3" s="63"/>
      <c r="S3" s="37" t="s">
        <v>205</v>
      </c>
      <c r="T3" s="63">
        <f t="shared" ref="T3" si="75">((T$4*60)/0.25)*T$5</f>
        <v>28800</v>
      </c>
      <c r="U3" s="83">
        <f t="shared" ref="U3" ca="1" si="76">-(T$3+T$30)/T$30</f>
        <v>0.32706689051321797</v>
      </c>
      <c r="V3" s="63"/>
      <c r="W3" s="37" t="s">
        <v>205</v>
      </c>
      <c r="X3" s="63">
        <f t="shared" ref="X3" si="77">((X$4*60)/0.25)*X$5</f>
        <v>28800</v>
      </c>
      <c r="Y3" s="83">
        <f t="shared" ref="Y3" ca="1" si="78">-(X$3+X$30)/X$30</f>
        <v>0.32706689051321797</v>
      </c>
      <c r="Z3" s="63"/>
      <c r="AA3" s="37" t="s">
        <v>205</v>
      </c>
      <c r="AB3" s="63">
        <f t="shared" ref="AB3" si="79">((AB$4*60)/0.25)*AB$5</f>
        <v>28800</v>
      </c>
      <c r="AC3" s="83">
        <f t="shared" ref="AC3" ca="1" si="80">-(AB$3+AB$30)/AB$30</f>
        <v>-0.50131938887192873</v>
      </c>
      <c r="AD3" s="63"/>
      <c r="AE3" s="37" t="s">
        <v>205</v>
      </c>
      <c r="AF3" s="63">
        <f t="shared" ref="AF3" si="81">((AF$4*60)/0.25)*AF$5</f>
        <v>38400</v>
      </c>
      <c r="AG3" s="83">
        <f t="shared" ref="AG3" ca="1" si="82">-(AF$3+AF$30)/AF$30</f>
        <v>0.44732005256387897</v>
      </c>
      <c r="AH3" s="63"/>
      <c r="AI3" s="37" t="s">
        <v>205</v>
      </c>
      <c r="AJ3" s="63">
        <f t="shared" ref="AJ3" si="83">((AJ$4*60)/0.25)*AJ$5</f>
        <v>38400</v>
      </c>
      <c r="AK3" s="83">
        <f t="shared" ref="AK3" ca="1" si="84">-(AJ$3+AJ$30)/AJ$30</f>
        <v>0.44732005256387897</v>
      </c>
      <c r="AL3" s="63"/>
      <c r="AM3" s="37" t="s">
        <v>205</v>
      </c>
      <c r="AN3" s="63">
        <f t="shared" ref="AN3" si="85">((AN$4*60)/0.25)*AN$5</f>
        <v>38400</v>
      </c>
      <c r="AO3" s="83">
        <f t="shared" ref="AO3" ca="1" si="86">-(AN$3+AN$30)/AN$30</f>
        <v>-0.40678302582090503</v>
      </c>
      <c r="AP3" s="63"/>
      <c r="AQ3" s="37" t="s">
        <v>205</v>
      </c>
      <c r="AR3" s="63">
        <f t="shared" ref="AR3" si="87">((AR$4*60)/0.25)*AR$5</f>
        <v>38400</v>
      </c>
      <c r="AS3" s="83">
        <f t="shared" ref="AS3" ca="1" si="88">-(AR$3+AR$30)/AR$30</f>
        <v>0.44732005256387897</v>
      </c>
      <c r="AT3" s="63"/>
      <c r="AU3" s="37" t="s">
        <v>205</v>
      </c>
      <c r="AV3" s="63">
        <f t="shared" ref="AV3" si="89">((AV$4*60)/0.25)*AV$5</f>
        <v>38400</v>
      </c>
      <c r="AW3" s="83">
        <f t="shared" ref="AW3" ca="1" si="90">-(AV$3+AV$30)/AV$30</f>
        <v>0.40265796264688003</v>
      </c>
      <c r="AX3" s="63"/>
      <c r="AY3" s="37" t="s">
        <v>205</v>
      </c>
      <c r="AZ3" s="63">
        <f t="shared" ref="AZ3" si="91">((AZ$4*60)/0.25)*AZ$5</f>
        <v>38400</v>
      </c>
      <c r="BA3" s="83">
        <f t="shared" ref="BA3" ca="1" si="92">-(AZ$3+AZ$30)/AZ$30</f>
        <v>-0.44085754996766841</v>
      </c>
      <c r="BB3" s="63"/>
      <c r="BC3" s="37" t="s">
        <v>205</v>
      </c>
      <c r="BD3" s="63">
        <f t="shared" ref="BD3" si="93">((BD$4*60)/0.25)*BD$5</f>
        <v>38400</v>
      </c>
      <c r="BE3" s="83">
        <f t="shared" ref="BE3" ca="1" si="94">-(BD$3+BD$30)/BD$30</f>
        <v>0.40265796264688003</v>
      </c>
      <c r="BF3" s="63"/>
      <c r="BG3" s="37" t="s">
        <v>205</v>
      </c>
      <c r="BH3" s="63">
        <f t="shared" ref="BH3" si="95">((BH$4*60)/0.25)*BH$5</f>
        <v>48000</v>
      </c>
      <c r="BI3" s="83">
        <f t="shared" ref="BI3" ca="1" si="96">-(BH$3+BH$30)/BH$30</f>
        <v>0.52539808128775778</v>
      </c>
      <c r="BJ3" s="63"/>
      <c r="BK3" s="37" t="s">
        <v>205</v>
      </c>
      <c r="BL3" s="63">
        <f t="shared" ref="BL3" si="97">((BL$4*60)/0.25)*BL$5</f>
        <v>48000</v>
      </c>
      <c r="BM3" s="83">
        <f t="shared" ref="BM3" ca="1" si="98">-(BL$3+BL$30)/BL$30</f>
        <v>-0.39215265842599756</v>
      </c>
      <c r="BN3" s="63"/>
      <c r="BO3" s="37" t="s">
        <v>205</v>
      </c>
      <c r="BP3" s="63">
        <f t="shared" ref="BP3" si="99">((BP$4*60)/0.25)*BP$5</f>
        <v>48000</v>
      </c>
      <c r="BQ3" s="83">
        <f t="shared" ref="BQ3" ca="1" si="100">-(BP$3+BP$30)/BP$30</f>
        <v>0.52539808128775778</v>
      </c>
      <c r="BR3" s="63"/>
      <c r="BS3" s="37" t="s">
        <v>205</v>
      </c>
      <c r="BT3" s="63">
        <f t="shared" ref="BT3" si="101">((BT$4*60)/0.25)*BT$5</f>
        <v>48000</v>
      </c>
      <c r="BU3" s="83">
        <f t="shared" ref="BU3" ca="1" si="102">-(BT$3+BT$30)/BT$30</f>
        <v>0.52539808128775778</v>
      </c>
      <c r="BV3" s="63"/>
      <c r="BW3" s="37" t="s">
        <v>205</v>
      </c>
      <c r="BX3" s="63">
        <f t="shared" ref="BX3" si="103">((BX$4*60)/0.25)*BX$5</f>
        <v>48000</v>
      </c>
      <c r="BY3" s="83">
        <f t="shared" ref="BY3" ca="1" si="104">-(BX$3+BX$30)/BX$30</f>
        <v>-0.4151134376017479</v>
      </c>
      <c r="BZ3" s="63"/>
      <c r="CA3" s="37" t="s">
        <v>205</v>
      </c>
      <c r="CB3" s="63">
        <f t="shared" ref="CB3" si="105">((CB$4*60)/0.25)*CB$5</f>
        <v>48000</v>
      </c>
      <c r="CC3" s="83">
        <f t="shared" ref="CC3" ca="1" si="106">-(CB$3+CB$30)/CB$30</f>
        <v>0.52539808128775778</v>
      </c>
      <c r="CD3" s="63"/>
      <c r="CE3" s="37" t="s">
        <v>205</v>
      </c>
      <c r="CF3" s="63">
        <f t="shared" ref="CF3" si="107">((CF$4*60)/0.25)*CF$5</f>
        <v>57600</v>
      </c>
      <c r="CG3" s="83">
        <f t="shared" ref="CG3" ca="1" si="108">-(CF$3+CF$30)/CF$30</f>
        <v>0.61989793818503969</v>
      </c>
      <c r="CH3" s="63"/>
      <c r="CI3" s="37" t="s">
        <v>205</v>
      </c>
      <c r="CJ3" s="63">
        <f t="shared" ref="CJ3" si="109">((CJ$4*60)/0.25)*CJ$5</f>
        <v>57600</v>
      </c>
      <c r="CK3" s="83">
        <f t="shared" ref="CK3" ca="1" si="110">-(CJ$3+CJ$30)/CJ$30</f>
        <v>-0.37633851543707436</v>
      </c>
      <c r="CL3" s="63"/>
      <c r="CM3" s="37" t="s">
        <v>205</v>
      </c>
      <c r="CN3" s="63">
        <f t="shared" ref="CN3" si="111">((CN$4*60)/0.25)*CN$5</f>
        <v>57600</v>
      </c>
      <c r="CO3" s="83">
        <f t="shared" ref="CO3" ca="1" si="112">-(CN$3+CN$30)/CN$30</f>
        <v>0.61989793818503969</v>
      </c>
      <c r="CP3" s="63"/>
      <c r="CQ3" s="37" t="s">
        <v>205</v>
      </c>
      <c r="CR3" s="63">
        <f t="shared" ref="CR3" si="113">((CR$4*60)/0.25)*CR$5</f>
        <v>57600</v>
      </c>
      <c r="CS3" s="83">
        <f t="shared" ref="CS3" ca="1" si="114">-(CR$3+CR$30)/CR$30</f>
        <v>0.61989793818503969</v>
      </c>
      <c r="CT3" s="63"/>
      <c r="CU3" s="37" t="s">
        <v>205</v>
      </c>
      <c r="CV3" s="63">
        <f t="shared" ref="CV3" si="115">((CV$4*60)/0.25)*CV$5</f>
        <v>57600</v>
      </c>
      <c r="CW3" s="83">
        <f t="shared" ref="CW3" ca="1" si="116">-(CV$3+CV$30)/CV$30</f>
        <v>-0.37633851543707436</v>
      </c>
      <c r="CX3" s="63"/>
      <c r="CY3" s="37" t="s">
        <v>205</v>
      </c>
      <c r="CZ3" s="63">
        <f t="shared" ref="CZ3" si="117">((CZ$4*60)/0.25)*CZ$5</f>
        <v>57600</v>
      </c>
      <c r="DA3" s="83">
        <f t="shared" ref="DA3" ca="1" si="118">-(CZ$3+CZ$30)/CZ$30</f>
        <v>0.61989793818503969</v>
      </c>
      <c r="DB3" s="63"/>
      <c r="DC3" s="37" t="s">
        <v>205</v>
      </c>
      <c r="DD3" s="63">
        <f t="shared" ref="DD3" si="119">((DD$4*60)/0.25)*DD$5</f>
        <v>57600</v>
      </c>
      <c r="DE3" s="83">
        <f t="shared" ref="DE3" ca="1" si="120">-(DD$3+DD$30)/DD$30</f>
        <v>0.61989793818503969</v>
      </c>
      <c r="DF3" s="63"/>
      <c r="DG3" s="37" t="s">
        <v>205</v>
      </c>
      <c r="DH3" s="63">
        <f t="shared" ref="DH3" si="121">((DH$4*60)/0.25)*DH$5</f>
        <v>67200</v>
      </c>
      <c r="DI3" s="83">
        <f t="shared" ref="DI3" ca="1" si="122">-(DH$3+DH$30)/DH$30</f>
        <v>-0.36452936678650649</v>
      </c>
      <c r="DJ3" s="63"/>
      <c r="DK3" s="37" t="s">
        <v>205</v>
      </c>
      <c r="DL3" s="63">
        <f t="shared" ref="DL3" si="123">((DL$4*60)/0.25)*DL$5</f>
        <v>67200</v>
      </c>
      <c r="DM3" s="83">
        <f t="shared" ref="DM3" ca="1" si="124">-(DL$3+DL$30)/DL$30</f>
        <v>0.69489833703651083</v>
      </c>
      <c r="DN3" s="63"/>
      <c r="DO3" s="37" t="s">
        <v>205</v>
      </c>
      <c r="DP3" s="63">
        <f t="shared" ref="DP3" si="125">((DP$4*60)/0.25)*DP$5</f>
        <v>67200</v>
      </c>
      <c r="DQ3" s="83">
        <f t="shared" ref="DQ3" ca="1" si="126">-(DP$3+DP$30)/DP$30</f>
        <v>0.69489833703651083</v>
      </c>
      <c r="DR3" s="63"/>
      <c r="DS3" s="37" t="s">
        <v>205</v>
      </c>
      <c r="DT3" s="63">
        <f t="shared" ref="DT3" si="127">((DT$4*60)/0.25)*DT$5</f>
        <v>67200</v>
      </c>
      <c r="DU3" s="83">
        <f t="shared" ref="DU3" ca="1" si="128">-(DT$3+DT$30)/DT$30</f>
        <v>-0.36452936678650649</v>
      </c>
      <c r="DV3" s="63"/>
      <c r="DW3" s="37" t="s">
        <v>205</v>
      </c>
      <c r="DX3" s="63">
        <f t="shared" ref="DX3" si="129">((DX$4*60)/0.25)*DX$5</f>
        <v>67200</v>
      </c>
      <c r="DY3" s="83">
        <f t="shared" ref="DY3" ca="1" si="130">-(DX$3+DX$30)/DX$30</f>
        <v>0.66111331862020806</v>
      </c>
      <c r="DZ3" s="63"/>
      <c r="EA3" s="37" t="s">
        <v>205</v>
      </c>
      <c r="EB3" s="63">
        <f t="shared" ref="EB3" si="131">((EB$4*60)/0.25)*EB$5</f>
        <v>67200</v>
      </c>
      <c r="EC3" s="83">
        <f t="shared" ref="EC3" ca="1" si="132">-(EB$3+EB$30)/EB$30</f>
        <v>0.66111331862020806</v>
      </c>
      <c r="ED3" s="63"/>
      <c r="EE3" s="37" t="s">
        <v>205</v>
      </c>
      <c r="EF3" s="63">
        <f t="shared" ref="EF3" si="133">((EF$4*60)/0.25)*EF$5</f>
        <v>67200</v>
      </c>
      <c r="EG3" s="83">
        <f t="shared" ref="EG3" ca="1" si="134">-(EF$3+EF$30)/EF$30</f>
        <v>-0.40401648053154776</v>
      </c>
      <c r="EH3" s="63"/>
      <c r="EI3" s="37" t="s">
        <v>205</v>
      </c>
      <c r="EJ3" s="63">
        <f t="shared" ref="EJ3" si="135">((EJ$4*60)/0.25)*EJ$5</f>
        <v>76800</v>
      </c>
      <c r="EK3" s="83">
        <f t="shared" ref="EK3" ca="1" si="136">-(EJ$3+EJ$30)/EJ$30</f>
        <v>0.71963671181376576</v>
      </c>
      <c r="EL3" s="63"/>
      <c r="EM3" s="37" t="s">
        <v>205</v>
      </c>
      <c r="EN3" s="63">
        <f t="shared" ref="EN3" si="137">((EN$4*60)/0.25)*EN$5</f>
        <v>76800</v>
      </c>
      <c r="EO3" s="83">
        <f t="shared" ref="EO3" ca="1" si="138">-(EN$3+EN$30)/EN$30</f>
        <v>0.71963671181376576</v>
      </c>
      <c r="EP3" s="63"/>
      <c r="EQ3" s="37" t="s">
        <v>205</v>
      </c>
      <c r="ER3" s="63">
        <f t="shared" ref="ER3" si="139">((ER$4*60)/0.25)*ER$5</f>
        <v>76800</v>
      </c>
      <c r="ES3" s="83">
        <f t="shared" ref="ES3" ca="1" si="140">-(ER$3+ER$30)/ER$30</f>
        <v>-0.36032301415079154</v>
      </c>
      <c r="ET3" s="63"/>
      <c r="EU3" s="37" t="s">
        <v>205</v>
      </c>
      <c r="EV3" s="63">
        <f t="shared" ref="EV3" si="141">((EV$4*60)/0.25)*EV$5</f>
        <v>76800</v>
      </c>
      <c r="EW3" s="83">
        <f t="shared" ref="EW3" ca="1" si="142">-(EV$3+EV$30)/EV$30</f>
        <v>0.71963671181376576</v>
      </c>
      <c r="EX3" s="63"/>
      <c r="EY3" s="37" t="s">
        <v>205</v>
      </c>
      <c r="EZ3" s="63">
        <f t="shared" ref="EZ3" si="143">((EZ$4*60)/0.25)*EZ$5</f>
        <v>76800</v>
      </c>
      <c r="FA3" s="83">
        <f t="shared" ref="FA3" ca="1" si="144">-(EZ$3+EZ$30)/EZ$30</f>
        <v>0.71963671181376576</v>
      </c>
      <c r="FB3" s="63"/>
      <c r="FC3" s="37" t="s">
        <v>205</v>
      </c>
      <c r="FD3" s="63">
        <f t="shared" ref="FD3" si="145">((FD$4*60)/0.25)*FD$5</f>
        <v>76800</v>
      </c>
      <c r="FE3" s="83">
        <f t="shared" ref="FE3" ca="1" si="146">-(FD$3+FD$30)/FD$30</f>
        <v>-0.39173421801158426</v>
      </c>
      <c r="FF3" s="63"/>
      <c r="FG3" s="37" t="s">
        <v>205</v>
      </c>
      <c r="FH3" s="63">
        <f t="shared" ref="FH3" si="147">((FH$4*60)/0.25)*FH$5</f>
        <v>86400</v>
      </c>
      <c r="FI3" s="83">
        <f t="shared" ref="FI3" ca="1" si="148">-(FH$3+FH$30)/FH$30</f>
        <v>0.76808620111555381</v>
      </c>
      <c r="FJ3" s="63"/>
      <c r="FK3" s="37" t="s">
        <v>205</v>
      </c>
      <c r="FL3" s="63">
        <f t="shared" ref="FL3" si="149">((FL$4*60)/0.25)*FL$5</f>
        <v>86400</v>
      </c>
      <c r="FM3" s="83">
        <f t="shared" ref="FM3" ca="1" si="150">-(FL$3+FL$30)/FL$30</f>
        <v>0.76808620111555381</v>
      </c>
      <c r="FN3" s="63"/>
      <c r="FO3" s="37" t="s">
        <v>205</v>
      </c>
      <c r="FP3" s="63">
        <f t="shared" ref="FP3" si="151">((FP$4*60)/0.25)*FP$5</f>
        <v>86400</v>
      </c>
      <c r="FQ3" s="83">
        <f t="shared" ref="FQ3" ca="1" si="152">-(FP$3+FP$30)/FP$30</f>
        <v>-0.35313070684010567</v>
      </c>
      <c r="FR3" s="63"/>
      <c r="FS3" s="37" t="s">
        <v>205</v>
      </c>
      <c r="FT3" s="63">
        <f t="shared" ref="FT3" si="153">((FT$4*60)/0.25)*FT$5</f>
        <v>86400</v>
      </c>
      <c r="FU3" s="83">
        <f t="shared" ref="FU3" ca="1" si="154">-(FT$3+FT$30)/FT$30</f>
        <v>0.76808620111555381</v>
      </c>
      <c r="FV3" s="63"/>
      <c r="FW3" s="37" t="s">
        <v>205</v>
      </c>
      <c r="FX3" s="63">
        <f t="shared" ref="FX3" si="155">((FX$4*60)/0.25)*FX$5</f>
        <v>86400</v>
      </c>
      <c r="FY3" s="83">
        <f t="shared" ref="FY3" ca="1" si="156">-(FX$3+FX$30)/FX$30</f>
        <v>0.76808620111555381</v>
      </c>
      <c r="FZ3" s="63"/>
      <c r="GA3" s="37" t="s">
        <v>205</v>
      </c>
      <c r="GB3" s="63">
        <f t="shared" ref="GB3" si="157">((GB$4*60)/0.25)*GB$5</f>
        <v>86400</v>
      </c>
      <c r="GC3" s="83">
        <f t="shared" ref="GC3" ca="1" si="158">-(GB$3+GB$30)/GB$30</f>
        <v>-0.36780362477277462</v>
      </c>
      <c r="GD3" s="63"/>
      <c r="GE3" s="37" t="s">
        <v>205</v>
      </c>
      <c r="GF3" s="63">
        <f t="shared" ref="GF3" si="159">((GF$4*60)/0.25)*GF$5</f>
        <v>86400</v>
      </c>
      <c r="GG3" s="83">
        <f t="shared" ref="GG3" ca="1" si="160">-(GF$3+GF$30)/GF$30</f>
        <v>0.76808620111555381</v>
      </c>
      <c r="GH3" s="63"/>
      <c r="GI3" s="37" t="s">
        <v>205</v>
      </c>
      <c r="GJ3" s="63">
        <f t="shared" ref="GJ3" si="161">((GJ$4*60)/0.25)*GJ$5</f>
        <v>96000</v>
      </c>
      <c r="GK3" s="83">
        <f t="shared" ref="GK3" ca="1" si="162">-(GJ$3+GJ$30)/GJ$30</f>
        <v>0.80885675950907265</v>
      </c>
      <c r="GL3" s="63"/>
      <c r="GM3" s="37" t="s">
        <v>205</v>
      </c>
      <c r="GN3" s="63">
        <f t="shared" ref="GN3" si="163">((GN$4*60)/0.25)*GN$5</f>
        <v>96000</v>
      </c>
      <c r="GO3" s="83">
        <f t="shared" ref="GO3" ca="1" si="164">-(GN$3+GN$30)/GN$30</f>
        <v>-0.34725935436510713</v>
      </c>
      <c r="GP3" s="63"/>
      <c r="GQ3" s="37" t="s">
        <v>205</v>
      </c>
      <c r="GR3" s="63">
        <f t="shared" ref="GR3" si="165">((GR$4*60)/0.25)*GR$5</f>
        <v>96000</v>
      </c>
      <c r="GS3" s="83">
        <f t="shared" ref="GS3" ca="1" si="166">-(GR$3+GR$30)/GR$30</f>
        <v>0.80885675950907265</v>
      </c>
      <c r="GT3" s="63"/>
      <c r="GU3" s="37" t="s">
        <v>205</v>
      </c>
      <c r="GV3" s="63">
        <f t="shared" ref="GV3" si="167">((GV$4*60)/0.25)*GV$5</f>
        <v>96000</v>
      </c>
      <c r="GW3" s="83">
        <f t="shared" ref="GW3" ca="1" si="168">-(GV$3+GV$30)/GV$30</f>
        <v>0.80885675950907265</v>
      </c>
      <c r="GX3" s="63"/>
      <c r="GY3" s="37" t="s">
        <v>205</v>
      </c>
      <c r="GZ3" s="63">
        <f t="shared" ref="GZ3" si="169">((GZ$4*60)/0.25)*GZ$5</f>
        <v>96000</v>
      </c>
      <c r="HA3" s="83">
        <f t="shared" ref="HA3" ca="1" si="170">-(GZ$3+GZ$30)/GZ$30</f>
        <v>-0.34725935436510713</v>
      </c>
      <c r="HB3" s="63"/>
      <c r="HC3" s="37" t="s">
        <v>205</v>
      </c>
      <c r="HD3" s="63">
        <f t="shared" ref="HD3" si="171">((HD$4*60)/0.25)*HD$5</f>
        <v>96000</v>
      </c>
      <c r="HE3" s="83">
        <f t="shared" ref="HE3" ca="1" si="172">-(HD$3+HD$30)/HD$30</f>
        <v>0.80885675950907265</v>
      </c>
      <c r="HF3" s="63"/>
      <c r="HG3" s="37" t="s">
        <v>205</v>
      </c>
      <c r="HH3" s="63">
        <f t="shared" ref="HH3" si="173">((HH$4*60)/0.25)*HH$5</f>
        <v>96000</v>
      </c>
      <c r="HI3" s="83">
        <f t="shared" ref="HI3" ca="1" si="174">-(HH$3+HH$30)/HH$30</f>
        <v>0.80885675950907265</v>
      </c>
      <c r="HJ3" s="63"/>
      <c r="HK3" s="37" t="s">
        <v>205</v>
      </c>
      <c r="HL3" s="63">
        <f t="shared" ref="HL3" si="175">((HL$4*60)/0.25)*HL$5</f>
        <v>105600</v>
      </c>
      <c r="HM3" s="83">
        <f t="shared" ref="HM3" ca="1" si="176">-(HL$3+HL$30)/HL$30</f>
        <v>-0.342375650439253</v>
      </c>
      <c r="HN3" s="63"/>
      <c r="HO3" s="37" t="s">
        <v>205</v>
      </c>
      <c r="HP3" s="63">
        <f t="shared" ref="HP3" si="177">((HP$4*60)/0.25)*HP$5</f>
        <v>105600</v>
      </c>
      <c r="HQ3" s="83">
        <f t="shared" ref="HQ3" ca="1" si="178">-(HP$3+HP$30)/HP$30</f>
        <v>0.84363992912312946</v>
      </c>
      <c r="HR3" s="63"/>
      <c r="HS3" s="37" t="s">
        <v>205</v>
      </c>
      <c r="HT3" s="63">
        <f t="shared" ref="HT3" si="179">((HT$4*60)/0.25)*HT$5</f>
        <v>105600</v>
      </c>
      <c r="HU3" s="83">
        <f t="shared" ref="HU3" ca="1" si="180">-(HT$3+HT$30)/HT$30</f>
        <v>0.84363992912312946</v>
      </c>
      <c r="HV3" s="63"/>
      <c r="HW3" s="37" t="s">
        <v>205</v>
      </c>
      <c r="HX3" s="63">
        <f t="shared" ref="HX3" si="181">((HX$4*60)/0.25)*HX$5</f>
        <v>105600</v>
      </c>
      <c r="HY3" s="83">
        <f t="shared" ref="HY3" ca="1" si="182">-(HX$3+HX$30)/HX$30</f>
        <v>-0.342375650439253</v>
      </c>
      <c r="HZ3" s="63"/>
      <c r="IA3" s="37" t="s">
        <v>205</v>
      </c>
      <c r="IB3" s="63">
        <f t="shared" ref="IB3" si="183">((IB$4*60)/0.25)*IB$5</f>
        <v>105600</v>
      </c>
      <c r="IC3" s="83">
        <f t="shared" ref="IC3" ca="1" si="184">-(IB$3+IB$30)/IB$30</f>
        <v>0.84363992912312946</v>
      </c>
      <c r="ID3" s="63"/>
      <c r="IE3" s="37" t="s">
        <v>205</v>
      </c>
      <c r="IF3" s="63">
        <f t="shared" ref="IF3" si="185">((IF$4*60)/0.25)*IF$5</f>
        <v>105600</v>
      </c>
      <c r="IG3" s="83">
        <f t="shared" ref="IG3" ca="1" si="186">-(IF$3+IF$30)/IF$30</f>
        <v>0.84363992912312946</v>
      </c>
      <c r="IH3" s="63"/>
      <c r="II3" s="37" t="s">
        <v>205</v>
      </c>
      <c r="IJ3" s="63">
        <f t="shared" ref="IJ3" si="187">((IJ$4*60)/0.25)*IJ$5</f>
        <v>115200</v>
      </c>
      <c r="IK3" s="83">
        <f t="shared" ref="IK3" ca="1" si="188">-(IJ$3+IJ$30)/IJ$30</f>
        <v>-0.33824972328639186</v>
      </c>
      <c r="IL3" s="63"/>
      <c r="IM3" s="37" t="s">
        <v>205</v>
      </c>
      <c r="IN3" s="63">
        <f t="shared" ref="IN3" si="189">((IN$4*60)/0.25)*IN$5</f>
        <v>115200</v>
      </c>
      <c r="IO3" s="83">
        <f t="shared" ref="IO3" ca="1" si="190">-(IN$3+IN$30)/IN$30</f>
        <v>0.8736644122244116</v>
      </c>
      <c r="IP3" s="63"/>
      <c r="IQ3" s="37" t="s">
        <v>205</v>
      </c>
      <c r="IR3" s="63">
        <f t="shared" ref="IR3" si="191">((IR$4*60)/0.25)*IR$5</f>
        <v>115200</v>
      </c>
      <c r="IS3" s="83">
        <f t="shared" ref="IS3" ca="1" si="192">-(IR$3+IR$30)/IR$30</f>
        <v>0.8736644122244116</v>
      </c>
      <c r="IT3" s="63"/>
      <c r="IU3" s="37" t="s">
        <v>205</v>
      </c>
      <c r="IV3" s="63">
        <f t="shared" ref="IV3" si="193">((IV$4*60)/0.25)*IV$5</f>
        <v>115200</v>
      </c>
      <c r="IW3" s="83">
        <f t="shared" ref="IW3" ca="1" si="194">-(IV$3+IV$30)/IV$30</f>
        <v>-0.33824972328639186</v>
      </c>
      <c r="IX3" s="63"/>
      <c r="IY3" s="37" t="s">
        <v>205</v>
      </c>
      <c r="IZ3" s="63">
        <f t="shared" ref="IZ3" si="195">((IZ$4*60)/0.25)*IZ$5</f>
        <v>115200</v>
      </c>
      <c r="JA3" s="83">
        <f t="shared" ref="JA3" ca="1" si="196">-(IZ$3+IZ$30)/IZ$30</f>
        <v>0.8736644122244116</v>
      </c>
      <c r="JB3" s="63"/>
      <c r="JC3" s="37" t="s">
        <v>205</v>
      </c>
      <c r="JD3" s="63">
        <f t="shared" ref="JD3" si="197">((JD$4*60)/0.25)*JD$5</f>
        <v>115200</v>
      </c>
      <c r="JE3" s="83">
        <f t="shared" ref="JE3" ca="1" si="198">-(JD$3+JD$30)/JD$30</f>
        <v>0.8736644122244116</v>
      </c>
      <c r="JF3" s="63"/>
      <c r="JG3" s="37" t="s">
        <v>205</v>
      </c>
      <c r="JH3" s="63">
        <f t="shared" ref="JH3" si="199">((JH$4*60)/0.25)*JH$5</f>
        <v>115200</v>
      </c>
      <c r="JI3" s="83">
        <f t="shared" ref="JI3" ca="1" si="200">-(JH$3+JH$30)/JH$30</f>
        <v>-0.36100746309801912</v>
      </c>
      <c r="JJ3" s="63"/>
      <c r="JK3" s="37" t="s">
        <v>205</v>
      </c>
      <c r="JL3" s="63">
        <f t="shared" ref="JL3" si="201">((JL$4*60)/0.25)*JL$5</f>
        <v>124800</v>
      </c>
      <c r="JM3" s="83">
        <f t="shared" ref="JM3" ca="1" si="202">-(JL$3+JL$30)/JL$30</f>
        <v>0.89984423866091945</v>
      </c>
      <c r="JN3" s="63"/>
      <c r="JO3" s="37" t="s">
        <v>205</v>
      </c>
      <c r="JP3" s="63">
        <f t="shared" ref="JP3" si="203">((JP$4*60)/0.25)*JP$5</f>
        <v>124800</v>
      </c>
      <c r="JQ3" s="83">
        <f t="shared" ref="JQ3" ca="1" si="204">-(JP$3+JP$30)/JP$30</f>
        <v>0.89984423866091945</v>
      </c>
      <c r="JR3" s="63"/>
      <c r="JS3" s="37" t="s">
        <v>205</v>
      </c>
      <c r="JT3" s="63">
        <f t="shared" ref="JT3" si="205">((JT$4*60)/0.25)*JT$5</f>
        <v>124800</v>
      </c>
      <c r="JU3" s="83">
        <f t="shared" ref="JU3" ca="1" si="206">-(JT$3+JT$30)/JT$30</f>
        <v>-0.33471790101149379</v>
      </c>
      <c r="JV3" s="63"/>
      <c r="JW3" s="37" t="s">
        <v>205</v>
      </c>
      <c r="JX3" s="63">
        <f t="shared" ref="JX3" si="207">((JX$4*60)/0.25)*JX$5</f>
        <v>124800</v>
      </c>
      <c r="JY3" s="83">
        <f t="shared" ref="JY3" ca="1" si="208">-(JX$3+JX$30)/JX$30</f>
        <v>0.89984423866091945</v>
      </c>
      <c r="JZ3" s="63"/>
      <c r="KA3" s="37" t="s">
        <v>205</v>
      </c>
      <c r="KB3" s="63">
        <f t="shared" ref="KB3" si="209">((KB$4*60)/0.25)*KB$5</f>
        <v>124800</v>
      </c>
      <c r="KC3" s="83">
        <f t="shared" ref="KC3" ca="1" si="210">-(KB$3+KB$30)/KB$30</f>
        <v>0.89984423866091945</v>
      </c>
      <c r="KD3" s="63"/>
      <c r="KE3" s="37" t="s">
        <v>205</v>
      </c>
      <c r="KF3" s="63">
        <f t="shared" ref="KF3" si="211">((KF$4*60)/0.25)*KF$5</f>
        <v>124800</v>
      </c>
      <c r="KG3" s="83">
        <f t="shared" ref="KG3" ca="1" si="212">-(KF$3+KF$30)/KF$30</f>
        <v>0.16646856304921914</v>
      </c>
      <c r="KH3" s="63"/>
    </row>
    <row r="4" spans="1:294" x14ac:dyDescent="0.25">
      <c r="A4" s="119">
        <v>0.15</v>
      </c>
      <c r="C4" s="37" t="s">
        <v>208</v>
      </c>
      <c r="D4" s="44">
        <v>3</v>
      </c>
      <c r="E4" s="63"/>
      <c r="F4" s="63"/>
      <c r="G4" s="37" t="s">
        <v>208</v>
      </c>
      <c r="H4" s="44">
        <f>INT(3 + (COLUMN()-COLUMN($D4))/4 * $A$4)</f>
        <v>3</v>
      </c>
      <c r="I4" s="63"/>
      <c r="J4" s="63"/>
      <c r="K4" s="37" t="s">
        <v>208</v>
      </c>
      <c r="L4" s="44">
        <f t="shared" ref="L4" si="213">INT(3 + (COLUMN()-COLUMN($D4))/4 * $A$4)</f>
        <v>3</v>
      </c>
      <c r="M4" s="63"/>
      <c r="N4" s="63"/>
      <c r="O4" s="37" t="s">
        <v>208</v>
      </c>
      <c r="P4" s="44">
        <f t="shared" ref="P4" si="214">INT(3 + (COLUMN()-COLUMN($D4))/4 * $A$4)</f>
        <v>3</v>
      </c>
      <c r="Q4" s="63"/>
      <c r="R4" s="63"/>
      <c r="S4" s="37" t="s">
        <v>208</v>
      </c>
      <c r="T4" s="44">
        <f t="shared" ref="T4" si="215">INT(3 + (COLUMN()-COLUMN($D4))/4 * $A$4)</f>
        <v>3</v>
      </c>
      <c r="U4" s="63"/>
      <c r="V4" s="63"/>
      <c r="W4" s="37" t="s">
        <v>208</v>
      </c>
      <c r="X4" s="44">
        <f t="shared" ref="X4" si="216">INT(3 + (COLUMN()-COLUMN($D4))/4 * $A$4)</f>
        <v>3</v>
      </c>
      <c r="Y4" s="63"/>
      <c r="Z4" s="63"/>
      <c r="AA4" s="37" t="s">
        <v>208</v>
      </c>
      <c r="AB4" s="44">
        <f t="shared" ref="AB4" si="217">INT(3 + (COLUMN()-COLUMN($D4))/4 * $A$4)</f>
        <v>3</v>
      </c>
      <c r="AC4" s="63"/>
      <c r="AD4" s="63"/>
      <c r="AE4" s="37" t="s">
        <v>208</v>
      </c>
      <c r="AF4" s="44">
        <f t="shared" ref="AF4" si="218">INT(3 + (COLUMN()-COLUMN($D4))/4 * $A$4)</f>
        <v>4</v>
      </c>
      <c r="AG4" s="63"/>
      <c r="AH4" s="63"/>
      <c r="AI4" s="37" t="s">
        <v>208</v>
      </c>
      <c r="AJ4" s="44">
        <f t="shared" ref="AJ4" si="219">INT(3 + (COLUMN()-COLUMN($D4))/4 * $A$4)</f>
        <v>4</v>
      </c>
      <c r="AK4" s="63"/>
      <c r="AL4" s="63"/>
      <c r="AM4" s="37" t="s">
        <v>208</v>
      </c>
      <c r="AN4" s="44">
        <f t="shared" ref="AN4" si="220">INT(3 + (COLUMN()-COLUMN($D4))/4 * $A$4)</f>
        <v>4</v>
      </c>
      <c r="AO4" s="63"/>
      <c r="AP4" s="63"/>
      <c r="AQ4" s="37" t="s">
        <v>208</v>
      </c>
      <c r="AR4" s="44">
        <f t="shared" ref="AR4" si="221">INT(3 + (COLUMN()-COLUMN($D4))/4 * $A$4)</f>
        <v>4</v>
      </c>
      <c r="AS4" s="63"/>
      <c r="AT4" s="63"/>
      <c r="AU4" s="37" t="s">
        <v>208</v>
      </c>
      <c r="AV4" s="44">
        <f t="shared" ref="AV4" si="222">INT(3 + (COLUMN()-COLUMN($D4))/4 * $A$4)</f>
        <v>4</v>
      </c>
      <c r="AW4" s="63"/>
      <c r="AX4" s="63"/>
      <c r="AY4" s="37" t="s">
        <v>208</v>
      </c>
      <c r="AZ4" s="44">
        <f t="shared" ref="AZ4" si="223">INT(3 + (COLUMN()-COLUMN($D4))/4 * $A$4)</f>
        <v>4</v>
      </c>
      <c r="BA4" s="63"/>
      <c r="BB4" s="63"/>
      <c r="BC4" s="37" t="s">
        <v>208</v>
      </c>
      <c r="BD4" s="44">
        <f t="shared" ref="BD4" si="224">INT(3 + (COLUMN()-COLUMN($D4))/4 * $A$4)</f>
        <v>4</v>
      </c>
      <c r="BE4" s="63"/>
      <c r="BF4" s="63"/>
      <c r="BG4" s="37" t="s">
        <v>208</v>
      </c>
      <c r="BH4" s="44">
        <f t="shared" ref="BH4" si="225">INT(3 + (COLUMN()-COLUMN($D4))/4 * $A$4)</f>
        <v>5</v>
      </c>
      <c r="BI4" s="63"/>
      <c r="BJ4" s="63"/>
      <c r="BK4" s="37" t="s">
        <v>208</v>
      </c>
      <c r="BL4" s="44">
        <f t="shared" ref="BL4" si="226">INT(3 + (COLUMN()-COLUMN($D4))/4 * $A$4)</f>
        <v>5</v>
      </c>
      <c r="BM4" s="63"/>
      <c r="BN4" s="63"/>
      <c r="BO4" s="37" t="s">
        <v>208</v>
      </c>
      <c r="BP4" s="44">
        <f t="shared" ref="BP4" si="227">INT(3 + (COLUMN()-COLUMN($D4))/4 * $A$4)</f>
        <v>5</v>
      </c>
      <c r="BQ4" s="63"/>
      <c r="BR4" s="63"/>
      <c r="BS4" s="37" t="s">
        <v>208</v>
      </c>
      <c r="BT4" s="44">
        <f t="shared" ref="BT4" si="228">INT(3 + (COLUMN()-COLUMN($D4))/4 * $A$4)</f>
        <v>5</v>
      </c>
      <c r="BU4" s="63"/>
      <c r="BV4" s="63"/>
      <c r="BW4" s="37" t="s">
        <v>208</v>
      </c>
      <c r="BX4" s="44">
        <f t="shared" ref="BX4" si="229">INT(3 + (COLUMN()-COLUMN($D4))/4 * $A$4)</f>
        <v>5</v>
      </c>
      <c r="BY4" s="63"/>
      <c r="BZ4" s="63"/>
      <c r="CA4" s="37" t="s">
        <v>208</v>
      </c>
      <c r="CB4" s="44">
        <f t="shared" ref="CB4" si="230">INT(3 + (COLUMN()-COLUMN($D4))/4 * $A$4)</f>
        <v>5</v>
      </c>
      <c r="CC4" s="63"/>
      <c r="CD4" s="63"/>
      <c r="CE4" s="37" t="s">
        <v>208</v>
      </c>
      <c r="CF4" s="44">
        <f t="shared" ref="CF4" si="231">INT(3 + (COLUMN()-COLUMN($D4))/4 * $A$4)</f>
        <v>6</v>
      </c>
      <c r="CG4" s="63"/>
      <c r="CH4" s="63"/>
      <c r="CI4" s="37" t="s">
        <v>208</v>
      </c>
      <c r="CJ4" s="44">
        <f t="shared" ref="CJ4" si="232">INT(3 + (COLUMN()-COLUMN($D4))/4 * $A$4)</f>
        <v>6</v>
      </c>
      <c r="CK4" s="63"/>
      <c r="CL4" s="63"/>
      <c r="CM4" s="37" t="s">
        <v>208</v>
      </c>
      <c r="CN4" s="44">
        <f t="shared" ref="CN4" si="233">INT(3 + (COLUMN()-COLUMN($D4))/4 * $A$4)</f>
        <v>6</v>
      </c>
      <c r="CO4" s="63"/>
      <c r="CP4" s="63"/>
      <c r="CQ4" s="37" t="s">
        <v>208</v>
      </c>
      <c r="CR4" s="44">
        <f t="shared" ref="CR4" si="234">INT(3 + (COLUMN()-COLUMN($D4))/4 * $A$4)</f>
        <v>6</v>
      </c>
      <c r="CS4" s="63"/>
      <c r="CT4" s="63"/>
      <c r="CU4" s="37" t="s">
        <v>208</v>
      </c>
      <c r="CV4" s="44">
        <f t="shared" ref="CV4" si="235">INT(3 + (COLUMN()-COLUMN($D4))/4 * $A$4)</f>
        <v>6</v>
      </c>
      <c r="CW4" s="63"/>
      <c r="CX4" s="63"/>
      <c r="CY4" s="37" t="s">
        <v>208</v>
      </c>
      <c r="CZ4" s="44">
        <f t="shared" ref="CZ4" si="236">INT(3 + (COLUMN()-COLUMN($D4))/4 * $A$4)</f>
        <v>6</v>
      </c>
      <c r="DA4" s="63"/>
      <c r="DB4" s="63"/>
      <c r="DC4" s="37" t="s">
        <v>208</v>
      </c>
      <c r="DD4" s="44">
        <f t="shared" ref="DD4" si="237">INT(3 + (COLUMN()-COLUMN($D4))/4 * $A$4)</f>
        <v>6</v>
      </c>
      <c r="DE4" s="63"/>
      <c r="DF4" s="63"/>
      <c r="DG4" s="37" t="s">
        <v>208</v>
      </c>
      <c r="DH4" s="44">
        <f t="shared" ref="DH4" si="238">INT(3 + (COLUMN()-COLUMN($D4))/4 * $A$4)</f>
        <v>7</v>
      </c>
      <c r="DI4" s="63"/>
      <c r="DJ4" s="63"/>
      <c r="DK4" s="37" t="s">
        <v>208</v>
      </c>
      <c r="DL4" s="44">
        <f t="shared" ref="DL4" si="239">INT(3 + (COLUMN()-COLUMN($D4))/4 * $A$4)</f>
        <v>7</v>
      </c>
      <c r="DM4" s="63"/>
      <c r="DN4" s="63"/>
      <c r="DO4" s="37" t="s">
        <v>208</v>
      </c>
      <c r="DP4" s="44">
        <f t="shared" ref="DP4" si="240">INT(3 + (COLUMN()-COLUMN($D4))/4 * $A$4)</f>
        <v>7</v>
      </c>
      <c r="DQ4" s="63"/>
      <c r="DR4" s="63"/>
      <c r="DS4" s="37" t="s">
        <v>208</v>
      </c>
      <c r="DT4" s="44">
        <f t="shared" ref="DT4" si="241">INT(3 + (COLUMN()-COLUMN($D4))/4 * $A$4)</f>
        <v>7</v>
      </c>
      <c r="DU4" s="63"/>
      <c r="DV4" s="63"/>
      <c r="DW4" s="37" t="s">
        <v>208</v>
      </c>
      <c r="DX4" s="44">
        <f t="shared" ref="DX4" si="242">INT(3 + (COLUMN()-COLUMN($D4))/4 * $A$4)</f>
        <v>7</v>
      </c>
      <c r="DY4" s="63"/>
      <c r="DZ4" s="63"/>
      <c r="EA4" s="37" t="s">
        <v>208</v>
      </c>
      <c r="EB4" s="44">
        <f t="shared" ref="EB4" si="243">INT(3 + (COLUMN()-COLUMN($D4))/4 * $A$4)</f>
        <v>7</v>
      </c>
      <c r="EC4" s="63"/>
      <c r="ED4" s="63"/>
      <c r="EE4" s="37" t="s">
        <v>208</v>
      </c>
      <c r="EF4" s="44">
        <f t="shared" ref="EF4" si="244">INT(3 + (COLUMN()-COLUMN($D4))/4 * $A$4)</f>
        <v>7</v>
      </c>
      <c r="EG4" s="63"/>
      <c r="EH4" s="63"/>
      <c r="EI4" s="37" t="s">
        <v>208</v>
      </c>
      <c r="EJ4" s="44">
        <f t="shared" ref="EJ4" si="245">INT(3 + (COLUMN()-COLUMN($D4))/4 * $A$4)</f>
        <v>8</v>
      </c>
      <c r="EK4" s="63"/>
      <c r="EL4" s="63"/>
      <c r="EM4" s="37" t="s">
        <v>208</v>
      </c>
      <c r="EN4" s="44">
        <f t="shared" ref="EN4" si="246">INT(3 + (COLUMN()-COLUMN($D4))/4 * $A$4)</f>
        <v>8</v>
      </c>
      <c r="EO4" s="63"/>
      <c r="EP4" s="63"/>
      <c r="EQ4" s="37" t="s">
        <v>208</v>
      </c>
      <c r="ER4" s="44">
        <f t="shared" ref="ER4" si="247">INT(3 + (COLUMN()-COLUMN($D4))/4 * $A$4)</f>
        <v>8</v>
      </c>
      <c r="ES4" s="63"/>
      <c r="ET4" s="63"/>
      <c r="EU4" s="37" t="s">
        <v>208</v>
      </c>
      <c r="EV4" s="44">
        <f t="shared" ref="EV4" si="248">INT(3 + (COLUMN()-COLUMN($D4))/4 * $A$4)</f>
        <v>8</v>
      </c>
      <c r="EW4" s="63"/>
      <c r="EX4" s="63"/>
      <c r="EY4" s="37" t="s">
        <v>208</v>
      </c>
      <c r="EZ4" s="44">
        <f t="shared" ref="EZ4" si="249">INT(3 + (COLUMN()-COLUMN($D4))/4 * $A$4)</f>
        <v>8</v>
      </c>
      <c r="FA4" s="63"/>
      <c r="FB4" s="63"/>
      <c r="FC4" s="37" t="s">
        <v>208</v>
      </c>
      <c r="FD4" s="44">
        <f t="shared" ref="FD4" si="250">INT(3 + (COLUMN()-COLUMN($D4))/4 * $A$4)</f>
        <v>8</v>
      </c>
      <c r="FE4" s="63"/>
      <c r="FF4" s="63"/>
      <c r="FG4" s="37" t="s">
        <v>208</v>
      </c>
      <c r="FH4" s="44">
        <f t="shared" ref="FH4" si="251">INT(3 + (COLUMN()-COLUMN($D4))/4 * $A$4)</f>
        <v>9</v>
      </c>
      <c r="FI4" s="63"/>
      <c r="FJ4" s="63"/>
      <c r="FK4" s="37" t="s">
        <v>208</v>
      </c>
      <c r="FL4" s="44">
        <f t="shared" ref="FL4" si="252">INT(3 + (COLUMN()-COLUMN($D4))/4 * $A$4)</f>
        <v>9</v>
      </c>
      <c r="FM4" s="63"/>
      <c r="FN4" s="63"/>
      <c r="FO4" s="37" t="s">
        <v>208</v>
      </c>
      <c r="FP4" s="44">
        <f t="shared" ref="FP4" si="253">INT(3 + (COLUMN()-COLUMN($D4))/4 * $A$4)</f>
        <v>9</v>
      </c>
      <c r="FQ4" s="63"/>
      <c r="FR4" s="63"/>
      <c r="FS4" s="37" t="s">
        <v>208</v>
      </c>
      <c r="FT4" s="44">
        <f t="shared" ref="FT4" si="254">INT(3 + (COLUMN()-COLUMN($D4))/4 * $A$4)</f>
        <v>9</v>
      </c>
      <c r="FU4" s="63"/>
      <c r="FV4" s="63"/>
      <c r="FW4" s="37" t="s">
        <v>208</v>
      </c>
      <c r="FX4" s="44">
        <f t="shared" ref="FX4" si="255">INT(3 + (COLUMN()-COLUMN($D4))/4 * $A$4)</f>
        <v>9</v>
      </c>
      <c r="FY4" s="63"/>
      <c r="FZ4" s="63"/>
      <c r="GA4" s="37" t="s">
        <v>208</v>
      </c>
      <c r="GB4" s="44">
        <f t="shared" ref="GB4" si="256">INT(3 + (COLUMN()-COLUMN($D4))/4 * $A$4)</f>
        <v>9</v>
      </c>
      <c r="GC4" s="63"/>
      <c r="GD4" s="63"/>
      <c r="GE4" s="37" t="s">
        <v>208</v>
      </c>
      <c r="GF4" s="44">
        <f t="shared" ref="GF4" si="257">INT(3 + (COLUMN()-COLUMN($D4))/4 * $A$4)</f>
        <v>9</v>
      </c>
      <c r="GG4" s="63"/>
      <c r="GH4" s="63"/>
      <c r="GI4" s="37" t="s">
        <v>208</v>
      </c>
      <c r="GJ4" s="44">
        <f t="shared" ref="GJ4" si="258">INT(3 + (COLUMN()-COLUMN($D4))/4 * $A$4)</f>
        <v>10</v>
      </c>
      <c r="GK4" s="63"/>
      <c r="GL4" s="63"/>
      <c r="GM4" s="37" t="s">
        <v>208</v>
      </c>
      <c r="GN4" s="44">
        <f t="shared" ref="GN4" si="259">INT(3 + (COLUMN()-COLUMN($D4))/4 * $A$4)</f>
        <v>10</v>
      </c>
      <c r="GO4" s="63"/>
      <c r="GP4" s="63"/>
      <c r="GQ4" s="37" t="s">
        <v>208</v>
      </c>
      <c r="GR4" s="44">
        <f t="shared" ref="GR4" si="260">INT(3 + (COLUMN()-COLUMN($D4))/4 * $A$4)</f>
        <v>10</v>
      </c>
      <c r="GS4" s="63"/>
      <c r="GT4" s="63"/>
      <c r="GU4" s="37" t="s">
        <v>208</v>
      </c>
      <c r="GV4" s="44">
        <f t="shared" ref="GV4" si="261">INT(3 + (COLUMN()-COLUMN($D4))/4 * $A$4)</f>
        <v>10</v>
      </c>
      <c r="GW4" s="63"/>
      <c r="GX4" s="63"/>
      <c r="GY4" s="37" t="s">
        <v>208</v>
      </c>
      <c r="GZ4" s="44">
        <f t="shared" ref="GZ4" si="262">INT(3 + (COLUMN()-COLUMN($D4))/4 * $A$4)</f>
        <v>10</v>
      </c>
      <c r="HA4" s="63"/>
      <c r="HB4" s="63"/>
      <c r="HC4" s="37" t="s">
        <v>208</v>
      </c>
      <c r="HD4" s="44">
        <f t="shared" ref="HD4" si="263">INT(3 + (COLUMN()-COLUMN($D4))/4 * $A$4)</f>
        <v>10</v>
      </c>
      <c r="HE4" s="63"/>
      <c r="HF4" s="63"/>
      <c r="HG4" s="37" t="s">
        <v>208</v>
      </c>
      <c r="HH4" s="44">
        <f t="shared" ref="HH4" si="264">INT(3 + (COLUMN()-COLUMN($D4))/4 * $A$4)</f>
        <v>10</v>
      </c>
      <c r="HI4" s="63"/>
      <c r="HJ4" s="63"/>
      <c r="HK4" s="37" t="s">
        <v>208</v>
      </c>
      <c r="HL4" s="44">
        <f t="shared" ref="HL4" si="265">INT(3 + (COLUMN()-COLUMN($D4))/4 * $A$4)</f>
        <v>11</v>
      </c>
      <c r="HM4" s="63"/>
      <c r="HN4" s="63"/>
      <c r="HO4" s="37" t="s">
        <v>208</v>
      </c>
      <c r="HP4" s="44">
        <f t="shared" ref="HP4" si="266">INT(3 + (COLUMN()-COLUMN($D4))/4 * $A$4)</f>
        <v>11</v>
      </c>
      <c r="HQ4" s="63"/>
      <c r="HR4" s="63"/>
      <c r="HS4" s="37" t="s">
        <v>208</v>
      </c>
      <c r="HT4" s="44">
        <f t="shared" ref="HT4" si="267">INT(3 + (COLUMN()-COLUMN($D4))/4 * $A$4)</f>
        <v>11</v>
      </c>
      <c r="HU4" s="63"/>
      <c r="HV4" s="63"/>
      <c r="HW4" s="37" t="s">
        <v>208</v>
      </c>
      <c r="HX4" s="44">
        <f t="shared" ref="HX4" si="268">INT(3 + (COLUMN()-COLUMN($D4))/4 * $A$4)</f>
        <v>11</v>
      </c>
      <c r="HY4" s="63"/>
      <c r="HZ4" s="63"/>
      <c r="IA4" s="37" t="s">
        <v>208</v>
      </c>
      <c r="IB4" s="44">
        <f t="shared" ref="IB4" si="269">INT(3 + (COLUMN()-COLUMN($D4))/4 * $A$4)</f>
        <v>11</v>
      </c>
      <c r="IC4" s="63"/>
      <c r="ID4" s="63"/>
      <c r="IE4" s="37" t="s">
        <v>208</v>
      </c>
      <c r="IF4" s="44">
        <f t="shared" ref="IF4" si="270">INT(3 + (COLUMN()-COLUMN($D4))/4 * $A$4)</f>
        <v>11</v>
      </c>
      <c r="IG4" s="63"/>
      <c r="IH4" s="63"/>
      <c r="II4" s="37" t="s">
        <v>208</v>
      </c>
      <c r="IJ4" s="44">
        <f t="shared" ref="IJ4" si="271">INT(3 + (COLUMN()-COLUMN($D4))/4 * $A$4)</f>
        <v>12</v>
      </c>
      <c r="IK4" s="63"/>
      <c r="IL4" s="63"/>
      <c r="IM4" s="37" t="s">
        <v>208</v>
      </c>
      <c r="IN4" s="44">
        <f t="shared" ref="IN4" si="272">INT(3 + (COLUMN()-COLUMN($D4))/4 * $A$4)</f>
        <v>12</v>
      </c>
      <c r="IO4" s="63"/>
      <c r="IP4" s="63"/>
      <c r="IQ4" s="37" t="s">
        <v>208</v>
      </c>
      <c r="IR4" s="44">
        <f t="shared" ref="IR4" si="273">INT(3 + (COLUMN()-COLUMN($D4))/4 * $A$4)</f>
        <v>12</v>
      </c>
      <c r="IS4" s="63"/>
      <c r="IT4" s="63"/>
      <c r="IU4" s="37" t="s">
        <v>208</v>
      </c>
      <c r="IV4" s="44">
        <f t="shared" ref="IV4" si="274">INT(3 + (COLUMN()-COLUMN($D4))/4 * $A$4)</f>
        <v>12</v>
      </c>
      <c r="IW4" s="63"/>
      <c r="IX4" s="63"/>
      <c r="IY4" s="37" t="s">
        <v>208</v>
      </c>
      <c r="IZ4" s="44">
        <f t="shared" ref="IZ4" si="275">INT(3 + (COLUMN()-COLUMN($D4))/4 * $A$4)</f>
        <v>12</v>
      </c>
      <c r="JA4" s="63"/>
      <c r="JB4" s="63"/>
      <c r="JC4" s="37" t="s">
        <v>208</v>
      </c>
      <c r="JD4" s="44">
        <f t="shared" ref="JD4" si="276">INT(3 + (COLUMN()-COLUMN($D4))/4 * $A$4)</f>
        <v>12</v>
      </c>
      <c r="JE4" s="63"/>
      <c r="JF4" s="63"/>
      <c r="JG4" s="37" t="s">
        <v>208</v>
      </c>
      <c r="JH4" s="44">
        <f t="shared" ref="JH4" si="277">INT(3 + (COLUMN()-COLUMN($D4))/4 * $A$4)</f>
        <v>12</v>
      </c>
      <c r="JI4" s="63"/>
      <c r="JJ4" s="63"/>
      <c r="JK4" s="37" t="s">
        <v>208</v>
      </c>
      <c r="JL4" s="44">
        <f t="shared" ref="JL4" si="278">INT(3 + (COLUMN()-COLUMN($D4))/4 * $A$4)</f>
        <v>13</v>
      </c>
      <c r="JM4" s="63"/>
      <c r="JN4" s="63"/>
      <c r="JO4" s="37" t="s">
        <v>208</v>
      </c>
      <c r="JP4" s="44">
        <f t="shared" ref="JP4" si="279">INT(3 + (COLUMN()-COLUMN($D4))/4 * $A$4)</f>
        <v>13</v>
      </c>
      <c r="JQ4" s="63"/>
      <c r="JR4" s="63"/>
      <c r="JS4" s="37" t="s">
        <v>208</v>
      </c>
      <c r="JT4" s="44">
        <f t="shared" ref="JT4" si="280">INT(3 + (COLUMN()-COLUMN($D4))/4 * $A$4)</f>
        <v>13</v>
      </c>
      <c r="JU4" s="63"/>
      <c r="JV4" s="63"/>
      <c r="JW4" s="37" t="s">
        <v>208</v>
      </c>
      <c r="JX4" s="44">
        <f t="shared" ref="JX4" si="281">INT(3 + (COLUMN()-COLUMN($D4))/4 * $A$4)</f>
        <v>13</v>
      </c>
      <c r="JY4" s="63"/>
      <c r="JZ4" s="63"/>
      <c r="KA4" s="37" t="s">
        <v>208</v>
      </c>
      <c r="KB4" s="44">
        <f t="shared" ref="KB4" si="282">INT(3 + (COLUMN()-COLUMN($D4))/4 * $A$4)</f>
        <v>13</v>
      </c>
      <c r="KC4" s="63"/>
      <c r="KD4" s="63"/>
      <c r="KE4" s="37" t="s">
        <v>208</v>
      </c>
      <c r="KF4" s="44">
        <f t="shared" ref="KF4" si="283">INT(3 + (COLUMN()-COLUMN($D4))/4 * $A$4)</f>
        <v>13</v>
      </c>
      <c r="KG4" s="63"/>
      <c r="KH4" s="63"/>
    </row>
    <row r="5" spans="1:294" x14ac:dyDescent="0.25">
      <c r="C5" s="37" t="s">
        <v>182</v>
      </c>
      <c r="D5" s="63">
        <f>$A$3</f>
        <v>40</v>
      </c>
      <c r="E5" s="63"/>
      <c r="F5" s="63"/>
      <c r="G5" s="37" t="s">
        <v>182</v>
      </c>
      <c r="H5" s="63">
        <f>$A$3</f>
        <v>40</v>
      </c>
      <c r="I5" s="63"/>
      <c r="J5" s="63"/>
      <c r="K5" s="37" t="s">
        <v>182</v>
      </c>
      <c r="L5" s="63">
        <f t="shared" ref="L5" si="284">$A$3</f>
        <v>40</v>
      </c>
      <c r="M5" s="63"/>
      <c r="N5" s="63"/>
      <c r="O5" s="37" t="s">
        <v>182</v>
      </c>
      <c r="P5" s="63">
        <f t="shared" ref="P5" si="285">$A$3</f>
        <v>40</v>
      </c>
      <c r="Q5" s="63"/>
      <c r="R5" s="63"/>
      <c r="S5" s="37" t="s">
        <v>182</v>
      </c>
      <c r="T5" s="63">
        <f t="shared" ref="T5" si="286">$A$3</f>
        <v>40</v>
      </c>
      <c r="U5" s="63"/>
      <c r="V5" s="63"/>
      <c r="W5" s="37" t="s">
        <v>182</v>
      </c>
      <c r="X5" s="63">
        <f t="shared" ref="X5" si="287">$A$3</f>
        <v>40</v>
      </c>
      <c r="Y5" s="63"/>
      <c r="Z5" s="63"/>
      <c r="AA5" s="37" t="s">
        <v>182</v>
      </c>
      <c r="AB5" s="63">
        <f t="shared" ref="AB5" si="288">$A$3</f>
        <v>40</v>
      </c>
      <c r="AC5" s="63"/>
      <c r="AD5" s="63"/>
      <c r="AE5" s="37" t="s">
        <v>182</v>
      </c>
      <c r="AF5" s="63">
        <f t="shared" ref="AF5" si="289">$A$3</f>
        <v>40</v>
      </c>
      <c r="AG5" s="63"/>
      <c r="AH5" s="63"/>
      <c r="AI5" s="37" t="s">
        <v>182</v>
      </c>
      <c r="AJ5" s="63">
        <f t="shared" ref="AJ5" si="290">$A$3</f>
        <v>40</v>
      </c>
      <c r="AK5" s="63"/>
      <c r="AL5" s="63"/>
      <c r="AM5" s="37" t="s">
        <v>182</v>
      </c>
      <c r="AN5" s="63">
        <f t="shared" ref="AN5" si="291">$A$3</f>
        <v>40</v>
      </c>
      <c r="AO5" s="63"/>
      <c r="AP5" s="63"/>
      <c r="AQ5" s="37" t="s">
        <v>182</v>
      </c>
      <c r="AR5" s="63">
        <f t="shared" ref="AR5" si="292">$A$3</f>
        <v>40</v>
      </c>
      <c r="AS5" s="63"/>
      <c r="AT5" s="63"/>
      <c r="AU5" s="37" t="s">
        <v>182</v>
      </c>
      <c r="AV5" s="63">
        <f t="shared" ref="AV5" si="293">$A$3</f>
        <v>40</v>
      </c>
      <c r="AW5" s="63"/>
      <c r="AX5" s="63"/>
      <c r="AY5" s="37" t="s">
        <v>182</v>
      </c>
      <c r="AZ5" s="63">
        <f t="shared" ref="AZ5" si="294">$A$3</f>
        <v>40</v>
      </c>
      <c r="BA5" s="63"/>
      <c r="BB5" s="63"/>
      <c r="BC5" s="37" t="s">
        <v>182</v>
      </c>
      <c r="BD5" s="63">
        <f t="shared" ref="BD5" si="295">$A$3</f>
        <v>40</v>
      </c>
      <c r="BE5" s="63"/>
      <c r="BF5" s="63"/>
      <c r="BG5" s="37" t="s">
        <v>182</v>
      </c>
      <c r="BH5" s="63">
        <f t="shared" ref="BH5" si="296">$A$3</f>
        <v>40</v>
      </c>
      <c r="BI5" s="63"/>
      <c r="BJ5" s="63"/>
      <c r="BK5" s="37" t="s">
        <v>182</v>
      </c>
      <c r="BL5" s="63">
        <f t="shared" ref="BL5" si="297">$A$3</f>
        <v>40</v>
      </c>
      <c r="BM5" s="63"/>
      <c r="BN5" s="63"/>
      <c r="BO5" s="37" t="s">
        <v>182</v>
      </c>
      <c r="BP5" s="63">
        <f t="shared" ref="BP5" si="298">$A$3</f>
        <v>40</v>
      </c>
      <c r="BQ5" s="63"/>
      <c r="BR5" s="63"/>
      <c r="BS5" s="37" t="s">
        <v>182</v>
      </c>
      <c r="BT5" s="63">
        <f t="shared" ref="BT5" si="299">$A$3</f>
        <v>40</v>
      </c>
      <c r="BU5" s="63"/>
      <c r="BV5" s="63"/>
      <c r="BW5" s="37" t="s">
        <v>182</v>
      </c>
      <c r="BX5" s="63">
        <f t="shared" ref="BX5" si="300">$A$3</f>
        <v>40</v>
      </c>
      <c r="BY5" s="63"/>
      <c r="BZ5" s="63"/>
      <c r="CA5" s="37" t="s">
        <v>182</v>
      </c>
      <c r="CB5" s="63">
        <f t="shared" ref="CB5" si="301">$A$3</f>
        <v>40</v>
      </c>
      <c r="CC5" s="63"/>
      <c r="CD5" s="63"/>
      <c r="CE5" s="37" t="s">
        <v>182</v>
      </c>
      <c r="CF5" s="63">
        <f t="shared" ref="CF5" si="302">$A$3</f>
        <v>40</v>
      </c>
      <c r="CG5" s="63"/>
      <c r="CH5" s="63"/>
      <c r="CI5" s="37" t="s">
        <v>182</v>
      </c>
      <c r="CJ5" s="63">
        <f t="shared" ref="CJ5" si="303">$A$3</f>
        <v>40</v>
      </c>
      <c r="CK5" s="63"/>
      <c r="CL5" s="63"/>
      <c r="CM5" s="37" t="s">
        <v>182</v>
      </c>
      <c r="CN5" s="63">
        <f t="shared" ref="CN5" si="304">$A$3</f>
        <v>40</v>
      </c>
      <c r="CO5" s="63"/>
      <c r="CP5" s="63"/>
      <c r="CQ5" s="37" t="s">
        <v>182</v>
      </c>
      <c r="CR5" s="63">
        <f t="shared" ref="CR5" si="305">$A$3</f>
        <v>40</v>
      </c>
      <c r="CS5" s="63"/>
      <c r="CT5" s="63"/>
      <c r="CU5" s="37" t="s">
        <v>182</v>
      </c>
      <c r="CV5" s="63">
        <f t="shared" ref="CV5" si="306">$A$3</f>
        <v>40</v>
      </c>
      <c r="CW5" s="63"/>
      <c r="CX5" s="63"/>
      <c r="CY5" s="37" t="s">
        <v>182</v>
      </c>
      <c r="CZ5" s="63">
        <f t="shared" ref="CZ5" si="307">$A$3</f>
        <v>40</v>
      </c>
      <c r="DA5" s="63"/>
      <c r="DB5" s="63"/>
      <c r="DC5" s="37" t="s">
        <v>182</v>
      </c>
      <c r="DD5" s="63">
        <f t="shared" ref="DD5" si="308">$A$3</f>
        <v>40</v>
      </c>
      <c r="DE5" s="63"/>
      <c r="DF5" s="63"/>
      <c r="DG5" s="37" t="s">
        <v>182</v>
      </c>
      <c r="DH5" s="63">
        <f t="shared" ref="DH5" si="309">$A$3</f>
        <v>40</v>
      </c>
      <c r="DI5" s="63"/>
      <c r="DJ5" s="63"/>
      <c r="DK5" s="37" t="s">
        <v>182</v>
      </c>
      <c r="DL5" s="63">
        <f t="shared" ref="DL5" si="310">$A$3</f>
        <v>40</v>
      </c>
      <c r="DM5" s="63"/>
      <c r="DN5" s="63"/>
      <c r="DO5" s="37" t="s">
        <v>182</v>
      </c>
      <c r="DP5" s="63">
        <f t="shared" ref="DP5" si="311">$A$3</f>
        <v>40</v>
      </c>
      <c r="DQ5" s="63"/>
      <c r="DR5" s="63"/>
      <c r="DS5" s="37" t="s">
        <v>182</v>
      </c>
      <c r="DT5" s="63">
        <f t="shared" ref="DT5" si="312">$A$3</f>
        <v>40</v>
      </c>
      <c r="DU5" s="63"/>
      <c r="DV5" s="63"/>
      <c r="DW5" s="37" t="s">
        <v>182</v>
      </c>
      <c r="DX5" s="63">
        <f t="shared" ref="DX5" si="313">$A$3</f>
        <v>40</v>
      </c>
      <c r="DY5" s="63"/>
      <c r="DZ5" s="63"/>
      <c r="EA5" s="37" t="s">
        <v>182</v>
      </c>
      <c r="EB5" s="63">
        <f t="shared" ref="EB5" si="314">$A$3</f>
        <v>40</v>
      </c>
      <c r="EC5" s="63"/>
      <c r="ED5" s="63"/>
      <c r="EE5" s="37" t="s">
        <v>182</v>
      </c>
      <c r="EF5" s="63">
        <f t="shared" ref="EF5" si="315">$A$3</f>
        <v>40</v>
      </c>
      <c r="EG5" s="63"/>
      <c r="EH5" s="63"/>
      <c r="EI5" s="37" t="s">
        <v>182</v>
      </c>
      <c r="EJ5" s="63">
        <f t="shared" ref="EJ5" si="316">$A$3</f>
        <v>40</v>
      </c>
      <c r="EK5" s="63"/>
      <c r="EL5" s="63"/>
      <c r="EM5" s="37" t="s">
        <v>182</v>
      </c>
      <c r="EN5" s="63">
        <f t="shared" ref="EN5" si="317">$A$3</f>
        <v>40</v>
      </c>
      <c r="EO5" s="63"/>
      <c r="EP5" s="63"/>
      <c r="EQ5" s="37" t="s">
        <v>182</v>
      </c>
      <c r="ER5" s="63">
        <f t="shared" ref="ER5" si="318">$A$3</f>
        <v>40</v>
      </c>
      <c r="ES5" s="63"/>
      <c r="ET5" s="63"/>
      <c r="EU5" s="37" t="s">
        <v>182</v>
      </c>
      <c r="EV5" s="63">
        <f t="shared" ref="EV5" si="319">$A$3</f>
        <v>40</v>
      </c>
      <c r="EW5" s="63"/>
      <c r="EX5" s="63"/>
      <c r="EY5" s="37" t="s">
        <v>182</v>
      </c>
      <c r="EZ5" s="63">
        <f t="shared" ref="EZ5" si="320">$A$3</f>
        <v>40</v>
      </c>
      <c r="FA5" s="63"/>
      <c r="FB5" s="63"/>
      <c r="FC5" s="37" t="s">
        <v>182</v>
      </c>
      <c r="FD5" s="63">
        <f t="shared" ref="FD5" si="321">$A$3</f>
        <v>40</v>
      </c>
      <c r="FE5" s="63"/>
      <c r="FF5" s="63"/>
      <c r="FG5" s="37" t="s">
        <v>182</v>
      </c>
      <c r="FH5" s="63">
        <f t="shared" ref="FH5" si="322">$A$3</f>
        <v>40</v>
      </c>
      <c r="FI5" s="63"/>
      <c r="FJ5" s="63"/>
      <c r="FK5" s="37" t="s">
        <v>182</v>
      </c>
      <c r="FL5" s="63">
        <f t="shared" ref="FL5" si="323">$A$3</f>
        <v>40</v>
      </c>
      <c r="FM5" s="63"/>
      <c r="FN5" s="63"/>
      <c r="FO5" s="37" t="s">
        <v>182</v>
      </c>
      <c r="FP5" s="63">
        <f t="shared" ref="FP5" si="324">$A$3</f>
        <v>40</v>
      </c>
      <c r="FQ5" s="63"/>
      <c r="FR5" s="63"/>
      <c r="FS5" s="37" t="s">
        <v>182</v>
      </c>
      <c r="FT5" s="63">
        <f t="shared" ref="FT5" si="325">$A$3</f>
        <v>40</v>
      </c>
      <c r="FU5" s="63"/>
      <c r="FV5" s="63"/>
      <c r="FW5" s="37" t="s">
        <v>182</v>
      </c>
      <c r="FX5" s="63">
        <f t="shared" ref="FX5" si="326">$A$3</f>
        <v>40</v>
      </c>
      <c r="FY5" s="63"/>
      <c r="FZ5" s="63"/>
      <c r="GA5" s="37" t="s">
        <v>182</v>
      </c>
      <c r="GB5" s="63">
        <f t="shared" ref="GB5" si="327">$A$3</f>
        <v>40</v>
      </c>
      <c r="GC5" s="63"/>
      <c r="GD5" s="63"/>
      <c r="GE5" s="37" t="s">
        <v>182</v>
      </c>
      <c r="GF5" s="63">
        <f t="shared" ref="GF5" si="328">$A$3</f>
        <v>40</v>
      </c>
      <c r="GG5" s="63"/>
      <c r="GH5" s="63"/>
      <c r="GI5" s="37" t="s">
        <v>182</v>
      </c>
      <c r="GJ5" s="63">
        <f t="shared" ref="GJ5" si="329">$A$3</f>
        <v>40</v>
      </c>
      <c r="GK5" s="63"/>
      <c r="GL5" s="63"/>
      <c r="GM5" s="37" t="s">
        <v>182</v>
      </c>
      <c r="GN5" s="63">
        <f t="shared" ref="GN5" si="330">$A$3</f>
        <v>40</v>
      </c>
      <c r="GO5" s="63"/>
      <c r="GP5" s="63"/>
      <c r="GQ5" s="37" t="s">
        <v>182</v>
      </c>
      <c r="GR5" s="63">
        <f t="shared" ref="GR5" si="331">$A$3</f>
        <v>40</v>
      </c>
      <c r="GS5" s="63"/>
      <c r="GT5" s="63"/>
      <c r="GU5" s="37" t="s">
        <v>182</v>
      </c>
      <c r="GV5" s="63">
        <f t="shared" ref="GV5" si="332">$A$3</f>
        <v>40</v>
      </c>
      <c r="GW5" s="63"/>
      <c r="GX5" s="63"/>
      <c r="GY5" s="37" t="s">
        <v>182</v>
      </c>
      <c r="GZ5" s="63">
        <f t="shared" ref="GZ5" si="333">$A$3</f>
        <v>40</v>
      </c>
      <c r="HA5" s="63"/>
      <c r="HB5" s="63"/>
      <c r="HC5" s="37" t="s">
        <v>182</v>
      </c>
      <c r="HD5" s="63">
        <f t="shared" ref="HD5" si="334">$A$3</f>
        <v>40</v>
      </c>
      <c r="HE5" s="63"/>
      <c r="HF5" s="63"/>
      <c r="HG5" s="37" t="s">
        <v>182</v>
      </c>
      <c r="HH5" s="63">
        <f t="shared" ref="HH5" si="335">$A$3</f>
        <v>40</v>
      </c>
      <c r="HI5" s="63"/>
      <c r="HJ5" s="63"/>
      <c r="HK5" s="37" t="s">
        <v>182</v>
      </c>
      <c r="HL5" s="63">
        <f t="shared" ref="HL5" si="336">$A$3</f>
        <v>40</v>
      </c>
      <c r="HM5" s="63"/>
      <c r="HN5" s="63"/>
      <c r="HO5" s="37" t="s">
        <v>182</v>
      </c>
      <c r="HP5" s="63">
        <f t="shared" ref="HP5" si="337">$A$3</f>
        <v>40</v>
      </c>
      <c r="HQ5" s="63"/>
      <c r="HR5" s="63"/>
      <c r="HS5" s="37" t="s">
        <v>182</v>
      </c>
      <c r="HT5" s="63">
        <f t="shared" ref="HT5" si="338">$A$3</f>
        <v>40</v>
      </c>
      <c r="HU5" s="63"/>
      <c r="HV5" s="63"/>
      <c r="HW5" s="37" t="s">
        <v>182</v>
      </c>
      <c r="HX5" s="63">
        <f t="shared" ref="HX5" si="339">$A$3</f>
        <v>40</v>
      </c>
      <c r="HY5" s="63"/>
      <c r="HZ5" s="63"/>
      <c r="IA5" s="37" t="s">
        <v>182</v>
      </c>
      <c r="IB5" s="63">
        <f t="shared" ref="IB5" si="340">$A$3</f>
        <v>40</v>
      </c>
      <c r="IC5" s="63"/>
      <c r="ID5" s="63"/>
      <c r="IE5" s="37" t="s">
        <v>182</v>
      </c>
      <c r="IF5" s="63">
        <f t="shared" ref="IF5" si="341">$A$3</f>
        <v>40</v>
      </c>
      <c r="IG5" s="63"/>
      <c r="IH5" s="63"/>
      <c r="II5" s="37" t="s">
        <v>182</v>
      </c>
      <c r="IJ5" s="63">
        <f t="shared" ref="IJ5" si="342">$A$3</f>
        <v>40</v>
      </c>
      <c r="IK5" s="63"/>
      <c r="IL5" s="63"/>
      <c r="IM5" s="37" t="s">
        <v>182</v>
      </c>
      <c r="IN5" s="63">
        <f t="shared" ref="IN5" si="343">$A$3</f>
        <v>40</v>
      </c>
      <c r="IO5" s="63"/>
      <c r="IP5" s="63"/>
      <c r="IQ5" s="37" t="s">
        <v>182</v>
      </c>
      <c r="IR5" s="63">
        <f t="shared" ref="IR5" si="344">$A$3</f>
        <v>40</v>
      </c>
      <c r="IS5" s="63"/>
      <c r="IT5" s="63"/>
      <c r="IU5" s="37" t="s">
        <v>182</v>
      </c>
      <c r="IV5" s="63">
        <f t="shared" ref="IV5" si="345">$A$3</f>
        <v>40</v>
      </c>
      <c r="IW5" s="63"/>
      <c r="IX5" s="63"/>
      <c r="IY5" s="37" t="s">
        <v>182</v>
      </c>
      <c r="IZ5" s="63">
        <f t="shared" ref="IZ5" si="346">$A$3</f>
        <v>40</v>
      </c>
      <c r="JA5" s="63"/>
      <c r="JB5" s="63"/>
      <c r="JC5" s="37" t="s">
        <v>182</v>
      </c>
      <c r="JD5" s="63">
        <f t="shared" ref="JD5" si="347">$A$3</f>
        <v>40</v>
      </c>
      <c r="JE5" s="63"/>
      <c r="JF5" s="63"/>
      <c r="JG5" s="37" t="s">
        <v>182</v>
      </c>
      <c r="JH5" s="63">
        <f t="shared" ref="JH5" si="348">$A$3</f>
        <v>40</v>
      </c>
      <c r="JI5" s="63"/>
      <c r="JJ5" s="63"/>
      <c r="JK5" s="37" t="s">
        <v>182</v>
      </c>
      <c r="JL5" s="63">
        <f t="shared" ref="JL5" si="349">$A$3</f>
        <v>40</v>
      </c>
      <c r="JM5" s="63"/>
      <c r="JN5" s="63"/>
      <c r="JO5" s="37" t="s">
        <v>182</v>
      </c>
      <c r="JP5" s="63">
        <f t="shared" ref="JP5" si="350">$A$3</f>
        <v>40</v>
      </c>
      <c r="JQ5" s="63"/>
      <c r="JR5" s="63"/>
      <c r="JS5" s="37" t="s">
        <v>182</v>
      </c>
      <c r="JT5" s="63">
        <f t="shared" ref="JT5" si="351">$A$3</f>
        <v>40</v>
      </c>
      <c r="JU5" s="63"/>
      <c r="JV5" s="63"/>
      <c r="JW5" s="37" t="s">
        <v>182</v>
      </c>
      <c r="JX5" s="63">
        <f t="shared" ref="JX5" si="352">$A$3</f>
        <v>40</v>
      </c>
      <c r="JY5" s="63"/>
      <c r="JZ5" s="63"/>
      <c r="KA5" s="37" t="s">
        <v>182</v>
      </c>
      <c r="KB5" s="63">
        <f t="shared" ref="KB5" si="353">$A$3</f>
        <v>40</v>
      </c>
      <c r="KC5" s="63"/>
      <c r="KD5" s="63"/>
      <c r="KE5" s="37" t="s">
        <v>182</v>
      </c>
      <c r="KF5" s="63">
        <f t="shared" ref="KF5" si="354">$A$3</f>
        <v>40</v>
      </c>
      <c r="KG5" s="63"/>
      <c r="KH5" s="63"/>
    </row>
    <row r="6" spans="1:294" x14ac:dyDescent="0.25">
      <c r="E6" s="63"/>
      <c r="F6" s="63"/>
      <c r="H6" s="44"/>
      <c r="I6" s="63"/>
      <c r="J6" s="63"/>
      <c r="K6" s="37"/>
      <c r="L6" s="44"/>
      <c r="M6" s="63"/>
      <c r="N6" s="63"/>
      <c r="O6" s="37"/>
      <c r="P6" s="44"/>
      <c r="Q6" s="63"/>
      <c r="R6" s="63"/>
      <c r="S6" s="37"/>
      <c r="T6" s="44"/>
      <c r="U6" s="63"/>
      <c r="V6" s="63"/>
      <c r="W6" s="37"/>
      <c r="X6" s="44"/>
      <c r="Y6" s="63"/>
      <c r="Z6" s="63"/>
      <c r="AA6" s="37"/>
      <c r="AB6" s="44"/>
      <c r="AC6" s="63"/>
      <c r="AD6" s="63"/>
      <c r="AE6" s="37"/>
      <c r="AF6" s="44"/>
      <c r="AG6" s="63"/>
      <c r="AH6" s="63"/>
      <c r="AI6" s="37"/>
      <c r="AJ6" s="44"/>
      <c r="AK6" s="63"/>
      <c r="AL6" s="63"/>
      <c r="AM6" s="37"/>
      <c r="AN6" s="44"/>
      <c r="AO6" s="63"/>
      <c r="AP6" s="63"/>
      <c r="AQ6" s="37"/>
      <c r="AR6" s="44"/>
      <c r="AS6" s="63"/>
      <c r="AT6" s="63"/>
      <c r="AU6" s="37"/>
      <c r="AV6" s="44"/>
      <c r="AW6" s="63"/>
      <c r="AX6" s="63"/>
      <c r="AY6" s="37"/>
      <c r="AZ6" s="44"/>
      <c r="BA6" s="63"/>
      <c r="BB6" s="63"/>
      <c r="BC6" s="37"/>
      <c r="BD6" s="44"/>
      <c r="BE6" s="63"/>
      <c r="BF6" s="63"/>
      <c r="BG6" s="37"/>
      <c r="BH6" s="44"/>
      <c r="BI6" s="63"/>
      <c r="BJ6" s="63"/>
      <c r="BK6" s="37"/>
      <c r="BL6" s="44"/>
      <c r="BM6" s="63"/>
      <c r="BN6" s="63"/>
      <c r="BO6" s="37"/>
      <c r="BP6" s="44"/>
      <c r="BQ6" s="63"/>
      <c r="BR6" s="63"/>
      <c r="BS6" s="37"/>
      <c r="BT6" s="44"/>
      <c r="BU6" s="63"/>
      <c r="BV6" s="63"/>
      <c r="BW6" s="37"/>
      <c r="BX6" s="44"/>
      <c r="BY6" s="63"/>
      <c r="BZ6" s="63"/>
      <c r="CA6" s="37"/>
      <c r="CB6" s="44"/>
      <c r="CC6" s="63"/>
      <c r="CD6" s="63"/>
      <c r="CE6" s="37"/>
      <c r="CF6" s="44"/>
      <c r="CG6" s="63"/>
      <c r="CH6" s="63"/>
      <c r="CI6" s="37"/>
      <c r="CJ6" s="44"/>
      <c r="CK6" s="63"/>
      <c r="CL6" s="63"/>
      <c r="CM6" s="37"/>
      <c r="CN6" s="44"/>
      <c r="CO6" s="63"/>
      <c r="CP6" s="63"/>
      <c r="CQ6" s="37"/>
      <c r="CR6" s="44"/>
      <c r="CS6" s="63"/>
      <c r="CT6" s="63"/>
      <c r="CU6" s="37"/>
      <c r="CV6" s="44"/>
      <c r="CW6" s="63"/>
      <c r="CX6" s="63"/>
      <c r="CY6" s="37"/>
      <c r="CZ6" s="44"/>
      <c r="DA6" s="63"/>
      <c r="DB6" s="63"/>
      <c r="DC6" s="37"/>
      <c r="DD6" s="44"/>
      <c r="DE6" s="63"/>
      <c r="DF6" s="63"/>
      <c r="DG6" s="37"/>
      <c r="DH6" s="44"/>
      <c r="DI6" s="63"/>
      <c r="DJ6" s="63"/>
      <c r="DK6" s="37"/>
      <c r="DL6" s="44"/>
      <c r="DM6" s="63"/>
      <c r="DN6" s="63"/>
      <c r="DO6" s="37"/>
      <c r="DP6" s="44"/>
      <c r="DQ6" s="63"/>
      <c r="DR6" s="63"/>
      <c r="DS6" s="37"/>
      <c r="DT6" s="44"/>
      <c r="DU6" s="63"/>
      <c r="DV6" s="63"/>
      <c r="DW6" s="37"/>
      <c r="DX6" s="44"/>
      <c r="DY6" s="63"/>
      <c r="DZ6" s="63"/>
      <c r="EA6" s="37"/>
      <c r="EB6" s="44"/>
      <c r="EC6" s="63"/>
      <c r="ED6" s="63"/>
      <c r="EE6" s="37"/>
      <c r="EF6" s="44"/>
      <c r="EG6" s="63"/>
      <c r="EH6" s="63"/>
      <c r="EI6" s="37"/>
      <c r="EJ6" s="44"/>
      <c r="EK6" s="63"/>
      <c r="EL6" s="63"/>
      <c r="EM6" s="37"/>
      <c r="EN6" s="44"/>
      <c r="EO6" s="63"/>
      <c r="EP6" s="63"/>
      <c r="EQ6" s="37"/>
      <c r="ER6" s="44"/>
      <c r="ES6" s="63"/>
      <c r="ET6" s="63"/>
      <c r="EU6" s="37"/>
      <c r="EV6" s="44"/>
      <c r="EW6" s="63"/>
      <c r="EX6" s="63"/>
      <c r="EY6" s="37"/>
      <c r="EZ6" s="44"/>
      <c r="FA6" s="63"/>
      <c r="FB6" s="63"/>
      <c r="FC6" s="37"/>
      <c r="FD6" s="44"/>
      <c r="FE6" s="63"/>
      <c r="FF6" s="63"/>
      <c r="FG6" s="37"/>
      <c r="FH6" s="44"/>
      <c r="FI6" s="63"/>
      <c r="FJ6" s="63"/>
      <c r="FK6" s="37"/>
      <c r="FL6" s="44"/>
      <c r="FM6" s="63"/>
      <c r="FN6" s="63"/>
      <c r="FO6" s="37"/>
      <c r="FP6" s="44"/>
      <c r="FQ6" s="63"/>
      <c r="FR6" s="63"/>
      <c r="FS6" s="37"/>
      <c r="FT6" s="44"/>
      <c r="FU6" s="63"/>
      <c r="FV6" s="63"/>
      <c r="FW6" s="37"/>
      <c r="FX6" s="44"/>
      <c r="FY6" s="63"/>
      <c r="FZ6" s="63"/>
      <c r="GA6" s="37"/>
      <c r="GB6" s="44"/>
      <c r="GC6" s="63"/>
      <c r="GD6" s="63"/>
      <c r="GE6" s="37"/>
      <c r="GF6" s="44"/>
      <c r="GG6" s="63"/>
      <c r="GH6" s="63"/>
      <c r="GI6" s="37"/>
      <c r="GJ6" s="44"/>
      <c r="GK6" s="63"/>
      <c r="GL6" s="63"/>
      <c r="GM6" s="37"/>
      <c r="GN6" s="44"/>
      <c r="GO6" s="63"/>
      <c r="GP6" s="63"/>
      <c r="GQ6" s="37"/>
      <c r="GR6" s="44"/>
      <c r="GS6" s="63"/>
      <c r="GT6" s="63"/>
      <c r="GU6" s="37"/>
      <c r="GV6" s="44"/>
      <c r="GW6" s="63"/>
      <c r="GX6" s="63"/>
      <c r="GY6" s="37"/>
      <c r="GZ6" s="44"/>
      <c r="HA6" s="63"/>
      <c r="HB6" s="63"/>
      <c r="HC6" s="37"/>
      <c r="HD6" s="44"/>
      <c r="HE6" s="63"/>
      <c r="HF6" s="63"/>
      <c r="HG6" s="37"/>
      <c r="HH6" s="44"/>
      <c r="HI6" s="63"/>
      <c r="HJ6" s="63"/>
      <c r="HK6" s="37"/>
      <c r="HL6" s="44"/>
      <c r="HM6" s="63"/>
      <c r="HN6" s="63"/>
      <c r="HO6" s="37"/>
      <c r="HP6" s="44"/>
      <c r="HQ6" s="63"/>
      <c r="HR6" s="63"/>
      <c r="HS6" s="37"/>
      <c r="HT6" s="44"/>
      <c r="HU6" s="63"/>
      <c r="HV6" s="63"/>
      <c r="HW6" s="37"/>
      <c r="HX6" s="44"/>
      <c r="HY6" s="63"/>
      <c r="HZ6" s="63"/>
      <c r="IA6" s="37"/>
      <c r="IB6" s="44"/>
      <c r="IC6" s="63"/>
      <c r="ID6" s="63"/>
      <c r="IE6" s="37"/>
      <c r="IF6" s="44"/>
      <c r="IG6" s="63"/>
      <c r="IH6" s="63"/>
      <c r="II6" s="37"/>
      <c r="IJ6" s="44"/>
      <c r="IK6" s="63"/>
      <c r="IL6" s="63"/>
      <c r="IM6" s="37"/>
      <c r="IN6" s="44"/>
      <c r="IO6" s="63"/>
      <c r="IP6" s="63"/>
      <c r="IQ6" s="37"/>
      <c r="IR6" s="44"/>
      <c r="IS6" s="63"/>
      <c r="IT6" s="63"/>
      <c r="IU6" s="37"/>
      <c r="IV6" s="44"/>
      <c r="IW6" s="63"/>
      <c r="IX6" s="63"/>
      <c r="IY6" s="37"/>
      <c r="IZ6" s="44"/>
      <c r="JA6" s="63"/>
      <c r="JB6" s="63"/>
      <c r="JC6" s="37"/>
      <c r="JD6" s="44"/>
      <c r="JE6" s="63"/>
      <c r="JF6" s="63"/>
      <c r="JG6" s="37"/>
      <c r="JH6" s="44"/>
      <c r="JI6" s="63"/>
      <c r="JJ6" s="63"/>
      <c r="JK6" s="37"/>
      <c r="JL6" s="44"/>
      <c r="JM6" s="63"/>
      <c r="JN6" s="63"/>
      <c r="JO6" s="37"/>
      <c r="JP6" s="44"/>
      <c r="JQ6" s="63"/>
      <c r="JR6" s="63"/>
      <c r="JS6" s="37"/>
      <c r="JT6" s="44"/>
      <c r="JU6" s="63"/>
      <c r="JV6" s="63"/>
      <c r="JW6" s="37"/>
      <c r="JX6" s="44"/>
      <c r="JY6" s="63"/>
      <c r="JZ6" s="63"/>
      <c r="KA6" s="37"/>
      <c r="KB6" s="44"/>
      <c r="KC6" s="63"/>
      <c r="KD6" s="63"/>
      <c r="KE6" s="37"/>
      <c r="KF6" s="44"/>
      <c r="KG6" s="63"/>
      <c r="KH6" s="63"/>
    </row>
    <row r="7" spans="1:294" x14ac:dyDescent="0.25">
      <c r="C7" s="1" t="s">
        <v>204</v>
      </c>
      <c r="D7" s="19">
        <f>SUM(D$3)</f>
        <v>28800</v>
      </c>
      <c r="E7" s="63"/>
      <c r="F7" s="63"/>
      <c r="G7" s="1" t="s">
        <v>204</v>
      </c>
      <c r="H7" s="19">
        <f>SUM(H$3)</f>
        <v>28800</v>
      </c>
      <c r="I7" s="63"/>
      <c r="J7" s="63"/>
      <c r="K7" s="1" t="s">
        <v>204</v>
      </c>
      <c r="L7" s="19">
        <f t="shared" ref="L7" si="355">SUM(L$3)</f>
        <v>28800</v>
      </c>
      <c r="M7" s="63"/>
      <c r="N7" s="63"/>
      <c r="O7" s="1" t="s">
        <v>204</v>
      </c>
      <c r="P7" s="19">
        <f t="shared" ref="P7" si="356">SUM(P$3)</f>
        <v>28800</v>
      </c>
      <c r="Q7" s="63"/>
      <c r="R7" s="63"/>
      <c r="S7" s="1" t="s">
        <v>204</v>
      </c>
      <c r="T7" s="19">
        <f t="shared" ref="T7" si="357">SUM(T$3)</f>
        <v>28800</v>
      </c>
      <c r="U7" s="63"/>
      <c r="V7" s="63"/>
      <c r="W7" s="1" t="s">
        <v>204</v>
      </c>
      <c r="X7" s="19">
        <f t="shared" ref="X7" si="358">SUM(X$3)</f>
        <v>28800</v>
      </c>
      <c r="Y7" s="63"/>
      <c r="Z7" s="63"/>
      <c r="AA7" s="1" t="s">
        <v>204</v>
      </c>
      <c r="AB7" s="19">
        <f t="shared" ref="AB7" si="359">SUM(AB$3)</f>
        <v>28800</v>
      </c>
      <c r="AC7" s="63"/>
      <c r="AD7" s="63"/>
      <c r="AE7" s="1" t="s">
        <v>204</v>
      </c>
      <c r="AF7" s="19">
        <f t="shared" ref="AF7" si="360">SUM(AF$3)</f>
        <v>38400</v>
      </c>
      <c r="AG7" s="63"/>
      <c r="AH7" s="63"/>
      <c r="AI7" s="1" t="s">
        <v>204</v>
      </c>
      <c r="AJ7" s="19">
        <f t="shared" ref="AJ7" si="361">SUM(AJ$3)</f>
        <v>38400</v>
      </c>
      <c r="AK7" s="63"/>
      <c r="AL7" s="63"/>
      <c r="AM7" s="1" t="s">
        <v>204</v>
      </c>
      <c r="AN7" s="19">
        <f t="shared" ref="AN7" si="362">SUM(AN$3)</f>
        <v>38400</v>
      </c>
      <c r="AO7" s="63"/>
      <c r="AP7" s="63"/>
      <c r="AQ7" s="1" t="s">
        <v>204</v>
      </c>
      <c r="AR7" s="19">
        <f t="shared" ref="AR7" si="363">SUM(AR$3)</f>
        <v>38400</v>
      </c>
      <c r="AS7" s="63"/>
      <c r="AT7" s="63"/>
      <c r="AU7" s="1" t="s">
        <v>204</v>
      </c>
      <c r="AV7" s="19">
        <f t="shared" ref="AV7" si="364">SUM(AV$3)</f>
        <v>38400</v>
      </c>
      <c r="AW7" s="63"/>
      <c r="AX7" s="63"/>
      <c r="AY7" s="1" t="s">
        <v>204</v>
      </c>
      <c r="AZ7" s="19">
        <f t="shared" ref="AZ7" si="365">SUM(AZ$3)</f>
        <v>38400</v>
      </c>
      <c r="BA7" s="63"/>
      <c r="BB7" s="63"/>
      <c r="BC7" s="1" t="s">
        <v>204</v>
      </c>
      <c r="BD7" s="19">
        <f t="shared" ref="BD7" si="366">SUM(BD$3)</f>
        <v>38400</v>
      </c>
      <c r="BE7" s="63"/>
      <c r="BF7" s="63"/>
      <c r="BG7" s="1" t="s">
        <v>204</v>
      </c>
      <c r="BH7" s="19">
        <f t="shared" ref="BH7" si="367">SUM(BH$3)</f>
        <v>48000</v>
      </c>
      <c r="BI7" s="63"/>
      <c r="BJ7" s="63"/>
      <c r="BK7" s="1" t="s">
        <v>204</v>
      </c>
      <c r="BL7" s="19">
        <f t="shared" ref="BL7" si="368">SUM(BL$3)</f>
        <v>48000</v>
      </c>
      <c r="BM7" s="63"/>
      <c r="BN7" s="63"/>
      <c r="BO7" s="1" t="s">
        <v>204</v>
      </c>
      <c r="BP7" s="19">
        <f t="shared" ref="BP7" si="369">SUM(BP$3)</f>
        <v>48000</v>
      </c>
      <c r="BQ7" s="63"/>
      <c r="BR7" s="63"/>
      <c r="BS7" s="1" t="s">
        <v>204</v>
      </c>
      <c r="BT7" s="19">
        <f t="shared" ref="BT7" si="370">SUM(BT$3)</f>
        <v>48000</v>
      </c>
      <c r="BU7" s="63"/>
      <c r="BV7" s="63"/>
      <c r="BW7" s="1" t="s">
        <v>204</v>
      </c>
      <c r="BX7" s="19">
        <f t="shared" ref="BX7" si="371">SUM(BX$3)</f>
        <v>48000</v>
      </c>
      <c r="BY7" s="63"/>
      <c r="BZ7" s="63"/>
      <c r="CA7" s="1" t="s">
        <v>204</v>
      </c>
      <c r="CB7" s="19">
        <f t="shared" ref="CB7" si="372">SUM(CB$3)</f>
        <v>48000</v>
      </c>
      <c r="CC7" s="63"/>
      <c r="CD7" s="63"/>
      <c r="CE7" s="1" t="s">
        <v>204</v>
      </c>
      <c r="CF7" s="19">
        <f t="shared" ref="CF7" si="373">SUM(CF$3)</f>
        <v>57600</v>
      </c>
      <c r="CG7" s="63"/>
      <c r="CH7" s="63"/>
      <c r="CI7" s="1" t="s">
        <v>204</v>
      </c>
      <c r="CJ7" s="19">
        <f t="shared" ref="CJ7" si="374">SUM(CJ$3)</f>
        <v>57600</v>
      </c>
      <c r="CK7" s="63"/>
      <c r="CL7" s="63"/>
      <c r="CM7" s="1" t="s">
        <v>204</v>
      </c>
      <c r="CN7" s="19">
        <f t="shared" ref="CN7" si="375">SUM(CN$3)</f>
        <v>57600</v>
      </c>
      <c r="CO7" s="63"/>
      <c r="CP7" s="63"/>
      <c r="CQ7" s="1" t="s">
        <v>204</v>
      </c>
      <c r="CR7" s="19">
        <f t="shared" ref="CR7" si="376">SUM(CR$3)</f>
        <v>57600</v>
      </c>
      <c r="CS7" s="63"/>
      <c r="CT7" s="63"/>
      <c r="CU7" s="1" t="s">
        <v>204</v>
      </c>
      <c r="CV7" s="19">
        <f t="shared" ref="CV7" si="377">SUM(CV$3)</f>
        <v>57600</v>
      </c>
      <c r="CW7" s="63"/>
      <c r="CX7" s="63"/>
      <c r="CY7" s="1" t="s">
        <v>204</v>
      </c>
      <c r="CZ7" s="19">
        <f t="shared" ref="CZ7" si="378">SUM(CZ$3)</f>
        <v>57600</v>
      </c>
      <c r="DA7" s="63"/>
      <c r="DB7" s="63"/>
      <c r="DC7" s="1" t="s">
        <v>204</v>
      </c>
      <c r="DD7" s="19">
        <f t="shared" ref="DD7" si="379">SUM(DD$3)</f>
        <v>57600</v>
      </c>
      <c r="DE7" s="63"/>
      <c r="DF7" s="63"/>
      <c r="DG7" s="1" t="s">
        <v>204</v>
      </c>
      <c r="DH7" s="19">
        <f t="shared" ref="DH7" si="380">SUM(DH$3)</f>
        <v>67200</v>
      </c>
      <c r="DI7" s="63"/>
      <c r="DJ7" s="63"/>
      <c r="DK7" s="1" t="s">
        <v>204</v>
      </c>
      <c r="DL7" s="19">
        <f t="shared" ref="DL7" si="381">SUM(DL$3)</f>
        <v>67200</v>
      </c>
      <c r="DM7" s="63"/>
      <c r="DN7" s="63"/>
      <c r="DO7" s="1" t="s">
        <v>204</v>
      </c>
      <c r="DP7" s="19">
        <f t="shared" ref="DP7" si="382">SUM(DP$3)</f>
        <v>67200</v>
      </c>
      <c r="DQ7" s="63"/>
      <c r="DR7" s="63"/>
      <c r="DS7" s="1" t="s">
        <v>204</v>
      </c>
      <c r="DT7" s="19">
        <f t="shared" ref="DT7" si="383">SUM(DT$3)</f>
        <v>67200</v>
      </c>
      <c r="DU7" s="63"/>
      <c r="DV7" s="63"/>
      <c r="DW7" s="1" t="s">
        <v>204</v>
      </c>
      <c r="DX7" s="19">
        <f t="shared" ref="DX7" si="384">SUM(DX$3)</f>
        <v>67200</v>
      </c>
      <c r="DY7" s="63"/>
      <c r="DZ7" s="63"/>
      <c r="EA7" s="1" t="s">
        <v>204</v>
      </c>
      <c r="EB7" s="19">
        <f t="shared" ref="EB7" si="385">SUM(EB$3)</f>
        <v>67200</v>
      </c>
      <c r="EC7" s="63"/>
      <c r="ED7" s="63"/>
      <c r="EE7" s="1" t="s">
        <v>204</v>
      </c>
      <c r="EF7" s="19">
        <f t="shared" ref="EF7" si="386">SUM(EF$3)</f>
        <v>67200</v>
      </c>
      <c r="EG7" s="63"/>
      <c r="EH7" s="63"/>
      <c r="EI7" s="1" t="s">
        <v>204</v>
      </c>
      <c r="EJ7" s="19">
        <f t="shared" ref="EJ7" si="387">SUM(EJ$3)</f>
        <v>76800</v>
      </c>
      <c r="EK7" s="63"/>
      <c r="EL7" s="63"/>
      <c r="EM7" s="1" t="s">
        <v>204</v>
      </c>
      <c r="EN7" s="19">
        <f t="shared" ref="EN7" si="388">SUM(EN$3)</f>
        <v>76800</v>
      </c>
      <c r="EO7" s="63"/>
      <c r="EP7" s="63"/>
      <c r="EQ7" s="1" t="s">
        <v>204</v>
      </c>
      <c r="ER7" s="19">
        <f t="shared" ref="ER7" si="389">SUM(ER$3)</f>
        <v>76800</v>
      </c>
      <c r="ES7" s="63"/>
      <c r="ET7" s="63"/>
      <c r="EU7" s="1" t="s">
        <v>204</v>
      </c>
      <c r="EV7" s="19">
        <f t="shared" ref="EV7" si="390">SUM(EV$3)</f>
        <v>76800</v>
      </c>
      <c r="EW7" s="63"/>
      <c r="EX7" s="63"/>
      <c r="EY7" s="1" t="s">
        <v>204</v>
      </c>
      <c r="EZ7" s="19">
        <f t="shared" ref="EZ7" si="391">SUM(EZ$3)</f>
        <v>76800</v>
      </c>
      <c r="FA7" s="63"/>
      <c r="FB7" s="63"/>
      <c r="FC7" s="1" t="s">
        <v>204</v>
      </c>
      <c r="FD7" s="19">
        <f t="shared" ref="FD7" si="392">SUM(FD$3)</f>
        <v>76800</v>
      </c>
      <c r="FE7" s="63"/>
      <c r="FF7" s="63"/>
      <c r="FG7" s="1" t="s">
        <v>204</v>
      </c>
      <c r="FH7" s="19">
        <f t="shared" ref="FH7" si="393">SUM(FH$3)</f>
        <v>86400</v>
      </c>
      <c r="FI7" s="63"/>
      <c r="FJ7" s="63"/>
      <c r="FK7" s="1" t="s">
        <v>204</v>
      </c>
      <c r="FL7" s="19">
        <f t="shared" ref="FL7" si="394">SUM(FL$3)</f>
        <v>86400</v>
      </c>
      <c r="FM7" s="63"/>
      <c r="FN7" s="63"/>
      <c r="FO7" s="1" t="s">
        <v>204</v>
      </c>
      <c r="FP7" s="19">
        <f t="shared" ref="FP7" si="395">SUM(FP$3)</f>
        <v>86400</v>
      </c>
      <c r="FQ7" s="63"/>
      <c r="FR7" s="63"/>
      <c r="FS7" s="1" t="s">
        <v>204</v>
      </c>
      <c r="FT7" s="19">
        <f t="shared" ref="FT7" si="396">SUM(FT$3)</f>
        <v>86400</v>
      </c>
      <c r="FU7" s="63"/>
      <c r="FV7" s="63"/>
      <c r="FW7" s="1" t="s">
        <v>204</v>
      </c>
      <c r="FX7" s="19">
        <f t="shared" ref="FX7" si="397">SUM(FX$3)</f>
        <v>86400</v>
      </c>
      <c r="FY7" s="63"/>
      <c r="FZ7" s="63"/>
      <c r="GA7" s="1" t="s">
        <v>204</v>
      </c>
      <c r="GB7" s="19">
        <f t="shared" ref="GB7" si="398">SUM(GB$3)</f>
        <v>86400</v>
      </c>
      <c r="GC7" s="63"/>
      <c r="GD7" s="63"/>
      <c r="GE7" s="1" t="s">
        <v>204</v>
      </c>
      <c r="GF7" s="19">
        <f t="shared" ref="GF7" si="399">SUM(GF$3)</f>
        <v>86400</v>
      </c>
      <c r="GG7" s="63"/>
      <c r="GH7" s="63"/>
      <c r="GI7" s="1" t="s">
        <v>204</v>
      </c>
      <c r="GJ7" s="19">
        <f t="shared" ref="GJ7" si="400">SUM(GJ$3)</f>
        <v>96000</v>
      </c>
      <c r="GK7" s="63"/>
      <c r="GL7" s="63"/>
      <c r="GM7" s="1" t="s">
        <v>204</v>
      </c>
      <c r="GN7" s="19">
        <f t="shared" ref="GN7" si="401">SUM(GN$3)</f>
        <v>96000</v>
      </c>
      <c r="GO7" s="63"/>
      <c r="GP7" s="63"/>
      <c r="GQ7" s="1" t="s">
        <v>204</v>
      </c>
      <c r="GR7" s="19">
        <f t="shared" ref="GR7" si="402">SUM(GR$3)</f>
        <v>96000</v>
      </c>
      <c r="GS7" s="63"/>
      <c r="GT7" s="63"/>
      <c r="GU7" s="1" t="s">
        <v>204</v>
      </c>
      <c r="GV7" s="19">
        <f t="shared" ref="GV7" si="403">SUM(GV$3)</f>
        <v>96000</v>
      </c>
      <c r="GW7" s="63"/>
      <c r="GX7" s="63"/>
      <c r="GY7" s="1" t="s">
        <v>204</v>
      </c>
      <c r="GZ7" s="19">
        <f t="shared" ref="GZ7" si="404">SUM(GZ$3)</f>
        <v>96000</v>
      </c>
      <c r="HA7" s="63"/>
      <c r="HB7" s="63"/>
      <c r="HC7" s="1" t="s">
        <v>204</v>
      </c>
      <c r="HD7" s="19">
        <f t="shared" ref="HD7" si="405">SUM(HD$3)</f>
        <v>96000</v>
      </c>
      <c r="HE7" s="63"/>
      <c r="HF7" s="63"/>
      <c r="HG7" s="1" t="s">
        <v>204</v>
      </c>
      <c r="HH7" s="19">
        <f t="shared" ref="HH7" si="406">SUM(HH$3)</f>
        <v>96000</v>
      </c>
      <c r="HI7" s="63"/>
      <c r="HJ7" s="63"/>
      <c r="HK7" s="1" t="s">
        <v>204</v>
      </c>
      <c r="HL7" s="19">
        <f t="shared" ref="HL7" si="407">SUM(HL$3)</f>
        <v>105600</v>
      </c>
      <c r="HM7" s="63"/>
      <c r="HN7" s="63"/>
      <c r="HO7" s="1" t="s">
        <v>204</v>
      </c>
      <c r="HP7" s="19">
        <f t="shared" ref="HP7" si="408">SUM(HP$3)</f>
        <v>105600</v>
      </c>
      <c r="HQ7" s="63"/>
      <c r="HR7" s="63"/>
      <c r="HS7" s="1" t="s">
        <v>204</v>
      </c>
      <c r="HT7" s="19">
        <f t="shared" ref="HT7" si="409">SUM(HT$3)</f>
        <v>105600</v>
      </c>
      <c r="HU7" s="63"/>
      <c r="HV7" s="63"/>
      <c r="HW7" s="1" t="s">
        <v>204</v>
      </c>
      <c r="HX7" s="19">
        <f t="shared" ref="HX7" si="410">SUM(HX$3)</f>
        <v>105600</v>
      </c>
      <c r="HY7" s="63"/>
      <c r="HZ7" s="63"/>
      <c r="IA7" s="1" t="s">
        <v>204</v>
      </c>
      <c r="IB7" s="19">
        <f t="shared" ref="IB7" si="411">SUM(IB$3)</f>
        <v>105600</v>
      </c>
      <c r="IC7" s="63"/>
      <c r="ID7" s="63"/>
      <c r="IE7" s="1" t="s">
        <v>204</v>
      </c>
      <c r="IF7" s="19">
        <f t="shared" ref="IF7" si="412">SUM(IF$3)</f>
        <v>105600</v>
      </c>
      <c r="IG7" s="63"/>
      <c r="IH7" s="63"/>
      <c r="II7" s="1" t="s">
        <v>204</v>
      </c>
      <c r="IJ7" s="19">
        <f t="shared" ref="IJ7" si="413">SUM(IJ$3)</f>
        <v>115200</v>
      </c>
      <c r="IK7" s="63"/>
      <c r="IL7" s="63"/>
      <c r="IM7" s="1" t="s">
        <v>204</v>
      </c>
      <c r="IN7" s="19">
        <f t="shared" ref="IN7" si="414">SUM(IN$3)</f>
        <v>115200</v>
      </c>
      <c r="IO7" s="63"/>
      <c r="IP7" s="63"/>
      <c r="IQ7" s="1" t="s">
        <v>204</v>
      </c>
      <c r="IR7" s="19">
        <f t="shared" ref="IR7" si="415">SUM(IR$3)</f>
        <v>115200</v>
      </c>
      <c r="IS7" s="63"/>
      <c r="IT7" s="63"/>
      <c r="IU7" s="1" t="s">
        <v>204</v>
      </c>
      <c r="IV7" s="19">
        <f t="shared" ref="IV7" si="416">SUM(IV$3)</f>
        <v>115200</v>
      </c>
      <c r="IW7" s="63"/>
      <c r="IX7" s="63"/>
      <c r="IY7" s="1" t="s">
        <v>204</v>
      </c>
      <c r="IZ7" s="19">
        <f t="shared" ref="IZ7" si="417">SUM(IZ$3)</f>
        <v>115200</v>
      </c>
      <c r="JA7" s="63"/>
      <c r="JB7" s="63"/>
      <c r="JC7" s="1" t="s">
        <v>204</v>
      </c>
      <c r="JD7" s="19">
        <f t="shared" ref="JD7" si="418">SUM(JD$3)</f>
        <v>115200</v>
      </c>
      <c r="JE7" s="63"/>
      <c r="JF7" s="63"/>
      <c r="JG7" s="1" t="s">
        <v>204</v>
      </c>
      <c r="JH7" s="19">
        <f t="shared" ref="JH7" si="419">SUM(JH$3)</f>
        <v>115200</v>
      </c>
      <c r="JI7" s="63"/>
      <c r="JJ7" s="63"/>
      <c r="JK7" s="1" t="s">
        <v>204</v>
      </c>
      <c r="JL7" s="19">
        <f t="shared" ref="JL7" si="420">SUM(JL$3)</f>
        <v>124800</v>
      </c>
      <c r="JM7" s="63"/>
      <c r="JN7" s="63"/>
      <c r="JO7" s="1" t="s">
        <v>204</v>
      </c>
      <c r="JP7" s="19">
        <f t="shared" ref="JP7" si="421">SUM(JP$3)</f>
        <v>124800</v>
      </c>
      <c r="JQ7" s="63"/>
      <c r="JR7" s="63"/>
      <c r="JS7" s="1" t="s">
        <v>204</v>
      </c>
      <c r="JT7" s="19">
        <f t="shared" ref="JT7" si="422">SUM(JT$3)</f>
        <v>124800</v>
      </c>
      <c r="JU7" s="63"/>
      <c r="JV7" s="63"/>
      <c r="JW7" s="1" t="s">
        <v>204</v>
      </c>
      <c r="JX7" s="19">
        <f t="shared" ref="JX7" si="423">SUM(JX$3)</f>
        <v>124800</v>
      </c>
      <c r="JY7" s="63"/>
      <c r="JZ7" s="63"/>
      <c r="KA7" s="1" t="s">
        <v>204</v>
      </c>
      <c r="KB7" s="19">
        <f t="shared" ref="KB7" si="424">SUM(KB$3)</f>
        <v>124800</v>
      </c>
      <c r="KC7" s="63"/>
      <c r="KD7" s="63"/>
      <c r="KE7" s="1" t="s">
        <v>204</v>
      </c>
      <c r="KF7" s="19">
        <f t="shared" ref="KF7" si="425">SUM(KF$3)</f>
        <v>124800</v>
      </c>
      <c r="KG7" s="63"/>
      <c r="KH7" s="63"/>
    </row>
    <row r="8" spans="1:294" x14ac:dyDescent="0.25">
      <c r="E8" s="63"/>
      <c r="F8" s="63"/>
      <c r="H8" s="44"/>
      <c r="I8" s="63"/>
      <c r="J8" s="63"/>
      <c r="K8" s="37"/>
      <c r="L8" s="44"/>
      <c r="M8" s="63"/>
      <c r="N8" s="63"/>
      <c r="O8" s="37"/>
      <c r="P8" s="44"/>
      <c r="Q8" s="63"/>
      <c r="R8" s="63"/>
      <c r="S8" s="37"/>
      <c r="T8" s="44"/>
      <c r="U8" s="63"/>
      <c r="V8" s="63"/>
      <c r="W8" s="37"/>
      <c r="X8" s="44"/>
      <c r="Y8" s="63"/>
      <c r="Z8" s="63"/>
      <c r="AA8" s="37"/>
      <c r="AB8" s="44"/>
      <c r="AC8" s="63"/>
      <c r="AD8" s="63"/>
      <c r="AE8" s="37"/>
      <c r="AF8" s="44"/>
      <c r="AG8" s="63"/>
      <c r="AH8" s="63"/>
      <c r="AI8" s="37"/>
      <c r="AJ8" s="44"/>
      <c r="AK8" s="63"/>
      <c r="AL8" s="63"/>
      <c r="AM8" s="37"/>
      <c r="AN8" s="44"/>
      <c r="AO8" s="63"/>
      <c r="AP8" s="63"/>
      <c r="AQ8" s="37"/>
      <c r="AR8" s="44"/>
      <c r="AS8" s="63"/>
      <c r="AT8" s="63"/>
      <c r="AU8" s="37"/>
      <c r="AV8" s="44"/>
      <c r="AW8" s="63"/>
      <c r="AX8" s="63"/>
      <c r="AY8" s="37"/>
      <c r="AZ8" s="44"/>
      <c r="BA8" s="63"/>
      <c r="BB8" s="63"/>
      <c r="BC8" s="37"/>
      <c r="BD8" s="44"/>
      <c r="BE8" s="63"/>
      <c r="BF8" s="63"/>
      <c r="BG8" s="37"/>
      <c r="BH8" s="44"/>
      <c r="BI8" s="63"/>
      <c r="BJ8" s="63"/>
      <c r="BK8" s="37"/>
      <c r="BL8" s="44"/>
      <c r="BM8" s="63"/>
      <c r="BN8" s="63"/>
      <c r="BO8" s="37"/>
      <c r="BP8" s="44"/>
      <c r="BQ8" s="63"/>
      <c r="BR8" s="63"/>
      <c r="BS8" s="37"/>
      <c r="BT8" s="44"/>
      <c r="BU8" s="63"/>
      <c r="BV8" s="63"/>
      <c r="BW8" s="37"/>
      <c r="BX8" s="44"/>
      <c r="BY8" s="63"/>
      <c r="BZ8" s="63"/>
      <c r="CA8" s="37"/>
      <c r="CB8" s="44"/>
      <c r="CC8" s="63"/>
      <c r="CD8" s="63"/>
      <c r="CE8" s="37"/>
      <c r="CF8" s="44"/>
      <c r="CG8" s="63"/>
      <c r="CH8" s="63"/>
      <c r="CI8" s="37"/>
      <c r="CJ8" s="44"/>
      <c r="CK8" s="63"/>
      <c r="CL8" s="63"/>
      <c r="CM8" s="37"/>
      <c r="CN8" s="44"/>
      <c r="CO8" s="63"/>
      <c r="CP8" s="63"/>
      <c r="CQ8" s="37"/>
      <c r="CR8" s="44"/>
      <c r="CS8" s="63"/>
      <c r="CT8" s="63"/>
      <c r="CU8" s="37"/>
      <c r="CV8" s="44"/>
      <c r="CW8" s="63"/>
      <c r="CX8" s="63"/>
      <c r="CY8" s="37"/>
      <c r="CZ8" s="44"/>
      <c r="DA8" s="63"/>
      <c r="DB8" s="63"/>
      <c r="DC8" s="37"/>
      <c r="DD8" s="44"/>
      <c r="DE8" s="63"/>
      <c r="DF8" s="63"/>
      <c r="DG8" s="37"/>
      <c r="DH8" s="44"/>
      <c r="DI8" s="63"/>
      <c r="DJ8" s="63"/>
      <c r="DK8" s="37"/>
      <c r="DL8" s="44"/>
      <c r="DM8" s="63"/>
      <c r="DN8" s="63"/>
      <c r="DO8" s="37"/>
      <c r="DP8" s="44"/>
      <c r="DQ8" s="63"/>
      <c r="DR8" s="63"/>
      <c r="DS8" s="37"/>
      <c r="DT8" s="44"/>
      <c r="DU8" s="63"/>
      <c r="DV8" s="63"/>
      <c r="DW8" s="37"/>
      <c r="DX8" s="44"/>
      <c r="DY8" s="63"/>
      <c r="DZ8" s="63"/>
      <c r="EA8" s="37"/>
      <c r="EB8" s="44"/>
      <c r="EC8" s="63"/>
      <c r="ED8" s="63"/>
      <c r="EE8" s="37"/>
      <c r="EF8" s="44"/>
      <c r="EG8" s="63"/>
      <c r="EH8" s="63"/>
      <c r="EI8" s="37"/>
      <c r="EJ8" s="44"/>
      <c r="EK8" s="63"/>
      <c r="EL8" s="63"/>
      <c r="EM8" s="37"/>
      <c r="EN8" s="44"/>
      <c r="EO8" s="63"/>
      <c r="EP8" s="63"/>
      <c r="EQ8" s="37"/>
      <c r="ER8" s="44"/>
      <c r="ES8" s="63"/>
      <c r="ET8" s="63"/>
      <c r="EU8" s="37"/>
      <c r="EV8" s="44"/>
      <c r="EW8" s="63"/>
      <c r="EX8" s="63"/>
      <c r="EY8" s="37"/>
      <c r="EZ8" s="44"/>
      <c r="FA8" s="63"/>
      <c r="FB8" s="63"/>
      <c r="FC8" s="37"/>
      <c r="FD8" s="44"/>
      <c r="FE8" s="63"/>
      <c r="FF8" s="63"/>
      <c r="FG8" s="37"/>
      <c r="FH8" s="44"/>
      <c r="FI8" s="63"/>
      <c r="FJ8" s="63"/>
      <c r="FK8" s="37"/>
      <c r="FL8" s="44"/>
      <c r="FM8" s="63"/>
      <c r="FN8" s="63"/>
      <c r="FO8" s="37"/>
      <c r="FP8" s="44"/>
      <c r="FQ8" s="63"/>
      <c r="FR8" s="63"/>
      <c r="FS8" s="37"/>
      <c r="FT8" s="44"/>
      <c r="FU8" s="63"/>
      <c r="FV8" s="63"/>
      <c r="FW8" s="37"/>
      <c r="FX8" s="44"/>
      <c r="FY8" s="63"/>
      <c r="FZ8" s="63"/>
      <c r="GA8" s="37"/>
      <c r="GB8" s="44"/>
      <c r="GC8" s="63"/>
      <c r="GD8" s="63"/>
      <c r="GE8" s="37"/>
      <c r="GF8" s="44"/>
      <c r="GG8" s="63"/>
      <c r="GH8" s="63"/>
      <c r="GI8" s="37"/>
      <c r="GJ8" s="44"/>
      <c r="GK8" s="63"/>
      <c r="GL8" s="63"/>
      <c r="GM8" s="37"/>
      <c r="GN8" s="44"/>
      <c r="GO8" s="63"/>
      <c r="GP8" s="63"/>
      <c r="GQ8" s="37"/>
      <c r="GR8" s="44"/>
      <c r="GS8" s="63"/>
      <c r="GT8" s="63"/>
      <c r="GU8" s="37"/>
      <c r="GV8" s="44"/>
      <c r="GW8" s="63"/>
      <c r="GX8" s="63"/>
      <c r="GY8" s="37"/>
      <c r="GZ8" s="44"/>
      <c r="HA8" s="63"/>
      <c r="HB8" s="63"/>
      <c r="HC8" s="37"/>
      <c r="HD8" s="44"/>
      <c r="HE8" s="63"/>
      <c r="HF8" s="63"/>
      <c r="HG8" s="37"/>
      <c r="HH8" s="44"/>
      <c r="HI8" s="63"/>
      <c r="HJ8" s="63"/>
      <c r="HK8" s="37"/>
      <c r="HL8" s="44"/>
      <c r="HM8" s="63"/>
      <c r="HN8" s="63"/>
      <c r="HO8" s="37"/>
      <c r="HP8" s="44"/>
      <c r="HQ8" s="63"/>
      <c r="HR8" s="63"/>
      <c r="HS8" s="37"/>
      <c r="HT8" s="44"/>
      <c r="HU8" s="63"/>
      <c r="HV8" s="63"/>
      <c r="HW8" s="37"/>
      <c r="HX8" s="44"/>
      <c r="HY8" s="63"/>
      <c r="HZ8" s="63"/>
      <c r="IA8" s="37"/>
      <c r="IB8" s="44"/>
      <c r="IC8" s="63"/>
      <c r="ID8" s="63"/>
      <c r="IE8" s="37"/>
      <c r="IF8" s="44"/>
      <c r="IG8" s="63"/>
      <c r="IH8" s="63"/>
      <c r="II8" s="37"/>
      <c r="IJ8" s="44"/>
      <c r="IK8" s="63"/>
      <c r="IL8" s="63"/>
      <c r="IM8" s="37"/>
      <c r="IN8" s="44"/>
      <c r="IO8" s="63"/>
      <c r="IP8" s="63"/>
      <c r="IQ8" s="37"/>
      <c r="IR8" s="44"/>
      <c r="IS8" s="63"/>
      <c r="IT8" s="63"/>
      <c r="IU8" s="37"/>
      <c r="IV8" s="44"/>
      <c r="IW8" s="63"/>
      <c r="IX8" s="63"/>
      <c r="IY8" s="37"/>
      <c r="IZ8" s="44"/>
      <c r="JA8" s="63"/>
      <c r="JB8" s="63"/>
      <c r="JC8" s="37"/>
      <c r="JD8" s="44"/>
      <c r="JE8" s="63"/>
      <c r="JF8" s="63"/>
      <c r="JG8" s="37"/>
      <c r="JH8" s="44"/>
      <c r="JI8" s="63"/>
      <c r="JJ8" s="63"/>
      <c r="JK8" s="37"/>
      <c r="JL8" s="44"/>
      <c r="JM8" s="63"/>
      <c r="JN8" s="63"/>
      <c r="JO8" s="37"/>
      <c r="JP8" s="44"/>
      <c r="JQ8" s="63"/>
      <c r="JR8" s="63"/>
      <c r="JS8" s="37"/>
      <c r="JT8" s="44"/>
      <c r="JU8" s="63"/>
      <c r="JV8" s="63"/>
      <c r="JW8" s="37"/>
      <c r="JX8" s="44"/>
      <c r="JY8" s="63"/>
      <c r="JZ8" s="63"/>
      <c r="KA8" s="37"/>
      <c r="KB8" s="44"/>
      <c r="KC8" s="63"/>
      <c r="KD8" s="63"/>
      <c r="KE8" s="37"/>
      <c r="KF8" s="44"/>
      <c r="KG8" s="63"/>
      <c r="KH8" s="63"/>
    </row>
    <row r="9" spans="1:294" x14ac:dyDescent="0.25">
      <c r="C9" s="98" t="s">
        <v>202</v>
      </c>
      <c r="D9" s="89" t="s">
        <v>146</v>
      </c>
      <c r="E9" s="63"/>
      <c r="F9" s="63"/>
      <c r="G9" s="98" t="s">
        <v>202</v>
      </c>
      <c r="H9" s="89" t="s">
        <v>146</v>
      </c>
      <c r="I9" s="63"/>
      <c r="J9" s="63"/>
      <c r="K9" s="98" t="s">
        <v>202</v>
      </c>
      <c r="L9" s="89" t="s">
        <v>146</v>
      </c>
      <c r="M9" s="63"/>
      <c r="N9" s="63"/>
      <c r="O9" s="98" t="s">
        <v>202</v>
      </c>
      <c r="P9" s="89" t="s">
        <v>146</v>
      </c>
      <c r="Q9" s="63"/>
      <c r="R9" s="63"/>
      <c r="S9" s="98" t="s">
        <v>202</v>
      </c>
      <c r="T9" s="89" t="s">
        <v>146</v>
      </c>
      <c r="U9" s="63"/>
      <c r="V9" s="63"/>
      <c r="W9" s="98" t="s">
        <v>202</v>
      </c>
      <c r="X9" s="89" t="s">
        <v>146</v>
      </c>
      <c r="Y9" s="63"/>
      <c r="Z9" s="63"/>
      <c r="AA9" s="98" t="s">
        <v>202</v>
      </c>
      <c r="AB9" s="89" t="s">
        <v>146</v>
      </c>
      <c r="AC9" s="63"/>
      <c r="AD9" s="63"/>
      <c r="AE9" s="98" t="s">
        <v>202</v>
      </c>
      <c r="AF9" s="89" t="s">
        <v>146</v>
      </c>
      <c r="AG9" s="63"/>
      <c r="AH9" s="63"/>
      <c r="AI9" s="98" t="s">
        <v>202</v>
      </c>
      <c r="AJ9" s="89" t="s">
        <v>146</v>
      </c>
      <c r="AK9" s="63"/>
      <c r="AL9" s="63"/>
      <c r="AM9" s="98" t="s">
        <v>202</v>
      </c>
      <c r="AN9" s="89" t="s">
        <v>146</v>
      </c>
      <c r="AO9" s="63"/>
      <c r="AP9" s="63"/>
      <c r="AQ9" s="98" t="s">
        <v>202</v>
      </c>
      <c r="AR9" s="89" t="s">
        <v>146</v>
      </c>
      <c r="AS9" s="63"/>
      <c r="AT9" s="63"/>
      <c r="AU9" s="98" t="s">
        <v>202</v>
      </c>
      <c r="AV9" s="89" t="s">
        <v>146</v>
      </c>
      <c r="AW9" s="63"/>
      <c r="AX9" s="63"/>
      <c r="AY9" s="98" t="s">
        <v>202</v>
      </c>
      <c r="AZ9" s="89" t="s">
        <v>146</v>
      </c>
      <c r="BA9" s="63"/>
      <c r="BB9" s="63"/>
      <c r="BC9" s="98" t="s">
        <v>202</v>
      </c>
      <c r="BD9" s="89" t="s">
        <v>146</v>
      </c>
      <c r="BE9" s="63"/>
      <c r="BF9" s="63"/>
      <c r="BG9" s="98" t="s">
        <v>202</v>
      </c>
      <c r="BH9" s="89" t="s">
        <v>146</v>
      </c>
      <c r="BI9" s="63"/>
      <c r="BJ9" s="63"/>
      <c r="BK9" s="98" t="s">
        <v>202</v>
      </c>
      <c r="BL9" s="89" t="s">
        <v>146</v>
      </c>
      <c r="BM9" s="63"/>
      <c r="BN9" s="63"/>
      <c r="BO9" s="98" t="s">
        <v>202</v>
      </c>
      <c r="BP9" s="89" t="s">
        <v>146</v>
      </c>
      <c r="BQ9" s="63"/>
      <c r="BR9" s="63"/>
      <c r="BS9" s="98" t="s">
        <v>202</v>
      </c>
      <c r="BT9" s="89" t="s">
        <v>146</v>
      </c>
      <c r="BU9" s="63"/>
      <c r="BV9" s="63"/>
      <c r="BW9" s="98" t="s">
        <v>202</v>
      </c>
      <c r="BX9" s="89" t="s">
        <v>146</v>
      </c>
      <c r="BY9" s="63"/>
      <c r="BZ9" s="63"/>
      <c r="CA9" s="98" t="s">
        <v>202</v>
      </c>
      <c r="CB9" s="89" t="s">
        <v>146</v>
      </c>
      <c r="CC9" s="63"/>
      <c r="CD9" s="63"/>
      <c r="CE9" s="98" t="s">
        <v>202</v>
      </c>
      <c r="CF9" s="89" t="s">
        <v>146</v>
      </c>
      <c r="CG9" s="63"/>
      <c r="CH9" s="63"/>
      <c r="CI9" s="98" t="s">
        <v>202</v>
      </c>
      <c r="CJ9" s="89" t="s">
        <v>146</v>
      </c>
      <c r="CK9" s="63"/>
      <c r="CL9" s="63"/>
      <c r="CM9" s="98" t="s">
        <v>202</v>
      </c>
      <c r="CN9" s="89" t="s">
        <v>146</v>
      </c>
      <c r="CO9" s="63"/>
      <c r="CP9" s="63"/>
      <c r="CQ9" s="98" t="s">
        <v>202</v>
      </c>
      <c r="CR9" s="89" t="s">
        <v>146</v>
      </c>
      <c r="CS9" s="63"/>
      <c r="CT9" s="63"/>
      <c r="CU9" s="98" t="s">
        <v>202</v>
      </c>
      <c r="CV9" s="89" t="s">
        <v>146</v>
      </c>
      <c r="CW9" s="63"/>
      <c r="CX9" s="63"/>
      <c r="CY9" s="98" t="s">
        <v>202</v>
      </c>
      <c r="CZ9" s="89" t="s">
        <v>146</v>
      </c>
      <c r="DA9" s="63"/>
      <c r="DB9" s="63"/>
      <c r="DC9" s="98" t="s">
        <v>202</v>
      </c>
      <c r="DD9" s="89" t="s">
        <v>146</v>
      </c>
      <c r="DE9" s="63"/>
      <c r="DF9" s="63"/>
      <c r="DG9" s="98" t="s">
        <v>202</v>
      </c>
      <c r="DH9" s="89" t="s">
        <v>146</v>
      </c>
      <c r="DI9" s="63"/>
      <c r="DJ9" s="63"/>
      <c r="DK9" s="98" t="s">
        <v>202</v>
      </c>
      <c r="DL9" s="89" t="s">
        <v>146</v>
      </c>
      <c r="DM9" s="63"/>
      <c r="DN9" s="63"/>
      <c r="DO9" s="98" t="s">
        <v>202</v>
      </c>
      <c r="DP9" s="89" t="s">
        <v>146</v>
      </c>
      <c r="DQ9" s="63"/>
      <c r="DR9" s="63"/>
      <c r="DS9" s="98" t="s">
        <v>202</v>
      </c>
      <c r="DT9" s="89" t="s">
        <v>146</v>
      </c>
      <c r="DU9" s="63"/>
      <c r="DV9" s="63"/>
      <c r="DW9" s="98" t="s">
        <v>202</v>
      </c>
      <c r="DX9" s="89" t="s">
        <v>146</v>
      </c>
      <c r="DY9" s="63"/>
      <c r="DZ9" s="63"/>
      <c r="EA9" s="98" t="s">
        <v>202</v>
      </c>
      <c r="EB9" s="89" t="s">
        <v>146</v>
      </c>
      <c r="EC9" s="63"/>
      <c r="ED9" s="63"/>
      <c r="EE9" s="98" t="s">
        <v>202</v>
      </c>
      <c r="EF9" s="89" t="s">
        <v>146</v>
      </c>
      <c r="EG9" s="63"/>
      <c r="EH9" s="63"/>
      <c r="EI9" s="98" t="s">
        <v>202</v>
      </c>
      <c r="EJ9" s="89" t="s">
        <v>146</v>
      </c>
      <c r="EK9" s="63"/>
      <c r="EL9" s="63"/>
      <c r="EM9" s="98" t="s">
        <v>202</v>
      </c>
      <c r="EN9" s="89" t="s">
        <v>146</v>
      </c>
      <c r="EO9" s="63"/>
      <c r="EP9" s="63"/>
      <c r="EQ9" s="98" t="s">
        <v>202</v>
      </c>
      <c r="ER9" s="89" t="s">
        <v>146</v>
      </c>
      <c r="ES9" s="63"/>
      <c r="ET9" s="63"/>
      <c r="EU9" s="98" t="s">
        <v>202</v>
      </c>
      <c r="EV9" s="89" t="s">
        <v>146</v>
      </c>
      <c r="EW9" s="63"/>
      <c r="EX9" s="63"/>
      <c r="EY9" s="98" t="s">
        <v>202</v>
      </c>
      <c r="EZ9" s="89" t="s">
        <v>146</v>
      </c>
      <c r="FA9" s="63"/>
      <c r="FB9" s="63"/>
      <c r="FC9" s="98" t="s">
        <v>202</v>
      </c>
      <c r="FD9" s="89" t="s">
        <v>146</v>
      </c>
      <c r="FE9" s="63"/>
      <c r="FF9" s="63"/>
      <c r="FG9" s="98" t="s">
        <v>202</v>
      </c>
      <c r="FH9" s="89" t="s">
        <v>146</v>
      </c>
      <c r="FI9" s="63"/>
      <c r="FJ9" s="63"/>
      <c r="FK9" s="98" t="s">
        <v>202</v>
      </c>
      <c r="FL9" s="89" t="s">
        <v>146</v>
      </c>
      <c r="FM9" s="63"/>
      <c r="FN9" s="63"/>
      <c r="FO9" s="98" t="s">
        <v>202</v>
      </c>
      <c r="FP9" s="89" t="s">
        <v>146</v>
      </c>
      <c r="FQ9" s="63"/>
      <c r="FR9" s="63"/>
      <c r="FS9" s="98" t="s">
        <v>202</v>
      </c>
      <c r="FT9" s="89" t="s">
        <v>146</v>
      </c>
      <c r="FU9" s="63"/>
      <c r="FV9" s="63"/>
      <c r="FW9" s="98" t="s">
        <v>202</v>
      </c>
      <c r="FX9" s="89" t="s">
        <v>146</v>
      </c>
      <c r="FY9" s="63"/>
      <c r="FZ9" s="63"/>
      <c r="GA9" s="98" t="s">
        <v>202</v>
      </c>
      <c r="GB9" s="89" t="s">
        <v>146</v>
      </c>
      <c r="GC9" s="63"/>
      <c r="GD9" s="63"/>
      <c r="GE9" s="98" t="s">
        <v>202</v>
      </c>
      <c r="GF9" s="89" t="s">
        <v>146</v>
      </c>
      <c r="GG9" s="63"/>
      <c r="GH9" s="63"/>
      <c r="GI9" s="98" t="s">
        <v>202</v>
      </c>
      <c r="GJ9" s="89" t="s">
        <v>146</v>
      </c>
      <c r="GK9" s="63"/>
      <c r="GL9" s="63"/>
      <c r="GM9" s="98" t="s">
        <v>202</v>
      </c>
      <c r="GN9" s="89" t="s">
        <v>146</v>
      </c>
      <c r="GO9" s="63"/>
      <c r="GP9" s="63"/>
      <c r="GQ9" s="98" t="s">
        <v>202</v>
      </c>
      <c r="GR9" s="89" t="s">
        <v>146</v>
      </c>
      <c r="GS9" s="63"/>
      <c r="GT9" s="63"/>
      <c r="GU9" s="98" t="s">
        <v>202</v>
      </c>
      <c r="GV9" s="89" t="s">
        <v>146</v>
      </c>
      <c r="GW9" s="63"/>
      <c r="GX9" s="63"/>
      <c r="GY9" s="98" t="s">
        <v>202</v>
      </c>
      <c r="GZ9" s="89" t="s">
        <v>146</v>
      </c>
      <c r="HA9" s="63"/>
      <c r="HB9" s="63"/>
      <c r="HC9" s="98" t="s">
        <v>202</v>
      </c>
      <c r="HD9" s="89" t="s">
        <v>146</v>
      </c>
      <c r="HE9" s="63"/>
      <c r="HF9" s="63"/>
      <c r="HG9" s="98" t="s">
        <v>202</v>
      </c>
      <c r="HH9" s="89" t="s">
        <v>146</v>
      </c>
      <c r="HI9" s="63"/>
      <c r="HJ9" s="63"/>
      <c r="HK9" s="98" t="s">
        <v>202</v>
      </c>
      <c r="HL9" s="89" t="s">
        <v>146</v>
      </c>
      <c r="HM9" s="63"/>
      <c r="HN9" s="63"/>
      <c r="HO9" s="98" t="s">
        <v>202</v>
      </c>
      <c r="HP9" s="89" t="s">
        <v>146</v>
      </c>
      <c r="HQ9" s="63"/>
      <c r="HR9" s="63"/>
      <c r="HS9" s="98" t="s">
        <v>202</v>
      </c>
      <c r="HT9" s="89" t="s">
        <v>146</v>
      </c>
      <c r="HU9" s="63"/>
      <c r="HV9" s="63"/>
      <c r="HW9" s="98" t="s">
        <v>202</v>
      </c>
      <c r="HX9" s="89" t="s">
        <v>146</v>
      </c>
      <c r="HY9" s="63"/>
      <c r="HZ9" s="63"/>
      <c r="IA9" s="98" t="s">
        <v>202</v>
      </c>
      <c r="IB9" s="89" t="s">
        <v>146</v>
      </c>
      <c r="IC9" s="63"/>
      <c r="ID9" s="63"/>
      <c r="IE9" s="98" t="s">
        <v>202</v>
      </c>
      <c r="IF9" s="89" t="s">
        <v>146</v>
      </c>
      <c r="IG9" s="63"/>
      <c r="IH9" s="63"/>
      <c r="II9" s="98" t="s">
        <v>202</v>
      </c>
      <c r="IJ9" s="89" t="s">
        <v>146</v>
      </c>
      <c r="IK9" s="63"/>
      <c r="IL9" s="63"/>
      <c r="IM9" s="98" t="s">
        <v>202</v>
      </c>
      <c r="IN9" s="89" t="s">
        <v>146</v>
      </c>
      <c r="IO9" s="63"/>
      <c r="IP9" s="63"/>
      <c r="IQ9" s="98" t="s">
        <v>202</v>
      </c>
      <c r="IR9" s="89" t="s">
        <v>146</v>
      </c>
      <c r="IS9" s="63"/>
      <c r="IT9" s="63"/>
      <c r="IU9" s="98" t="s">
        <v>202</v>
      </c>
      <c r="IV9" s="89" t="s">
        <v>146</v>
      </c>
      <c r="IW9" s="63"/>
      <c r="IX9" s="63"/>
      <c r="IY9" s="98" t="s">
        <v>202</v>
      </c>
      <c r="IZ9" s="89" t="s">
        <v>146</v>
      </c>
      <c r="JA9" s="63"/>
      <c r="JB9" s="63"/>
      <c r="JC9" s="98" t="s">
        <v>202</v>
      </c>
      <c r="JD9" s="89" t="s">
        <v>146</v>
      </c>
      <c r="JE9" s="63"/>
      <c r="JF9" s="63"/>
      <c r="JG9" s="98" t="s">
        <v>202</v>
      </c>
      <c r="JH9" s="89" t="s">
        <v>146</v>
      </c>
      <c r="JI9" s="63"/>
      <c r="JJ9" s="63"/>
      <c r="JK9" s="98" t="s">
        <v>202</v>
      </c>
      <c r="JL9" s="89" t="s">
        <v>146</v>
      </c>
      <c r="JM9" s="63"/>
      <c r="JN9" s="63"/>
      <c r="JO9" s="98" t="s">
        <v>202</v>
      </c>
      <c r="JP9" s="89" t="s">
        <v>146</v>
      </c>
      <c r="JQ9" s="63"/>
      <c r="JR9" s="63"/>
      <c r="JS9" s="98" t="s">
        <v>202</v>
      </c>
      <c r="JT9" s="89" t="s">
        <v>146</v>
      </c>
      <c r="JU9" s="63"/>
      <c r="JV9" s="63"/>
      <c r="JW9" s="98" t="s">
        <v>202</v>
      </c>
      <c r="JX9" s="89" t="s">
        <v>146</v>
      </c>
      <c r="JY9" s="63"/>
      <c r="JZ9" s="63"/>
      <c r="KA9" s="98" t="s">
        <v>202</v>
      </c>
      <c r="KB9" s="89" t="s">
        <v>146</v>
      </c>
      <c r="KC9" s="63"/>
      <c r="KD9" s="63"/>
      <c r="KE9" s="98" t="s">
        <v>202</v>
      </c>
      <c r="KF9" s="89" t="s">
        <v>146</v>
      </c>
      <c r="KG9" s="63"/>
      <c r="KH9" s="63"/>
    </row>
    <row r="10" spans="1:294" outlineLevel="1" x14ac:dyDescent="0.25">
      <c r="A10" s="102" t="s">
        <v>224</v>
      </c>
      <c r="C10" s="103" t="s">
        <v>187</v>
      </c>
      <c r="D10" s="104">
        <f>-'Investimento Inicial'!$B$2</f>
        <v>-70000</v>
      </c>
      <c r="E10" s="63"/>
      <c r="F10" s="63"/>
      <c r="G10" s="103"/>
      <c r="H10" s="104"/>
      <c r="I10" s="63"/>
      <c r="J10" s="63"/>
      <c r="K10" s="103"/>
      <c r="L10" s="104"/>
      <c r="M10" s="63"/>
      <c r="N10" s="63"/>
      <c r="O10" s="103"/>
      <c r="P10" s="104"/>
      <c r="Q10" s="63"/>
      <c r="R10" s="63"/>
      <c r="S10" s="103"/>
      <c r="T10" s="104"/>
      <c r="U10" s="63"/>
      <c r="V10" s="63"/>
      <c r="W10" s="103"/>
      <c r="X10" s="104"/>
      <c r="Y10" s="63"/>
      <c r="Z10" s="63"/>
      <c r="AA10" s="103"/>
      <c r="AB10" s="104"/>
      <c r="AC10" s="63"/>
      <c r="AD10" s="63"/>
      <c r="AE10" s="103"/>
      <c r="AF10" s="104"/>
      <c r="AG10" s="63"/>
      <c r="AH10" s="63"/>
      <c r="AI10" s="103"/>
      <c r="AJ10" s="104"/>
      <c r="AK10" s="63"/>
      <c r="AL10" s="63"/>
      <c r="AM10" s="103"/>
      <c r="AN10" s="104"/>
      <c r="AO10" s="63"/>
      <c r="AP10" s="63"/>
      <c r="AQ10" s="103"/>
      <c r="AR10" s="104"/>
      <c r="AS10" s="63"/>
      <c r="AT10" s="63"/>
      <c r="AU10" s="103"/>
      <c r="AV10" s="104"/>
      <c r="AW10" s="63"/>
      <c r="AX10" s="63"/>
      <c r="AY10" s="103"/>
      <c r="AZ10" s="104"/>
      <c r="BA10" s="63"/>
      <c r="BB10" s="63"/>
      <c r="BC10" s="103"/>
      <c r="BD10" s="104"/>
      <c r="BE10" s="63"/>
      <c r="BF10" s="63"/>
      <c r="BG10" s="103"/>
      <c r="BH10" s="104"/>
      <c r="BI10" s="63"/>
      <c r="BJ10" s="63"/>
      <c r="BK10" s="103"/>
      <c r="BL10" s="104"/>
      <c r="BM10" s="63"/>
      <c r="BN10" s="63"/>
      <c r="BO10" s="103"/>
      <c r="BP10" s="104"/>
      <c r="BQ10" s="63"/>
      <c r="BR10" s="63"/>
      <c r="BS10" s="103"/>
      <c r="BT10" s="104"/>
      <c r="BU10" s="63"/>
      <c r="BV10" s="63"/>
      <c r="BW10" s="103"/>
      <c r="BX10" s="104"/>
      <c r="BY10" s="63"/>
      <c r="BZ10" s="63"/>
      <c r="CA10" s="103"/>
      <c r="CB10" s="104"/>
      <c r="CC10" s="63"/>
      <c r="CD10" s="63"/>
      <c r="CE10" s="103"/>
      <c r="CF10" s="104"/>
      <c r="CG10" s="63"/>
      <c r="CH10" s="63"/>
      <c r="CI10" s="103"/>
      <c r="CJ10" s="104"/>
      <c r="CK10" s="63"/>
      <c r="CL10" s="63"/>
      <c r="CM10" s="103"/>
      <c r="CN10" s="104"/>
      <c r="CO10" s="63"/>
      <c r="CP10" s="63"/>
      <c r="CQ10" s="103"/>
      <c r="CR10" s="104"/>
      <c r="CS10" s="63"/>
      <c r="CT10" s="63"/>
      <c r="CU10" s="103"/>
      <c r="CV10" s="104"/>
      <c r="CW10" s="63"/>
      <c r="CX10" s="63"/>
      <c r="CY10" s="103"/>
      <c r="CZ10" s="104"/>
      <c r="DA10" s="63"/>
      <c r="DB10" s="63"/>
      <c r="DC10" s="103"/>
      <c r="DD10" s="104"/>
      <c r="DE10" s="63"/>
      <c r="DF10" s="63"/>
      <c r="DG10" s="103"/>
      <c r="DH10" s="104"/>
      <c r="DI10" s="63"/>
      <c r="DJ10" s="63"/>
      <c r="DK10" s="103"/>
      <c r="DL10" s="104"/>
      <c r="DM10" s="63"/>
      <c r="DN10" s="63"/>
      <c r="DO10" s="103"/>
      <c r="DP10" s="104"/>
      <c r="DQ10" s="63"/>
      <c r="DR10" s="63"/>
      <c r="DS10" s="103"/>
      <c r="DT10" s="104"/>
      <c r="DU10" s="63"/>
      <c r="DV10" s="63"/>
      <c r="DW10" s="103"/>
      <c r="DX10" s="104"/>
      <c r="DY10" s="63"/>
      <c r="DZ10" s="63"/>
      <c r="EA10" s="103"/>
      <c r="EB10" s="104"/>
      <c r="EC10" s="63"/>
      <c r="ED10" s="63"/>
      <c r="EE10" s="103"/>
      <c r="EF10" s="104"/>
      <c r="EG10" s="63"/>
      <c r="EH10" s="63"/>
      <c r="EI10" s="103"/>
      <c r="EJ10" s="104"/>
      <c r="EK10" s="63"/>
      <c r="EL10" s="63"/>
      <c r="EM10" s="103"/>
      <c r="EN10" s="104"/>
      <c r="EO10" s="63"/>
      <c r="EP10" s="63"/>
      <c r="EQ10" s="103"/>
      <c r="ER10" s="104"/>
      <c r="ES10" s="63"/>
      <c r="ET10" s="63"/>
      <c r="EU10" s="103"/>
      <c r="EV10" s="104"/>
      <c r="EW10" s="63"/>
      <c r="EX10" s="63"/>
      <c r="EY10" s="103"/>
      <c r="EZ10" s="104"/>
      <c r="FA10" s="63"/>
      <c r="FB10" s="63"/>
      <c r="FC10" s="103"/>
      <c r="FD10" s="104"/>
      <c r="FE10" s="63"/>
      <c r="FF10" s="63"/>
      <c r="FG10" s="103"/>
      <c r="FH10" s="104"/>
      <c r="FI10" s="63"/>
      <c r="FJ10" s="63"/>
      <c r="FK10" s="103"/>
      <c r="FL10" s="104"/>
      <c r="FM10" s="63"/>
      <c r="FN10" s="63"/>
      <c r="FO10" s="103"/>
      <c r="FP10" s="104"/>
      <c r="FQ10" s="63"/>
      <c r="FR10" s="63"/>
      <c r="FS10" s="103"/>
      <c r="FT10" s="104"/>
      <c r="FU10" s="63"/>
      <c r="FV10" s="63"/>
      <c r="FW10" s="103"/>
      <c r="FX10" s="104"/>
      <c r="FY10" s="63"/>
      <c r="FZ10" s="63"/>
      <c r="GA10" s="103"/>
      <c r="GB10" s="104"/>
      <c r="GC10" s="63"/>
      <c r="GD10" s="63"/>
      <c r="GE10" s="103"/>
      <c r="GF10" s="104"/>
      <c r="GG10" s="63"/>
      <c r="GH10" s="63"/>
      <c r="GI10" s="103"/>
      <c r="GJ10" s="104"/>
      <c r="GK10" s="63"/>
      <c r="GL10" s="63"/>
      <c r="GM10" s="103"/>
      <c r="GN10" s="104"/>
      <c r="GO10" s="63"/>
      <c r="GP10" s="63"/>
      <c r="GQ10" s="103"/>
      <c r="GR10" s="104"/>
      <c r="GS10" s="63"/>
      <c r="GT10" s="63"/>
      <c r="GU10" s="103"/>
      <c r="GV10" s="104"/>
      <c r="GW10" s="63"/>
      <c r="GX10" s="63"/>
      <c r="GY10" s="103"/>
      <c r="GZ10" s="104"/>
      <c r="HA10" s="63"/>
      <c r="HB10" s="63"/>
      <c r="HC10" s="103"/>
      <c r="HD10" s="104"/>
      <c r="HE10" s="63"/>
      <c r="HF10" s="63"/>
      <c r="HG10" s="103"/>
      <c r="HH10" s="104"/>
      <c r="HI10" s="63"/>
      <c r="HJ10" s="63"/>
      <c r="HK10" s="103"/>
      <c r="HL10" s="104"/>
      <c r="HM10" s="63"/>
      <c r="HN10" s="63"/>
      <c r="HO10" s="103"/>
      <c r="HP10" s="104"/>
      <c r="HQ10" s="63"/>
      <c r="HR10" s="63"/>
      <c r="HS10" s="103"/>
      <c r="HT10" s="104"/>
      <c r="HU10" s="63"/>
      <c r="HV10" s="63"/>
      <c r="HW10" s="103"/>
      <c r="HX10" s="104"/>
      <c r="HY10" s="63"/>
      <c r="HZ10" s="63"/>
      <c r="IA10" s="103"/>
      <c r="IB10" s="104"/>
      <c r="IC10" s="63"/>
      <c r="ID10" s="63"/>
      <c r="IE10" s="103"/>
      <c r="IF10" s="104"/>
      <c r="IG10" s="63"/>
      <c r="IH10" s="63"/>
      <c r="II10" s="103"/>
      <c r="IJ10" s="104"/>
      <c r="IK10" s="63"/>
      <c r="IL10" s="63"/>
      <c r="IM10" s="103"/>
      <c r="IN10" s="104"/>
      <c r="IO10" s="63"/>
      <c r="IP10" s="63"/>
      <c r="IQ10" s="103"/>
      <c r="IR10" s="104"/>
      <c r="IS10" s="63"/>
      <c r="IT10" s="63"/>
      <c r="IU10" s="103"/>
      <c r="IV10" s="104"/>
      <c r="IW10" s="63"/>
      <c r="IX10" s="63"/>
      <c r="IY10" s="103"/>
      <c r="IZ10" s="104"/>
      <c r="JA10" s="63"/>
      <c r="JB10" s="63"/>
      <c r="JC10" s="103"/>
      <c r="JD10" s="104"/>
      <c r="JE10" s="63"/>
      <c r="JF10" s="63"/>
      <c r="JG10" s="103"/>
      <c r="JH10" s="104"/>
      <c r="JI10" s="63"/>
      <c r="JJ10" s="63"/>
      <c r="JK10" s="103"/>
      <c r="JL10" s="104"/>
      <c r="JM10" s="63"/>
      <c r="JN10" s="63"/>
      <c r="JO10" s="103"/>
      <c r="JP10" s="104"/>
      <c r="JQ10" s="63"/>
      <c r="JR10" s="63"/>
      <c r="JS10" s="103"/>
      <c r="JT10" s="104"/>
      <c r="JU10" s="63"/>
      <c r="JV10" s="63"/>
      <c r="JW10" s="103"/>
      <c r="JX10" s="104"/>
      <c r="JY10" s="63"/>
      <c r="JZ10" s="63"/>
      <c r="KA10" s="103"/>
      <c r="KB10" s="104"/>
      <c r="KC10" s="63"/>
      <c r="KD10" s="63"/>
      <c r="KE10" s="103"/>
      <c r="KF10" s="104"/>
      <c r="KG10" s="63"/>
      <c r="KH10" s="63"/>
    </row>
    <row r="11" spans="1:294" outlineLevel="1" x14ac:dyDescent="0.25">
      <c r="A11" s="106" t="s">
        <v>223</v>
      </c>
      <c r="C11" s="103" t="s">
        <v>188</v>
      </c>
      <c r="D11" s="104">
        <f>-'Investimento Inicial'!$B$3</f>
        <v>-500</v>
      </c>
      <c r="E11" s="63"/>
      <c r="F11" s="63"/>
      <c r="G11" s="103"/>
      <c r="H11" s="104"/>
      <c r="I11" s="63"/>
      <c r="J11" s="63"/>
      <c r="K11" s="103"/>
      <c r="L11" s="104"/>
      <c r="M11" s="63"/>
      <c r="N11" s="63"/>
      <c r="O11" s="103"/>
      <c r="P11" s="104"/>
      <c r="Q11" s="63"/>
      <c r="R11" s="63"/>
      <c r="S11" s="103"/>
      <c r="T11" s="104"/>
      <c r="U11" s="63"/>
      <c r="V11" s="63"/>
      <c r="W11" s="103"/>
      <c r="X11" s="104"/>
      <c r="Y11" s="63"/>
      <c r="Z11" s="63"/>
      <c r="AA11" s="103"/>
      <c r="AB11" s="104"/>
      <c r="AC11" s="63"/>
      <c r="AD11" s="63"/>
      <c r="AE11" s="103"/>
      <c r="AF11" s="104"/>
      <c r="AG11" s="63"/>
      <c r="AH11" s="63"/>
      <c r="AI11" s="103"/>
      <c r="AJ11" s="104"/>
      <c r="AK11" s="63"/>
      <c r="AL11" s="63"/>
      <c r="AM11" s="103"/>
      <c r="AN11" s="104"/>
      <c r="AO11" s="63"/>
      <c r="AP11" s="63"/>
      <c r="AQ11" s="103"/>
      <c r="AR11" s="104"/>
      <c r="AS11" s="63"/>
      <c r="AT11" s="63"/>
      <c r="AU11" s="103"/>
      <c r="AV11" s="104"/>
      <c r="AW11" s="63"/>
      <c r="AX11" s="63"/>
      <c r="AY11" s="103"/>
      <c r="AZ11" s="104"/>
      <c r="BA11" s="63"/>
      <c r="BB11" s="63"/>
      <c r="BC11" s="103"/>
      <c r="BD11" s="104"/>
      <c r="BE11" s="63"/>
      <c r="BF11" s="63"/>
      <c r="BG11" s="103"/>
      <c r="BH11" s="104"/>
      <c r="BI11" s="63"/>
      <c r="BJ11" s="63"/>
      <c r="BK11" s="103"/>
      <c r="BL11" s="104"/>
      <c r="BM11" s="63"/>
      <c r="BN11" s="63"/>
      <c r="BO11" s="103"/>
      <c r="BP11" s="104"/>
      <c r="BQ11" s="63"/>
      <c r="BR11" s="63"/>
      <c r="BS11" s="103"/>
      <c r="BT11" s="104"/>
      <c r="BU11" s="63"/>
      <c r="BV11" s="63"/>
      <c r="BW11" s="103"/>
      <c r="BX11" s="104"/>
      <c r="BY11" s="63"/>
      <c r="BZ11" s="63"/>
      <c r="CA11" s="103"/>
      <c r="CB11" s="104"/>
      <c r="CC11" s="63"/>
      <c r="CD11" s="63"/>
      <c r="CE11" s="103"/>
      <c r="CF11" s="104"/>
      <c r="CG11" s="63"/>
      <c r="CH11" s="63"/>
      <c r="CI11" s="103"/>
      <c r="CJ11" s="104"/>
      <c r="CK11" s="63"/>
      <c r="CL11" s="63"/>
      <c r="CM11" s="103"/>
      <c r="CN11" s="104"/>
      <c r="CO11" s="63"/>
      <c r="CP11" s="63"/>
      <c r="CQ11" s="103"/>
      <c r="CR11" s="104"/>
      <c r="CS11" s="63"/>
      <c r="CT11" s="63"/>
      <c r="CU11" s="103"/>
      <c r="CV11" s="104"/>
      <c r="CW11" s="63"/>
      <c r="CX11" s="63"/>
      <c r="CY11" s="103"/>
      <c r="CZ11" s="104"/>
      <c r="DA11" s="63"/>
      <c r="DB11" s="63"/>
      <c r="DC11" s="103"/>
      <c r="DD11" s="104"/>
      <c r="DE11" s="63"/>
      <c r="DF11" s="63"/>
      <c r="DG11" s="103"/>
      <c r="DH11" s="104"/>
      <c r="DI11" s="63"/>
      <c r="DJ11" s="63"/>
      <c r="DK11" s="103"/>
      <c r="DL11" s="104"/>
      <c r="DM11" s="63"/>
      <c r="DN11" s="63"/>
      <c r="DO11" s="103"/>
      <c r="DP11" s="104"/>
      <c r="DQ11" s="63"/>
      <c r="DR11" s="63"/>
      <c r="DS11" s="103"/>
      <c r="DT11" s="104"/>
      <c r="DU11" s="63"/>
      <c r="DV11" s="63"/>
      <c r="DW11" s="103"/>
      <c r="DX11" s="104"/>
      <c r="DY11" s="63"/>
      <c r="DZ11" s="63"/>
      <c r="EA11" s="103"/>
      <c r="EB11" s="104"/>
      <c r="EC11" s="63"/>
      <c r="ED11" s="63"/>
      <c r="EE11" s="103"/>
      <c r="EF11" s="104"/>
      <c r="EG11" s="63"/>
      <c r="EH11" s="63"/>
      <c r="EI11" s="103"/>
      <c r="EJ11" s="104"/>
      <c r="EK11" s="63"/>
      <c r="EL11" s="63"/>
      <c r="EM11" s="103"/>
      <c r="EN11" s="104"/>
      <c r="EO11" s="63"/>
      <c r="EP11" s="63"/>
      <c r="EQ11" s="103"/>
      <c r="ER11" s="104"/>
      <c r="ES11" s="63"/>
      <c r="ET11" s="63"/>
      <c r="EU11" s="103"/>
      <c r="EV11" s="104"/>
      <c r="EW11" s="63"/>
      <c r="EX11" s="63"/>
      <c r="EY11" s="103"/>
      <c r="EZ11" s="104"/>
      <c r="FA11" s="63"/>
      <c r="FB11" s="63"/>
      <c r="FC11" s="103"/>
      <c r="FD11" s="104"/>
      <c r="FE11" s="63"/>
      <c r="FF11" s="63"/>
      <c r="FG11" s="103"/>
      <c r="FH11" s="104"/>
      <c r="FI11" s="63"/>
      <c r="FJ11" s="63"/>
      <c r="FK11" s="103"/>
      <c r="FL11" s="104"/>
      <c r="FM11" s="63"/>
      <c r="FN11" s="63"/>
      <c r="FO11" s="103"/>
      <c r="FP11" s="104"/>
      <c r="FQ11" s="63"/>
      <c r="FR11" s="63"/>
      <c r="FS11" s="103"/>
      <c r="FT11" s="104"/>
      <c r="FU11" s="63"/>
      <c r="FV11" s="63"/>
      <c r="FW11" s="103"/>
      <c r="FX11" s="104"/>
      <c r="FY11" s="63"/>
      <c r="FZ11" s="63"/>
      <c r="GA11" s="103"/>
      <c r="GB11" s="104"/>
      <c r="GC11" s="63"/>
      <c r="GD11" s="63"/>
      <c r="GE11" s="103"/>
      <c r="GF11" s="104"/>
      <c r="GG11" s="63"/>
      <c r="GH11" s="63"/>
      <c r="GI11" s="103"/>
      <c r="GJ11" s="104"/>
      <c r="GK11" s="63"/>
      <c r="GL11" s="63"/>
      <c r="GM11" s="103"/>
      <c r="GN11" s="104"/>
      <c r="GO11" s="63"/>
      <c r="GP11" s="63"/>
      <c r="GQ11" s="103"/>
      <c r="GR11" s="104"/>
      <c r="GS11" s="63"/>
      <c r="GT11" s="63"/>
      <c r="GU11" s="103"/>
      <c r="GV11" s="104"/>
      <c r="GW11" s="63"/>
      <c r="GX11" s="63"/>
      <c r="GY11" s="103"/>
      <c r="GZ11" s="104"/>
      <c r="HA11" s="63"/>
      <c r="HB11" s="63"/>
      <c r="HC11" s="103"/>
      <c r="HD11" s="104"/>
      <c r="HE11" s="63"/>
      <c r="HF11" s="63"/>
      <c r="HG11" s="103"/>
      <c r="HH11" s="104"/>
      <c r="HI11" s="63"/>
      <c r="HJ11" s="63"/>
      <c r="HK11" s="103"/>
      <c r="HL11" s="104"/>
      <c r="HM11" s="63"/>
      <c r="HN11" s="63"/>
      <c r="HO11" s="103"/>
      <c r="HP11" s="104"/>
      <c r="HQ11" s="63"/>
      <c r="HR11" s="63"/>
      <c r="HS11" s="103"/>
      <c r="HT11" s="104"/>
      <c r="HU11" s="63"/>
      <c r="HV11" s="63"/>
      <c r="HW11" s="103"/>
      <c r="HX11" s="104"/>
      <c r="HY11" s="63"/>
      <c r="HZ11" s="63"/>
      <c r="IA11" s="103"/>
      <c r="IB11" s="104"/>
      <c r="IC11" s="63"/>
      <c r="ID11" s="63"/>
      <c r="IE11" s="103"/>
      <c r="IF11" s="104"/>
      <c r="IG11" s="63"/>
      <c r="IH11" s="63"/>
      <c r="II11" s="103"/>
      <c r="IJ11" s="104"/>
      <c r="IK11" s="63"/>
      <c r="IL11" s="63"/>
      <c r="IM11" s="103"/>
      <c r="IN11" s="104"/>
      <c r="IO11" s="63"/>
      <c r="IP11" s="63"/>
      <c r="IQ11" s="103"/>
      <c r="IR11" s="104"/>
      <c r="IS11" s="63"/>
      <c r="IT11" s="63"/>
      <c r="IU11" s="103"/>
      <c r="IV11" s="104"/>
      <c r="IW11" s="63"/>
      <c r="IX11" s="63"/>
      <c r="IY11" s="103"/>
      <c r="IZ11" s="104"/>
      <c r="JA11" s="63"/>
      <c r="JB11" s="63"/>
      <c r="JC11" s="103"/>
      <c r="JD11" s="104"/>
      <c r="JE11" s="63"/>
      <c r="JF11" s="63"/>
      <c r="JG11" s="103"/>
      <c r="JH11" s="104"/>
      <c r="JI11" s="63"/>
      <c r="JJ11" s="63"/>
      <c r="JK11" s="103"/>
      <c r="JL11" s="104"/>
      <c r="JM11" s="63"/>
      <c r="JN11" s="63"/>
      <c r="JO11" s="103"/>
      <c r="JP11" s="104"/>
      <c r="JQ11" s="63"/>
      <c r="JR11" s="63"/>
      <c r="JS11" s="103"/>
      <c r="JT11" s="104"/>
      <c r="JU11" s="63"/>
      <c r="JV11" s="63"/>
      <c r="JW11" s="103"/>
      <c r="JX11" s="104"/>
      <c r="JY11" s="63"/>
      <c r="JZ11" s="63"/>
      <c r="KA11" s="103"/>
      <c r="KB11" s="104"/>
      <c r="KC11" s="63"/>
      <c r="KD11" s="63"/>
      <c r="KE11" s="103"/>
      <c r="KF11" s="104"/>
      <c r="KG11" s="63"/>
      <c r="KH11" s="63"/>
    </row>
    <row r="12" spans="1:294" outlineLevel="1" x14ac:dyDescent="0.25">
      <c r="A12" s="109" t="s">
        <v>222</v>
      </c>
      <c r="C12" s="123" t="str">
        <f ca="1">IF(D12&lt;&gt;"", $A$14&amp;" meses de café", "")</f>
        <v>3 meses de café</v>
      </c>
      <c r="D12" s="111">
        <f ca="1">IF(AND(NOT(ISBLANK(C$1)), MOD(C$1,$A$14)=0), -$A$2*SUM(OFFSET(C4,0,0,1,$A$14*4)), "")</f>
        <v>-27900</v>
      </c>
      <c r="E12" s="123" t="str">
        <f t="shared" ref="E12" ca="1" si="426">IF(F12&lt;&gt;"", $A$14&amp;" meses de café", "")</f>
        <v/>
      </c>
      <c r="F12" s="111" t="str">
        <f t="shared" ref="F12" ca="1" si="427">IF(AND(NOT(ISBLANK(E$1)), MOD(E$1,$A$14)=0), -$A$2*SUM(OFFSET(E4,0,0,1,$A$14*4)), "")</f>
        <v/>
      </c>
      <c r="G12" s="123" t="str">
        <f t="shared" ref="G12" ca="1" si="428">IF(H12&lt;&gt;"", $A$14&amp;" meses de café", "")</f>
        <v/>
      </c>
      <c r="H12" s="111" t="str">
        <f t="shared" ref="H12" ca="1" si="429">IF(AND(NOT(ISBLANK(G$1)), MOD(G$1,$A$14)=0), -$A$2*SUM(OFFSET(G4,0,0,1,$A$14*4)), "")</f>
        <v/>
      </c>
      <c r="I12" s="123" t="str">
        <f t="shared" ref="I12" ca="1" si="430">IF(J12&lt;&gt;"", $A$14&amp;" meses de café", "")</f>
        <v/>
      </c>
      <c r="J12" s="111" t="str">
        <f t="shared" ref="J12" ca="1" si="431">IF(AND(NOT(ISBLANK(I$1)), MOD(I$1,$A$14)=0), -$A$2*SUM(OFFSET(I4,0,0,1,$A$14*4)), "")</f>
        <v/>
      </c>
      <c r="K12" s="123" t="str">
        <f t="shared" ref="K12" ca="1" si="432">IF(L12&lt;&gt;"", $A$14&amp;" meses de café", "")</f>
        <v/>
      </c>
      <c r="L12" s="111" t="str">
        <f t="shared" ref="L12" ca="1" si="433">IF(AND(NOT(ISBLANK(K$1)), MOD(K$1,$A$14)=0), -$A$2*SUM(OFFSET(K4,0,0,1,$A$14*4)), "")</f>
        <v/>
      </c>
      <c r="M12" s="123" t="str">
        <f t="shared" ref="M12" ca="1" si="434">IF(N12&lt;&gt;"", $A$14&amp;" meses de café", "")</f>
        <v/>
      </c>
      <c r="N12" s="111" t="str">
        <f t="shared" ref="N12" ca="1" si="435">IF(AND(NOT(ISBLANK(M$1)), MOD(M$1,$A$14)=0), -$A$2*SUM(OFFSET(M4,0,0,1,$A$14*4)), "")</f>
        <v/>
      </c>
      <c r="O12" s="123" t="str">
        <f t="shared" ref="O12" ca="1" si="436">IF(P12&lt;&gt;"", $A$14&amp;" meses de café", "")</f>
        <v>3 meses de café</v>
      </c>
      <c r="P12" s="111">
        <f t="shared" ref="P12" ca="1" si="437">IF(AND(NOT(ISBLANK(O$1)), MOD(O$1,$A$14)=0), -$A$2*SUM(OFFSET(O4,0,0,1,$A$14*4)), "")</f>
        <v>-27900</v>
      </c>
      <c r="Q12" s="123" t="str">
        <f t="shared" ref="Q12" ca="1" si="438">IF(R12&lt;&gt;"", $A$14&amp;" meses de café", "")</f>
        <v/>
      </c>
      <c r="R12" s="111" t="str">
        <f t="shared" ref="R12" ca="1" si="439">IF(AND(NOT(ISBLANK(Q$1)), MOD(Q$1,$A$14)=0), -$A$2*SUM(OFFSET(Q4,0,0,1,$A$14*4)), "")</f>
        <v/>
      </c>
      <c r="S12" s="123" t="str">
        <f t="shared" ref="S12" ca="1" si="440">IF(T12&lt;&gt;"", $A$14&amp;" meses de café", "")</f>
        <v/>
      </c>
      <c r="T12" s="111" t="str">
        <f t="shared" ref="T12" ca="1" si="441">IF(AND(NOT(ISBLANK(S$1)), MOD(S$1,$A$14)=0), -$A$2*SUM(OFFSET(S4,0,0,1,$A$14*4)), "")</f>
        <v/>
      </c>
      <c r="U12" s="123" t="str">
        <f t="shared" ref="U12" ca="1" si="442">IF(V12&lt;&gt;"", $A$14&amp;" meses de café", "")</f>
        <v/>
      </c>
      <c r="V12" s="111" t="str">
        <f t="shared" ref="V12" ca="1" si="443">IF(AND(NOT(ISBLANK(U$1)), MOD(U$1,$A$14)=0), -$A$2*SUM(OFFSET(U4,0,0,1,$A$14*4)), "")</f>
        <v/>
      </c>
      <c r="W12" s="123" t="str">
        <f t="shared" ref="W12" ca="1" si="444">IF(X12&lt;&gt;"", $A$14&amp;" meses de café", "")</f>
        <v/>
      </c>
      <c r="X12" s="111" t="str">
        <f t="shared" ref="X12" ca="1" si="445">IF(AND(NOT(ISBLANK(W$1)), MOD(W$1,$A$14)=0), -$A$2*SUM(OFFSET(W4,0,0,1,$A$14*4)), "")</f>
        <v/>
      </c>
      <c r="Y12" s="123" t="str">
        <f t="shared" ref="Y12" ca="1" si="446">IF(Z12&lt;&gt;"", $A$14&amp;" meses de café", "")</f>
        <v/>
      </c>
      <c r="Z12" s="111" t="str">
        <f t="shared" ref="Z12" ca="1" si="447">IF(AND(NOT(ISBLANK(Y$1)), MOD(Y$1,$A$14)=0), -$A$2*SUM(OFFSET(Y4,0,0,1,$A$14*4)), "")</f>
        <v/>
      </c>
      <c r="AA12" s="123" t="str">
        <f t="shared" ref="AA12" ca="1" si="448">IF(AB12&lt;&gt;"", $A$14&amp;" meses de café", "")</f>
        <v>3 meses de café</v>
      </c>
      <c r="AB12" s="111">
        <f t="shared" ref="AB12" ca="1" si="449">IF(AND(NOT(ISBLANK(AA$1)), MOD(AA$1,$A$14)=0), -$A$2*SUM(OFFSET(AA4,0,0,1,$A$14*4)), "")</f>
        <v>-34100</v>
      </c>
      <c r="AC12" s="123" t="str">
        <f t="shared" ref="AC12" ca="1" si="450">IF(AD12&lt;&gt;"", $A$14&amp;" meses de café", "")</f>
        <v/>
      </c>
      <c r="AD12" s="111" t="str">
        <f t="shared" ref="AD12" ca="1" si="451">IF(AND(NOT(ISBLANK(AC$1)), MOD(AC$1,$A$14)=0), -$A$2*SUM(OFFSET(AC4,0,0,1,$A$14*4)), "")</f>
        <v/>
      </c>
      <c r="AE12" s="123" t="str">
        <f t="shared" ref="AE12" ca="1" si="452">IF(AF12&lt;&gt;"", $A$14&amp;" meses de café", "")</f>
        <v/>
      </c>
      <c r="AF12" s="111" t="str">
        <f t="shared" ref="AF12" ca="1" si="453">IF(AND(NOT(ISBLANK(AE$1)), MOD(AE$1,$A$14)=0), -$A$2*SUM(OFFSET(AE4,0,0,1,$A$14*4)), "")</f>
        <v/>
      </c>
      <c r="AG12" s="123" t="str">
        <f t="shared" ref="AG12" ca="1" si="454">IF(AH12&lt;&gt;"", $A$14&amp;" meses de café", "")</f>
        <v/>
      </c>
      <c r="AH12" s="111" t="str">
        <f t="shared" ref="AH12" ca="1" si="455">IF(AND(NOT(ISBLANK(AG$1)), MOD(AG$1,$A$14)=0), -$A$2*SUM(OFFSET(AG4,0,0,1,$A$14*4)), "")</f>
        <v/>
      </c>
      <c r="AI12" s="123" t="str">
        <f t="shared" ref="AI12" ca="1" si="456">IF(AJ12&lt;&gt;"", $A$14&amp;" meses de café", "")</f>
        <v/>
      </c>
      <c r="AJ12" s="111" t="str">
        <f t="shared" ref="AJ12" ca="1" si="457">IF(AND(NOT(ISBLANK(AI$1)), MOD(AI$1,$A$14)=0), -$A$2*SUM(OFFSET(AI4,0,0,1,$A$14*4)), "")</f>
        <v/>
      </c>
      <c r="AK12" s="123" t="str">
        <f t="shared" ref="AK12" ca="1" si="458">IF(AL12&lt;&gt;"", $A$14&amp;" meses de café", "")</f>
        <v/>
      </c>
      <c r="AL12" s="111" t="str">
        <f t="shared" ref="AL12" ca="1" si="459">IF(AND(NOT(ISBLANK(AK$1)), MOD(AK$1,$A$14)=0), -$A$2*SUM(OFFSET(AK4,0,0,1,$A$14*4)), "")</f>
        <v/>
      </c>
      <c r="AM12" s="123" t="str">
        <f t="shared" ref="AM12" ca="1" si="460">IF(AN12&lt;&gt;"", $A$14&amp;" meses de café", "")</f>
        <v>3 meses de café</v>
      </c>
      <c r="AN12" s="111">
        <f t="shared" ref="AN12" ca="1" si="461">IF(AND(NOT(ISBLANK(AM$1)), MOD(AM$1,$A$14)=0), -$A$2*SUM(OFFSET(AM4,0,0,1,$A$14*4)), "")</f>
        <v>-37200</v>
      </c>
      <c r="AO12" s="123" t="str">
        <f t="shared" ref="AO12" ca="1" si="462">IF(AP12&lt;&gt;"", $A$14&amp;" meses de café", "")</f>
        <v/>
      </c>
      <c r="AP12" s="111" t="str">
        <f t="shared" ref="AP12" ca="1" si="463">IF(AND(NOT(ISBLANK(AO$1)), MOD(AO$1,$A$14)=0), -$A$2*SUM(OFFSET(AO4,0,0,1,$A$14*4)), "")</f>
        <v/>
      </c>
      <c r="AQ12" s="123" t="str">
        <f t="shared" ref="AQ12" ca="1" si="464">IF(AR12&lt;&gt;"", $A$14&amp;" meses de café", "")</f>
        <v/>
      </c>
      <c r="AR12" s="111" t="str">
        <f t="shared" ref="AR12" ca="1" si="465">IF(AND(NOT(ISBLANK(AQ$1)), MOD(AQ$1,$A$14)=0), -$A$2*SUM(OFFSET(AQ4,0,0,1,$A$14*4)), "")</f>
        <v/>
      </c>
      <c r="AS12" s="123" t="str">
        <f t="shared" ref="AS12" ca="1" si="466">IF(AT12&lt;&gt;"", $A$14&amp;" meses de café", "")</f>
        <v/>
      </c>
      <c r="AT12" s="111" t="str">
        <f t="shared" ref="AT12" ca="1" si="467">IF(AND(NOT(ISBLANK(AS$1)), MOD(AS$1,$A$14)=0), -$A$2*SUM(OFFSET(AS4,0,0,1,$A$14*4)), "")</f>
        <v/>
      </c>
      <c r="AU12" s="123" t="str">
        <f t="shared" ref="AU12" ca="1" si="468">IF(AV12&lt;&gt;"", $A$14&amp;" meses de café", "")</f>
        <v/>
      </c>
      <c r="AV12" s="111" t="str">
        <f t="shared" ref="AV12" ca="1" si="469">IF(AND(NOT(ISBLANK(AU$1)), MOD(AU$1,$A$14)=0), -$A$2*SUM(OFFSET(AU4,0,0,1,$A$14*4)), "")</f>
        <v/>
      </c>
      <c r="AW12" s="123" t="str">
        <f t="shared" ref="AW12" ca="1" si="470">IF(AX12&lt;&gt;"", $A$14&amp;" meses de café", "")</f>
        <v/>
      </c>
      <c r="AX12" s="111" t="str">
        <f t="shared" ref="AX12" ca="1" si="471">IF(AND(NOT(ISBLANK(AW$1)), MOD(AW$1,$A$14)=0), -$A$2*SUM(OFFSET(AW4,0,0,1,$A$14*4)), "")</f>
        <v/>
      </c>
      <c r="AY12" s="123" t="str">
        <f t="shared" ref="AY12" ca="1" si="472">IF(AZ12&lt;&gt;"", $A$14&amp;" meses de café", "")</f>
        <v>3 meses de café</v>
      </c>
      <c r="AZ12" s="111">
        <f t="shared" ref="AZ12" ca="1" si="473">IF(AND(NOT(ISBLANK(AY$1)), MOD(AY$1,$A$14)=0), -$A$2*SUM(OFFSET(AY4,0,0,1,$A$14*4)), "")</f>
        <v>-40300</v>
      </c>
      <c r="BA12" s="123" t="str">
        <f t="shared" ref="BA12" ca="1" si="474">IF(BB12&lt;&gt;"", $A$14&amp;" meses de café", "")</f>
        <v/>
      </c>
      <c r="BB12" s="111" t="str">
        <f t="shared" ref="BB12" ca="1" si="475">IF(AND(NOT(ISBLANK(BA$1)), MOD(BA$1,$A$14)=0), -$A$2*SUM(OFFSET(BA4,0,0,1,$A$14*4)), "")</f>
        <v/>
      </c>
      <c r="BC12" s="123" t="str">
        <f t="shared" ref="BC12" ca="1" si="476">IF(BD12&lt;&gt;"", $A$14&amp;" meses de café", "")</f>
        <v/>
      </c>
      <c r="BD12" s="111" t="str">
        <f t="shared" ref="BD12" ca="1" si="477">IF(AND(NOT(ISBLANK(BC$1)), MOD(BC$1,$A$14)=0), -$A$2*SUM(OFFSET(BC4,0,0,1,$A$14*4)), "")</f>
        <v/>
      </c>
      <c r="BE12" s="123" t="str">
        <f t="shared" ref="BE12" ca="1" si="478">IF(BF12&lt;&gt;"", $A$14&amp;" meses de café", "")</f>
        <v/>
      </c>
      <c r="BF12" s="111" t="str">
        <f t="shared" ref="BF12" ca="1" si="479">IF(AND(NOT(ISBLANK(BE$1)), MOD(BE$1,$A$14)=0), -$A$2*SUM(OFFSET(BE4,0,0,1,$A$14*4)), "")</f>
        <v/>
      </c>
      <c r="BG12" s="123" t="str">
        <f t="shared" ref="BG12" ca="1" si="480">IF(BH12&lt;&gt;"", $A$14&amp;" meses de café", "")</f>
        <v/>
      </c>
      <c r="BH12" s="111" t="str">
        <f t="shared" ref="BH12" ca="1" si="481">IF(AND(NOT(ISBLANK(BG$1)), MOD(BG$1,$A$14)=0), -$A$2*SUM(OFFSET(BG4,0,0,1,$A$14*4)), "")</f>
        <v/>
      </c>
      <c r="BI12" s="123" t="str">
        <f t="shared" ref="BI12" ca="1" si="482">IF(BJ12&lt;&gt;"", $A$14&amp;" meses de café", "")</f>
        <v/>
      </c>
      <c r="BJ12" s="111" t="str">
        <f t="shared" ref="BJ12" ca="1" si="483">IF(AND(NOT(ISBLANK(BI$1)), MOD(BI$1,$A$14)=0), -$A$2*SUM(OFFSET(BI4,0,0,1,$A$14*4)), "")</f>
        <v/>
      </c>
      <c r="BK12" s="123" t="str">
        <f t="shared" ref="BK12" ca="1" si="484">IF(BL12&lt;&gt;"", $A$14&amp;" meses de café", "")</f>
        <v>3 meses de café</v>
      </c>
      <c r="BL12" s="111">
        <f t="shared" ref="BL12" ca="1" si="485">IF(AND(NOT(ISBLANK(BK$1)), MOD(BK$1,$A$14)=0), -$A$2*SUM(OFFSET(BK4,0,0,1,$A$14*4)), "")</f>
        <v>-46500</v>
      </c>
      <c r="BM12" s="123" t="str">
        <f t="shared" ref="BM12" ca="1" si="486">IF(BN12&lt;&gt;"", $A$14&amp;" meses de café", "")</f>
        <v/>
      </c>
      <c r="BN12" s="111" t="str">
        <f t="shared" ref="BN12" ca="1" si="487">IF(AND(NOT(ISBLANK(BM$1)), MOD(BM$1,$A$14)=0), -$A$2*SUM(OFFSET(BM4,0,0,1,$A$14*4)), "")</f>
        <v/>
      </c>
      <c r="BO12" s="123" t="str">
        <f t="shared" ref="BO12" ca="1" si="488">IF(BP12&lt;&gt;"", $A$14&amp;" meses de café", "")</f>
        <v/>
      </c>
      <c r="BP12" s="111" t="str">
        <f t="shared" ref="BP12" ca="1" si="489">IF(AND(NOT(ISBLANK(BO$1)), MOD(BO$1,$A$14)=0), -$A$2*SUM(OFFSET(BO4,0,0,1,$A$14*4)), "")</f>
        <v/>
      </c>
      <c r="BQ12" s="123" t="str">
        <f t="shared" ref="BQ12" ca="1" si="490">IF(BR12&lt;&gt;"", $A$14&amp;" meses de café", "")</f>
        <v/>
      </c>
      <c r="BR12" s="111" t="str">
        <f t="shared" ref="BR12" ca="1" si="491">IF(AND(NOT(ISBLANK(BQ$1)), MOD(BQ$1,$A$14)=0), -$A$2*SUM(OFFSET(BQ4,0,0,1,$A$14*4)), "")</f>
        <v/>
      </c>
      <c r="BS12" s="123" t="str">
        <f t="shared" ref="BS12" ca="1" si="492">IF(BT12&lt;&gt;"", $A$14&amp;" meses de café", "")</f>
        <v/>
      </c>
      <c r="BT12" s="111" t="str">
        <f t="shared" ref="BT12" ca="1" si="493">IF(AND(NOT(ISBLANK(BS$1)), MOD(BS$1,$A$14)=0), -$A$2*SUM(OFFSET(BS4,0,0,1,$A$14*4)), "")</f>
        <v/>
      </c>
      <c r="BU12" s="123" t="str">
        <f t="shared" ref="BU12" ca="1" si="494">IF(BV12&lt;&gt;"", $A$14&amp;" meses de café", "")</f>
        <v/>
      </c>
      <c r="BV12" s="111" t="str">
        <f t="shared" ref="BV12" ca="1" si="495">IF(AND(NOT(ISBLANK(BU$1)), MOD(BU$1,$A$14)=0), -$A$2*SUM(OFFSET(BU4,0,0,1,$A$14*4)), "")</f>
        <v/>
      </c>
      <c r="BW12" s="123" t="str">
        <f t="shared" ref="BW12" ca="1" si="496">IF(BX12&lt;&gt;"", $A$14&amp;" meses de café", "")</f>
        <v>3 meses de café</v>
      </c>
      <c r="BX12" s="111">
        <f t="shared" ref="BX12" ca="1" si="497">IF(AND(NOT(ISBLANK(BW$1)), MOD(BW$1,$A$14)=0), -$A$2*SUM(OFFSET(BW4,0,0,1,$A$14*4)), "")</f>
        <v>-49600</v>
      </c>
      <c r="BY12" s="123" t="str">
        <f t="shared" ref="BY12" ca="1" si="498">IF(BZ12&lt;&gt;"", $A$14&amp;" meses de café", "")</f>
        <v/>
      </c>
      <c r="BZ12" s="111" t="str">
        <f t="shared" ref="BZ12" ca="1" si="499">IF(AND(NOT(ISBLANK(BY$1)), MOD(BY$1,$A$14)=0), -$A$2*SUM(OFFSET(BY4,0,0,1,$A$14*4)), "")</f>
        <v/>
      </c>
      <c r="CA12" s="123" t="str">
        <f t="shared" ref="CA12" ca="1" si="500">IF(CB12&lt;&gt;"", $A$14&amp;" meses de café", "")</f>
        <v/>
      </c>
      <c r="CB12" s="111" t="str">
        <f t="shared" ref="CB12" ca="1" si="501">IF(AND(NOT(ISBLANK(CA$1)), MOD(CA$1,$A$14)=0), -$A$2*SUM(OFFSET(CA4,0,0,1,$A$14*4)), "")</f>
        <v/>
      </c>
      <c r="CC12" s="123" t="str">
        <f t="shared" ref="CC12" ca="1" si="502">IF(CD12&lt;&gt;"", $A$14&amp;" meses de café", "")</f>
        <v/>
      </c>
      <c r="CD12" s="111" t="str">
        <f t="shared" ref="CD12" ca="1" si="503">IF(AND(NOT(ISBLANK(CC$1)), MOD(CC$1,$A$14)=0), -$A$2*SUM(OFFSET(CC4,0,0,1,$A$14*4)), "")</f>
        <v/>
      </c>
      <c r="CE12" s="123" t="str">
        <f t="shared" ref="CE12" ca="1" si="504">IF(CF12&lt;&gt;"", $A$14&amp;" meses de café", "")</f>
        <v/>
      </c>
      <c r="CF12" s="111" t="str">
        <f t="shared" ref="CF12" ca="1" si="505">IF(AND(NOT(ISBLANK(CE$1)), MOD(CE$1,$A$14)=0), -$A$2*SUM(OFFSET(CE4,0,0,1,$A$14*4)), "")</f>
        <v/>
      </c>
      <c r="CG12" s="123" t="str">
        <f t="shared" ref="CG12" ca="1" si="506">IF(CH12&lt;&gt;"", $A$14&amp;" meses de café", "")</f>
        <v/>
      </c>
      <c r="CH12" s="111" t="str">
        <f t="shared" ref="CH12" ca="1" si="507">IF(AND(NOT(ISBLANK(CG$1)), MOD(CG$1,$A$14)=0), -$A$2*SUM(OFFSET(CG4,0,0,1,$A$14*4)), "")</f>
        <v/>
      </c>
      <c r="CI12" s="123" t="str">
        <f t="shared" ref="CI12" ca="1" si="508">IF(CJ12&lt;&gt;"", $A$14&amp;" meses de café", "")</f>
        <v>3 meses de café</v>
      </c>
      <c r="CJ12" s="111">
        <f t="shared" ref="CJ12" ca="1" si="509">IF(AND(NOT(ISBLANK(CI$1)), MOD(CI$1,$A$14)=0), -$A$2*SUM(OFFSET(CI4,0,0,1,$A$14*4)), "")</f>
        <v>-55800</v>
      </c>
      <c r="CK12" s="123" t="str">
        <f t="shared" ref="CK12" ca="1" si="510">IF(CL12&lt;&gt;"", $A$14&amp;" meses de café", "")</f>
        <v/>
      </c>
      <c r="CL12" s="111" t="str">
        <f t="shared" ref="CL12" ca="1" si="511">IF(AND(NOT(ISBLANK(CK$1)), MOD(CK$1,$A$14)=0), -$A$2*SUM(OFFSET(CK4,0,0,1,$A$14*4)), "")</f>
        <v/>
      </c>
      <c r="CM12" s="123" t="str">
        <f t="shared" ref="CM12" ca="1" si="512">IF(CN12&lt;&gt;"", $A$14&amp;" meses de café", "")</f>
        <v/>
      </c>
      <c r="CN12" s="111" t="str">
        <f t="shared" ref="CN12" ca="1" si="513">IF(AND(NOT(ISBLANK(CM$1)), MOD(CM$1,$A$14)=0), -$A$2*SUM(OFFSET(CM4,0,0,1,$A$14*4)), "")</f>
        <v/>
      </c>
      <c r="CO12" s="123" t="str">
        <f t="shared" ref="CO12" ca="1" si="514">IF(CP12&lt;&gt;"", $A$14&amp;" meses de café", "")</f>
        <v/>
      </c>
      <c r="CP12" s="111" t="str">
        <f t="shared" ref="CP12" ca="1" si="515">IF(AND(NOT(ISBLANK(CO$1)), MOD(CO$1,$A$14)=0), -$A$2*SUM(OFFSET(CO4,0,0,1,$A$14*4)), "")</f>
        <v/>
      </c>
      <c r="CQ12" s="123" t="str">
        <f t="shared" ref="CQ12" ca="1" si="516">IF(CR12&lt;&gt;"", $A$14&amp;" meses de café", "")</f>
        <v/>
      </c>
      <c r="CR12" s="111" t="str">
        <f t="shared" ref="CR12" ca="1" si="517">IF(AND(NOT(ISBLANK(CQ$1)), MOD(CQ$1,$A$14)=0), -$A$2*SUM(OFFSET(CQ4,0,0,1,$A$14*4)), "")</f>
        <v/>
      </c>
      <c r="CS12" s="123" t="str">
        <f t="shared" ref="CS12" ca="1" si="518">IF(CT12&lt;&gt;"", $A$14&amp;" meses de café", "")</f>
        <v/>
      </c>
      <c r="CT12" s="111" t="str">
        <f t="shared" ref="CT12" ca="1" si="519">IF(AND(NOT(ISBLANK(CS$1)), MOD(CS$1,$A$14)=0), -$A$2*SUM(OFFSET(CS4,0,0,1,$A$14*4)), "")</f>
        <v/>
      </c>
      <c r="CU12" s="123" t="str">
        <f t="shared" ref="CU12" ca="1" si="520">IF(CV12&lt;&gt;"", $A$14&amp;" meses de café", "")</f>
        <v>3 meses de café</v>
      </c>
      <c r="CV12" s="111">
        <f t="shared" ref="CV12" ca="1" si="521">IF(AND(NOT(ISBLANK(CU$1)), MOD(CU$1,$A$14)=0), -$A$2*SUM(OFFSET(CU4,0,0,1,$A$14*4)), "")</f>
        <v>-55800</v>
      </c>
      <c r="CW12" s="123" t="str">
        <f t="shared" ref="CW12" ca="1" si="522">IF(CX12&lt;&gt;"", $A$14&amp;" meses de café", "")</f>
        <v/>
      </c>
      <c r="CX12" s="111" t="str">
        <f t="shared" ref="CX12" ca="1" si="523">IF(AND(NOT(ISBLANK(CW$1)), MOD(CW$1,$A$14)=0), -$A$2*SUM(OFFSET(CW4,0,0,1,$A$14*4)), "")</f>
        <v/>
      </c>
      <c r="CY12" s="123" t="str">
        <f t="shared" ref="CY12" ca="1" si="524">IF(CZ12&lt;&gt;"", $A$14&amp;" meses de café", "")</f>
        <v/>
      </c>
      <c r="CZ12" s="111" t="str">
        <f t="shared" ref="CZ12" ca="1" si="525">IF(AND(NOT(ISBLANK(CY$1)), MOD(CY$1,$A$14)=0), -$A$2*SUM(OFFSET(CY4,0,0,1,$A$14*4)), "")</f>
        <v/>
      </c>
      <c r="DA12" s="123" t="str">
        <f t="shared" ref="DA12" ca="1" si="526">IF(DB12&lt;&gt;"", $A$14&amp;" meses de café", "")</f>
        <v/>
      </c>
      <c r="DB12" s="111" t="str">
        <f t="shared" ref="DB12" ca="1" si="527">IF(AND(NOT(ISBLANK(DA$1)), MOD(DA$1,$A$14)=0), -$A$2*SUM(OFFSET(DA4,0,0,1,$A$14*4)), "")</f>
        <v/>
      </c>
      <c r="DC12" s="123" t="str">
        <f t="shared" ref="DC12" ca="1" si="528">IF(DD12&lt;&gt;"", $A$14&amp;" meses de café", "")</f>
        <v/>
      </c>
      <c r="DD12" s="111" t="str">
        <f t="shared" ref="DD12" ca="1" si="529">IF(AND(NOT(ISBLANK(DC$1)), MOD(DC$1,$A$14)=0), -$A$2*SUM(OFFSET(DC4,0,0,1,$A$14*4)), "")</f>
        <v/>
      </c>
      <c r="DE12" s="123" t="str">
        <f t="shared" ref="DE12" ca="1" si="530">IF(DF12&lt;&gt;"", $A$14&amp;" meses de café", "")</f>
        <v/>
      </c>
      <c r="DF12" s="111" t="str">
        <f t="shared" ref="DF12" ca="1" si="531">IF(AND(NOT(ISBLANK(DE$1)), MOD(DE$1,$A$14)=0), -$A$2*SUM(OFFSET(DE4,0,0,1,$A$14*4)), "")</f>
        <v/>
      </c>
      <c r="DG12" s="123" t="str">
        <f t="shared" ref="DG12" ca="1" si="532">IF(DH12&lt;&gt;"", $A$14&amp;" meses de café", "")</f>
        <v>3 meses de café</v>
      </c>
      <c r="DH12" s="111">
        <f t="shared" ref="DH12" ca="1" si="533">IF(AND(NOT(ISBLANK(DG$1)), MOD(DG$1,$A$14)=0), -$A$2*SUM(OFFSET(DG4,0,0,1,$A$14*4)), "")</f>
        <v>-65100</v>
      </c>
      <c r="DI12" s="123" t="str">
        <f t="shared" ref="DI12" ca="1" si="534">IF(DJ12&lt;&gt;"", $A$14&amp;" meses de café", "")</f>
        <v/>
      </c>
      <c r="DJ12" s="111" t="str">
        <f t="shared" ref="DJ12" ca="1" si="535">IF(AND(NOT(ISBLANK(DI$1)), MOD(DI$1,$A$14)=0), -$A$2*SUM(OFFSET(DI4,0,0,1,$A$14*4)), "")</f>
        <v/>
      </c>
      <c r="DK12" s="123" t="str">
        <f t="shared" ref="DK12" ca="1" si="536">IF(DL12&lt;&gt;"", $A$14&amp;" meses de café", "")</f>
        <v/>
      </c>
      <c r="DL12" s="111" t="str">
        <f t="shared" ref="DL12" ca="1" si="537">IF(AND(NOT(ISBLANK(DK$1)), MOD(DK$1,$A$14)=0), -$A$2*SUM(OFFSET(DK4,0,0,1,$A$14*4)), "")</f>
        <v/>
      </c>
      <c r="DM12" s="123" t="str">
        <f t="shared" ref="DM12" ca="1" si="538">IF(DN12&lt;&gt;"", $A$14&amp;" meses de café", "")</f>
        <v/>
      </c>
      <c r="DN12" s="111" t="str">
        <f t="shared" ref="DN12" ca="1" si="539">IF(AND(NOT(ISBLANK(DM$1)), MOD(DM$1,$A$14)=0), -$A$2*SUM(OFFSET(DM4,0,0,1,$A$14*4)), "")</f>
        <v/>
      </c>
      <c r="DO12" s="123" t="str">
        <f t="shared" ref="DO12" ca="1" si="540">IF(DP12&lt;&gt;"", $A$14&amp;" meses de café", "")</f>
        <v/>
      </c>
      <c r="DP12" s="111" t="str">
        <f t="shared" ref="DP12" ca="1" si="541">IF(AND(NOT(ISBLANK(DO$1)), MOD(DO$1,$A$14)=0), -$A$2*SUM(OFFSET(DO4,0,0,1,$A$14*4)), "")</f>
        <v/>
      </c>
      <c r="DQ12" s="123" t="str">
        <f t="shared" ref="DQ12" ca="1" si="542">IF(DR12&lt;&gt;"", $A$14&amp;" meses de café", "")</f>
        <v/>
      </c>
      <c r="DR12" s="111" t="str">
        <f t="shared" ref="DR12" ca="1" si="543">IF(AND(NOT(ISBLANK(DQ$1)), MOD(DQ$1,$A$14)=0), -$A$2*SUM(OFFSET(DQ4,0,0,1,$A$14*4)), "")</f>
        <v/>
      </c>
      <c r="DS12" s="123" t="str">
        <f t="shared" ref="DS12" ca="1" si="544">IF(DT12&lt;&gt;"", $A$14&amp;" meses de café", "")</f>
        <v>3 meses de café</v>
      </c>
      <c r="DT12" s="111">
        <f t="shared" ref="DT12" ca="1" si="545">IF(AND(NOT(ISBLANK(DS$1)), MOD(DS$1,$A$14)=0), -$A$2*SUM(OFFSET(DS4,0,0,1,$A$14*4)), "")</f>
        <v>-65100</v>
      </c>
      <c r="DU12" s="123" t="str">
        <f t="shared" ref="DU12" ca="1" si="546">IF(DV12&lt;&gt;"", $A$14&amp;" meses de café", "")</f>
        <v/>
      </c>
      <c r="DV12" s="111" t="str">
        <f t="shared" ref="DV12" ca="1" si="547">IF(AND(NOT(ISBLANK(DU$1)), MOD(DU$1,$A$14)=0), -$A$2*SUM(OFFSET(DU4,0,0,1,$A$14*4)), "")</f>
        <v/>
      </c>
      <c r="DW12" s="123" t="str">
        <f t="shared" ref="DW12" ca="1" si="548">IF(DX12&lt;&gt;"", $A$14&amp;" meses de café", "")</f>
        <v/>
      </c>
      <c r="DX12" s="111" t="str">
        <f t="shared" ref="DX12" ca="1" si="549">IF(AND(NOT(ISBLANK(DW$1)), MOD(DW$1,$A$14)=0), -$A$2*SUM(OFFSET(DW4,0,0,1,$A$14*4)), "")</f>
        <v/>
      </c>
      <c r="DY12" s="123" t="str">
        <f t="shared" ref="DY12" ca="1" si="550">IF(DZ12&lt;&gt;"", $A$14&amp;" meses de café", "")</f>
        <v/>
      </c>
      <c r="DZ12" s="111" t="str">
        <f t="shared" ref="DZ12" ca="1" si="551">IF(AND(NOT(ISBLANK(DY$1)), MOD(DY$1,$A$14)=0), -$A$2*SUM(OFFSET(DY4,0,0,1,$A$14*4)), "")</f>
        <v/>
      </c>
      <c r="EA12" s="123" t="str">
        <f t="shared" ref="EA12" ca="1" si="552">IF(EB12&lt;&gt;"", $A$14&amp;" meses de café", "")</f>
        <v/>
      </c>
      <c r="EB12" s="111" t="str">
        <f t="shared" ref="EB12" ca="1" si="553">IF(AND(NOT(ISBLANK(EA$1)), MOD(EA$1,$A$14)=0), -$A$2*SUM(OFFSET(EA4,0,0,1,$A$14*4)), "")</f>
        <v/>
      </c>
      <c r="EC12" s="123" t="str">
        <f t="shared" ref="EC12" ca="1" si="554">IF(ED12&lt;&gt;"", $A$14&amp;" meses de café", "")</f>
        <v/>
      </c>
      <c r="ED12" s="111" t="str">
        <f t="shared" ref="ED12" ca="1" si="555">IF(AND(NOT(ISBLANK(EC$1)), MOD(EC$1,$A$14)=0), -$A$2*SUM(OFFSET(EC4,0,0,1,$A$14*4)), "")</f>
        <v/>
      </c>
      <c r="EE12" s="123" t="str">
        <f t="shared" ref="EE12" ca="1" si="556">IF(EF12&lt;&gt;"", $A$14&amp;" meses de café", "")</f>
        <v>3 meses de café</v>
      </c>
      <c r="EF12" s="111">
        <f t="shared" ref="EF12" ca="1" si="557">IF(AND(NOT(ISBLANK(EE$1)), MOD(EE$1,$A$14)=0), -$A$2*SUM(OFFSET(EE4,0,0,1,$A$14*4)), "")</f>
        <v>-71300</v>
      </c>
      <c r="EG12" s="123" t="str">
        <f t="shared" ref="EG12" ca="1" si="558">IF(EH12&lt;&gt;"", $A$14&amp;" meses de café", "")</f>
        <v/>
      </c>
      <c r="EH12" s="111" t="str">
        <f t="shared" ref="EH12" ca="1" si="559">IF(AND(NOT(ISBLANK(EG$1)), MOD(EG$1,$A$14)=0), -$A$2*SUM(OFFSET(EG4,0,0,1,$A$14*4)), "")</f>
        <v/>
      </c>
      <c r="EI12" s="123" t="str">
        <f t="shared" ref="EI12" ca="1" si="560">IF(EJ12&lt;&gt;"", $A$14&amp;" meses de café", "")</f>
        <v/>
      </c>
      <c r="EJ12" s="111" t="str">
        <f t="shared" ref="EJ12" ca="1" si="561">IF(AND(NOT(ISBLANK(EI$1)), MOD(EI$1,$A$14)=0), -$A$2*SUM(OFFSET(EI4,0,0,1,$A$14*4)), "")</f>
        <v/>
      </c>
      <c r="EK12" s="123" t="str">
        <f t="shared" ref="EK12" ca="1" si="562">IF(EL12&lt;&gt;"", $A$14&amp;" meses de café", "")</f>
        <v/>
      </c>
      <c r="EL12" s="111" t="str">
        <f t="shared" ref="EL12" ca="1" si="563">IF(AND(NOT(ISBLANK(EK$1)), MOD(EK$1,$A$14)=0), -$A$2*SUM(OFFSET(EK4,0,0,1,$A$14*4)), "")</f>
        <v/>
      </c>
      <c r="EM12" s="123" t="str">
        <f t="shared" ref="EM12" ca="1" si="564">IF(EN12&lt;&gt;"", $A$14&amp;" meses de café", "")</f>
        <v/>
      </c>
      <c r="EN12" s="111" t="str">
        <f t="shared" ref="EN12" ca="1" si="565">IF(AND(NOT(ISBLANK(EM$1)), MOD(EM$1,$A$14)=0), -$A$2*SUM(OFFSET(EM4,0,0,1,$A$14*4)), "")</f>
        <v/>
      </c>
      <c r="EO12" s="123" t="str">
        <f t="shared" ref="EO12" ca="1" si="566">IF(EP12&lt;&gt;"", $A$14&amp;" meses de café", "")</f>
        <v/>
      </c>
      <c r="EP12" s="111" t="str">
        <f t="shared" ref="EP12" ca="1" si="567">IF(AND(NOT(ISBLANK(EO$1)), MOD(EO$1,$A$14)=0), -$A$2*SUM(OFFSET(EO4,0,0,1,$A$14*4)), "")</f>
        <v/>
      </c>
      <c r="EQ12" s="123" t="str">
        <f t="shared" ref="EQ12" ca="1" si="568">IF(ER12&lt;&gt;"", $A$14&amp;" meses de café", "")</f>
        <v>3 meses de café</v>
      </c>
      <c r="ER12" s="111">
        <f t="shared" ref="ER12" ca="1" si="569">IF(AND(NOT(ISBLANK(EQ$1)), MOD(EQ$1,$A$14)=0), -$A$2*SUM(OFFSET(EQ4,0,0,1,$A$14*4)), "")</f>
        <v>-74400</v>
      </c>
      <c r="ES12" s="123" t="str">
        <f t="shared" ref="ES12" ca="1" si="570">IF(ET12&lt;&gt;"", $A$14&amp;" meses de café", "")</f>
        <v/>
      </c>
      <c r="ET12" s="111" t="str">
        <f t="shared" ref="ET12" ca="1" si="571">IF(AND(NOT(ISBLANK(ES$1)), MOD(ES$1,$A$14)=0), -$A$2*SUM(OFFSET(ES4,0,0,1,$A$14*4)), "")</f>
        <v/>
      </c>
      <c r="EU12" s="123" t="str">
        <f t="shared" ref="EU12" ca="1" si="572">IF(EV12&lt;&gt;"", $A$14&amp;" meses de café", "")</f>
        <v/>
      </c>
      <c r="EV12" s="111" t="str">
        <f t="shared" ref="EV12" ca="1" si="573">IF(AND(NOT(ISBLANK(EU$1)), MOD(EU$1,$A$14)=0), -$A$2*SUM(OFFSET(EU4,0,0,1,$A$14*4)), "")</f>
        <v/>
      </c>
      <c r="EW12" s="123" t="str">
        <f t="shared" ref="EW12" ca="1" si="574">IF(EX12&lt;&gt;"", $A$14&amp;" meses de café", "")</f>
        <v/>
      </c>
      <c r="EX12" s="111" t="str">
        <f t="shared" ref="EX12" ca="1" si="575">IF(AND(NOT(ISBLANK(EW$1)), MOD(EW$1,$A$14)=0), -$A$2*SUM(OFFSET(EW4,0,0,1,$A$14*4)), "")</f>
        <v/>
      </c>
      <c r="EY12" s="123" t="str">
        <f t="shared" ref="EY12" ca="1" si="576">IF(EZ12&lt;&gt;"", $A$14&amp;" meses de café", "")</f>
        <v/>
      </c>
      <c r="EZ12" s="111" t="str">
        <f t="shared" ref="EZ12" ca="1" si="577">IF(AND(NOT(ISBLANK(EY$1)), MOD(EY$1,$A$14)=0), -$A$2*SUM(OFFSET(EY4,0,0,1,$A$14*4)), "")</f>
        <v/>
      </c>
      <c r="FA12" s="123" t="str">
        <f t="shared" ref="FA12" ca="1" si="578">IF(FB12&lt;&gt;"", $A$14&amp;" meses de café", "")</f>
        <v/>
      </c>
      <c r="FB12" s="111" t="str">
        <f t="shared" ref="FB12" ca="1" si="579">IF(AND(NOT(ISBLANK(FA$1)), MOD(FA$1,$A$14)=0), -$A$2*SUM(OFFSET(FA4,0,0,1,$A$14*4)), "")</f>
        <v/>
      </c>
      <c r="FC12" s="123" t="str">
        <f t="shared" ref="FC12" ca="1" si="580">IF(FD12&lt;&gt;"", $A$14&amp;" meses de café", "")</f>
        <v>3 meses de café</v>
      </c>
      <c r="FD12" s="111">
        <f t="shared" ref="FD12" ca="1" si="581">IF(AND(NOT(ISBLANK(FC$1)), MOD(FC$1,$A$14)=0), -$A$2*SUM(OFFSET(FC4,0,0,1,$A$14*4)), "")</f>
        <v>-80600</v>
      </c>
      <c r="FE12" s="123" t="str">
        <f t="shared" ref="FE12" ca="1" si="582">IF(FF12&lt;&gt;"", $A$14&amp;" meses de café", "")</f>
        <v/>
      </c>
      <c r="FF12" s="111" t="str">
        <f t="shared" ref="FF12" ca="1" si="583">IF(AND(NOT(ISBLANK(FE$1)), MOD(FE$1,$A$14)=0), -$A$2*SUM(OFFSET(FE4,0,0,1,$A$14*4)), "")</f>
        <v/>
      </c>
      <c r="FG12" s="123" t="str">
        <f t="shared" ref="FG12" ca="1" si="584">IF(FH12&lt;&gt;"", $A$14&amp;" meses de café", "")</f>
        <v/>
      </c>
      <c r="FH12" s="111" t="str">
        <f t="shared" ref="FH12" ca="1" si="585">IF(AND(NOT(ISBLANK(FG$1)), MOD(FG$1,$A$14)=0), -$A$2*SUM(OFFSET(FG4,0,0,1,$A$14*4)), "")</f>
        <v/>
      </c>
      <c r="FI12" s="123" t="str">
        <f t="shared" ref="FI12" ca="1" si="586">IF(FJ12&lt;&gt;"", $A$14&amp;" meses de café", "")</f>
        <v/>
      </c>
      <c r="FJ12" s="111" t="str">
        <f t="shared" ref="FJ12" ca="1" si="587">IF(AND(NOT(ISBLANK(FI$1)), MOD(FI$1,$A$14)=0), -$A$2*SUM(OFFSET(FI4,0,0,1,$A$14*4)), "")</f>
        <v/>
      </c>
      <c r="FK12" s="123" t="str">
        <f t="shared" ref="FK12" ca="1" si="588">IF(FL12&lt;&gt;"", $A$14&amp;" meses de café", "")</f>
        <v/>
      </c>
      <c r="FL12" s="111" t="str">
        <f t="shared" ref="FL12" ca="1" si="589">IF(AND(NOT(ISBLANK(FK$1)), MOD(FK$1,$A$14)=0), -$A$2*SUM(OFFSET(FK4,0,0,1,$A$14*4)), "")</f>
        <v/>
      </c>
      <c r="FM12" s="123" t="str">
        <f t="shared" ref="FM12" ca="1" si="590">IF(FN12&lt;&gt;"", $A$14&amp;" meses de café", "")</f>
        <v/>
      </c>
      <c r="FN12" s="111" t="str">
        <f t="shared" ref="FN12" ca="1" si="591">IF(AND(NOT(ISBLANK(FM$1)), MOD(FM$1,$A$14)=0), -$A$2*SUM(OFFSET(FM4,0,0,1,$A$14*4)), "")</f>
        <v/>
      </c>
      <c r="FO12" s="123" t="str">
        <f t="shared" ref="FO12" ca="1" si="592">IF(FP12&lt;&gt;"", $A$14&amp;" meses de café", "")</f>
        <v>3 meses de café</v>
      </c>
      <c r="FP12" s="111">
        <f t="shared" ref="FP12" ca="1" si="593">IF(AND(NOT(ISBLANK(FO$1)), MOD(FO$1,$A$14)=0), -$A$2*SUM(OFFSET(FO4,0,0,1,$A$14*4)), "")</f>
        <v>-83700</v>
      </c>
      <c r="FQ12" s="123" t="str">
        <f t="shared" ref="FQ12" ca="1" si="594">IF(FR12&lt;&gt;"", $A$14&amp;" meses de café", "")</f>
        <v/>
      </c>
      <c r="FR12" s="111" t="str">
        <f t="shared" ref="FR12" ca="1" si="595">IF(AND(NOT(ISBLANK(FQ$1)), MOD(FQ$1,$A$14)=0), -$A$2*SUM(OFFSET(FQ4,0,0,1,$A$14*4)), "")</f>
        <v/>
      </c>
      <c r="FS12" s="123" t="str">
        <f t="shared" ref="FS12" ca="1" si="596">IF(FT12&lt;&gt;"", $A$14&amp;" meses de café", "")</f>
        <v/>
      </c>
      <c r="FT12" s="111" t="str">
        <f t="shared" ref="FT12" ca="1" si="597">IF(AND(NOT(ISBLANK(FS$1)), MOD(FS$1,$A$14)=0), -$A$2*SUM(OFFSET(FS4,0,0,1,$A$14*4)), "")</f>
        <v/>
      </c>
      <c r="FU12" s="123" t="str">
        <f t="shared" ref="FU12" ca="1" si="598">IF(FV12&lt;&gt;"", $A$14&amp;" meses de café", "")</f>
        <v/>
      </c>
      <c r="FV12" s="111" t="str">
        <f t="shared" ref="FV12" ca="1" si="599">IF(AND(NOT(ISBLANK(FU$1)), MOD(FU$1,$A$14)=0), -$A$2*SUM(OFFSET(FU4,0,0,1,$A$14*4)), "")</f>
        <v/>
      </c>
      <c r="FW12" s="123" t="str">
        <f t="shared" ref="FW12" ca="1" si="600">IF(FX12&lt;&gt;"", $A$14&amp;" meses de café", "")</f>
        <v/>
      </c>
      <c r="FX12" s="111" t="str">
        <f t="shared" ref="FX12" ca="1" si="601">IF(AND(NOT(ISBLANK(FW$1)), MOD(FW$1,$A$14)=0), -$A$2*SUM(OFFSET(FW4,0,0,1,$A$14*4)), "")</f>
        <v/>
      </c>
      <c r="FY12" s="123" t="str">
        <f t="shared" ref="FY12" ca="1" si="602">IF(FZ12&lt;&gt;"", $A$14&amp;" meses de café", "")</f>
        <v/>
      </c>
      <c r="FZ12" s="111" t="str">
        <f t="shared" ref="FZ12" ca="1" si="603">IF(AND(NOT(ISBLANK(FY$1)), MOD(FY$1,$A$14)=0), -$A$2*SUM(OFFSET(FY4,0,0,1,$A$14*4)), "")</f>
        <v/>
      </c>
      <c r="GA12" s="123" t="str">
        <f t="shared" ref="GA12" ca="1" si="604">IF(GB12&lt;&gt;"", $A$14&amp;" meses de café", "")</f>
        <v>3 meses de café</v>
      </c>
      <c r="GB12" s="111">
        <f t="shared" ref="GB12" ca="1" si="605">IF(AND(NOT(ISBLANK(GA$1)), MOD(GA$1,$A$14)=0), -$A$2*SUM(OFFSET(GA4,0,0,1,$A$14*4)), "")</f>
        <v>-86800</v>
      </c>
      <c r="GC12" s="123" t="str">
        <f t="shared" ref="GC12" ca="1" si="606">IF(GD12&lt;&gt;"", $A$14&amp;" meses de café", "")</f>
        <v/>
      </c>
      <c r="GD12" s="111" t="str">
        <f t="shared" ref="GD12" ca="1" si="607">IF(AND(NOT(ISBLANK(GC$1)), MOD(GC$1,$A$14)=0), -$A$2*SUM(OFFSET(GC4,0,0,1,$A$14*4)), "")</f>
        <v/>
      </c>
      <c r="GE12" s="123" t="str">
        <f t="shared" ref="GE12" ca="1" si="608">IF(GF12&lt;&gt;"", $A$14&amp;" meses de café", "")</f>
        <v/>
      </c>
      <c r="GF12" s="111" t="str">
        <f t="shared" ref="GF12" ca="1" si="609">IF(AND(NOT(ISBLANK(GE$1)), MOD(GE$1,$A$14)=0), -$A$2*SUM(OFFSET(GE4,0,0,1,$A$14*4)), "")</f>
        <v/>
      </c>
      <c r="GG12" s="123" t="str">
        <f t="shared" ref="GG12" ca="1" si="610">IF(GH12&lt;&gt;"", $A$14&amp;" meses de café", "")</f>
        <v/>
      </c>
      <c r="GH12" s="111" t="str">
        <f t="shared" ref="GH12" ca="1" si="611">IF(AND(NOT(ISBLANK(GG$1)), MOD(GG$1,$A$14)=0), -$A$2*SUM(OFFSET(GG4,0,0,1,$A$14*4)), "")</f>
        <v/>
      </c>
      <c r="GI12" s="123" t="str">
        <f t="shared" ref="GI12" ca="1" si="612">IF(GJ12&lt;&gt;"", $A$14&amp;" meses de café", "")</f>
        <v/>
      </c>
      <c r="GJ12" s="111" t="str">
        <f t="shared" ref="GJ12" ca="1" si="613">IF(AND(NOT(ISBLANK(GI$1)), MOD(GI$1,$A$14)=0), -$A$2*SUM(OFFSET(GI4,0,0,1,$A$14*4)), "")</f>
        <v/>
      </c>
      <c r="GK12" s="123" t="str">
        <f t="shared" ref="GK12" ca="1" si="614">IF(GL12&lt;&gt;"", $A$14&amp;" meses de café", "")</f>
        <v/>
      </c>
      <c r="GL12" s="111" t="str">
        <f t="shared" ref="GL12" ca="1" si="615">IF(AND(NOT(ISBLANK(GK$1)), MOD(GK$1,$A$14)=0), -$A$2*SUM(OFFSET(GK4,0,0,1,$A$14*4)), "")</f>
        <v/>
      </c>
      <c r="GM12" s="123" t="str">
        <f t="shared" ref="GM12" ca="1" si="616">IF(GN12&lt;&gt;"", $A$14&amp;" meses de café", "")</f>
        <v>3 meses de café</v>
      </c>
      <c r="GN12" s="111">
        <f t="shared" ref="GN12" ca="1" si="617">IF(AND(NOT(ISBLANK(GM$1)), MOD(GM$1,$A$14)=0), -$A$2*SUM(OFFSET(GM4,0,0,1,$A$14*4)), "")</f>
        <v>-93000</v>
      </c>
      <c r="GO12" s="123" t="str">
        <f t="shared" ref="GO12" ca="1" si="618">IF(GP12&lt;&gt;"", $A$14&amp;" meses de café", "")</f>
        <v/>
      </c>
      <c r="GP12" s="111" t="str">
        <f t="shared" ref="GP12" ca="1" si="619">IF(AND(NOT(ISBLANK(GO$1)), MOD(GO$1,$A$14)=0), -$A$2*SUM(OFFSET(GO4,0,0,1,$A$14*4)), "")</f>
        <v/>
      </c>
      <c r="GQ12" s="123" t="str">
        <f t="shared" ref="GQ12" ca="1" si="620">IF(GR12&lt;&gt;"", $A$14&amp;" meses de café", "")</f>
        <v/>
      </c>
      <c r="GR12" s="111" t="str">
        <f t="shared" ref="GR12" ca="1" si="621">IF(AND(NOT(ISBLANK(GQ$1)), MOD(GQ$1,$A$14)=0), -$A$2*SUM(OFFSET(GQ4,0,0,1,$A$14*4)), "")</f>
        <v/>
      </c>
      <c r="GS12" s="123" t="str">
        <f t="shared" ref="GS12" ca="1" si="622">IF(GT12&lt;&gt;"", $A$14&amp;" meses de café", "")</f>
        <v/>
      </c>
      <c r="GT12" s="111" t="str">
        <f t="shared" ref="GT12" ca="1" si="623">IF(AND(NOT(ISBLANK(GS$1)), MOD(GS$1,$A$14)=0), -$A$2*SUM(OFFSET(GS4,0,0,1,$A$14*4)), "")</f>
        <v/>
      </c>
      <c r="GU12" s="123" t="str">
        <f t="shared" ref="GU12" ca="1" si="624">IF(GV12&lt;&gt;"", $A$14&amp;" meses de café", "")</f>
        <v/>
      </c>
      <c r="GV12" s="111" t="str">
        <f t="shared" ref="GV12" ca="1" si="625">IF(AND(NOT(ISBLANK(GU$1)), MOD(GU$1,$A$14)=0), -$A$2*SUM(OFFSET(GU4,0,0,1,$A$14*4)), "")</f>
        <v/>
      </c>
      <c r="GW12" s="123" t="str">
        <f t="shared" ref="GW12" ca="1" si="626">IF(GX12&lt;&gt;"", $A$14&amp;" meses de café", "")</f>
        <v/>
      </c>
      <c r="GX12" s="111" t="str">
        <f t="shared" ref="GX12" ca="1" si="627">IF(AND(NOT(ISBLANK(GW$1)), MOD(GW$1,$A$14)=0), -$A$2*SUM(OFFSET(GW4,0,0,1,$A$14*4)), "")</f>
        <v/>
      </c>
      <c r="GY12" s="123" t="str">
        <f t="shared" ref="GY12" ca="1" si="628">IF(GZ12&lt;&gt;"", $A$14&amp;" meses de café", "")</f>
        <v>3 meses de café</v>
      </c>
      <c r="GZ12" s="111">
        <f t="shared" ref="GZ12" ca="1" si="629">IF(AND(NOT(ISBLANK(GY$1)), MOD(GY$1,$A$14)=0), -$A$2*SUM(OFFSET(GY4,0,0,1,$A$14*4)), "")</f>
        <v>-93000</v>
      </c>
      <c r="HA12" s="123" t="str">
        <f t="shared" ref="HA12" ca="1" si="630">IF(HB12&lt;&gt;"", $A$14&amp;" meses de café", "")</f>
        <v/>
      </c>
      <c r="HB12" s="111" t="str">
        <f t="shared" ref="HB12" ca="1" si="631">IF(AND(NOT(ISBLANK(HA$1)), MOD(HA$1,$A$14)=0), -$A$2*SUM(OFFSET(HA4,0,0,1,$A$14*4)), "")</f>
        <v/>
      </c>
      <c r="HC12" s="123" t="str">
        <f t="shared" ref="HC12" ca="1" si="632">IF(HD12&lt;&gt;"", $A$14&amp;" meses de café", "")</f>
        <v/>
      </c>
      <c r="HD12" s="111" t="str">
        <f t="shared" ref="HD12" ca="1" si="633">IF(AND(NOT(ISBLANK(HC$1)), MOD(HC$1,$A$14)=0), -$A$2*SUM(OFFSET(HC4,0,0,1,$A$14*4)), "")</f>
        <v/>
      </c>
      <c r="HE12" s="123" t="str">
        <f t="shared" ref="HE12" ca="1" si="634">IF(HF12&lt;&gt;"", $A$14&amp;" meses de café", "")</f>
        <v/>
      </c>
      <c r="HF12" s="111" t="str">
        <f t="shared" ref="HF12" ca="1" si="635">IF(AND(NOT(ISBLANK(HE$1)), MOD(HE$1,$A$14)=0), -$A$2*SUM(OFFSET(HE4,0,0,1,$A$14*4)), "")</f>
        <v/>
      </c>
      <c r="HG12" s="123" t="str">
        <f t="shared" ref="HG12" ca="1" si="636">IF(HH12&lt;&gt;"", $A$14&amp;" meses de café", "")</f>
        <v/>
      </c>
      <c r="HH12" s="111" t="str">
        <f t="shared" ref="HH12" ca="1" si="637">IF(AND(NOT(ISBLANK(HG$1)), MOD(HG$1,$A$14)=0), -$A$2*SUM(OFFSET(HG4,0,0,1,$A$14*4)), "")</f>
        <v/>
      </c>
      <c r="HI12" s="123" t="str">
        <f t="shared" ref="HI12" ca="1" si="638">IF(HJ12&lt;&gt;"", $A$14&amp;" meses de café", "")</f>
        <v/>
      </c>
      <c r="HJ12" s="111" t="str">
        <f t="shared" ref="HJ12" ca="1" si="639">IF(AND(NOT(ISBLANK(HI$1)), MOD(HI$1,$A$14)=0), -$A$2*SUM(OFFSET(HI4,0,0,1,$A$14*4)), "")</f>
        <v/>
      </c>
      <c r="HK12" s="123" t="str">
        <f t="shared" ref="HK12" ca="1" si="640">IF(HL12&lt;&gt;"", $A$14&amp;" meses de café", "")</f>
        <v>3 meses de café</v>
      </c>
      <c r="HL12" s="111">
        <f t="shared" ref="HL12" ca="1" si="641">IF(AND(NOT(ISBLANK(HK$1)), MOD(HK$1,$A$14)=0), -$A$2*SUM(OFFSET(HK4,0,0,1,$A$14*4)), "")</f>
        <v>-102300</v>
      </c>
      <c r="HM12" s="123" t="str">
        <f t="shared" ref="HM12" ca="1" si="642">IF(HN12&lt;&gt;"", $A$14&amp;" meses de café", "")</f>
        <v/>
      </c>
      <c r="HN12" s="111" t="str">
        <f t="shared" ref="HN12" ca="1" si="643">IF(AND(NOT(ISBLANK(HM$1)), MOD(HM$1,$A$14)=0), -$A$2*SUM(OFFSET(HM4,0,0,1,$A$14*4)), "")</f>
        <v/>
      </c>
      <c r="HO12" s="123" t="str">
        <f t="shared" ref="HO12" ca="1" si="644">IF(HP12&lt;&gt;"", $A$14&amp;" meses de café", "")</f>
        <v/>
      </c>
      <c r="HP12" s="111" t="str">
        <f t="shared" ref="HP12" ca="1" si="645">IF(AND(NOT(ISBLANK(HO$1)), MOD(HO$1,$A$14)=0), -$A$2*SUM(OFFSET(HO4,0,0,1,$A$14*4)), "")</f>
        <v/>
      </c>
      <c r="HQ12" s="123" t="str">
        <f t="shared" ref="HQ12" ca="1" si="646">IF(HR12&lt;&gt;"", $A$14&amp;" meses de café", "")</f>
        <v/>
      </c>
      <c r="HR12" s="111" t="str">
        <f t="shared" ref="HR12" ca="1" si="647">IF(AND(NOT(ISBLANK(HQ$1)), MOD(HQ$1,$A$14)=0), -$A$2*SUM(OFFSET(HQ4,0,0,1,$A$14*4)), "")</f>
        <v/>
      </c>
      <c r="HS12" s="123" t="str">
        <f t="shared" ref="HS12" ca="1" si="648">IF(HT12&lt;&gt;"", $A$14&amp;" meses de café", "")</f>
        <v/>
      </c>
      <c r="HT12" s="111" t="str">
        <f t="shared" ref="HT12" ca="1" si="649">IF(AND(NOT(ISBLANK(HS$1)), MOD(HS$1,$A$14)=0), -$A$2*SUM(OFFSET(HS4,0,0,1,$A$14*4)), "")</f>
        <v/>
      </c>
      <c r="HU12" s="123" t="str">
        <f t="shared" ref="HU12" ca="1" si="650">IF(HV12&lt;&gt;"", $A$14&amp;" meses de café", "")</f>
        <v/>
      </c>
      <c r="HV12" s="111" t="str">
        <f t="shared" ref="HV12" ca="1" si="651">IF(AND(NOT(ISBLANK(HU$1)), MOD(HU$1,$A$14)=0), -$A$2*SUM(OFFSET(HU4,0,0,1,$A$14*4)), "")</f>
        <v/>
      </c>
      <c r="HW12" s="123" t="str">
        <f t="shared" ref="HW12" ca="1" si="652">IF(HX12&lt;&gt;"", $A$14&amp;" meses de café", "")</f>
        <v>3 meses de café</v>
      </c>
      <c r="HX12" s="111">
        <f t="shared" ref="HX12" ca="1" si="653">IF(AND(NOT(ISBLANK(HW$1)), MOD(HW$1,$A$14)=0), -$A$2*SUM(OFFSET(HW4,0,0,1,$A$14*4)), "")</f>
        <v>-102300</v>
      </c>
      <c r="HY12" s="123" t="str">
        <f t="shared" ref="HY12" ca="1" si="654">IF(HZ12&lt;&gt;"", $A$14&amp;" meses de café", "")</f>
        <v/>
      </c>
      <c r="HZ12" s="111" t="str">
        <f t="shared" ref="HZ12" ca="1" si="655">IF(AND(NOT(ISBLANK(HY$1)), MOD(HY$1,$A$14)=0), -$A$2*SUM(OFFSET(HY4,0,0,1,$A$14*4)), "")</f>
        <v/>
      </c>
      <c r="IA12" s="123" t="str">
        <f t="shared" ref="IA12" ca="1" si="656">IF(IB12&lt;&gt;"", $A$14&amp;" meses de café", "")</f>
        <v/>
      </c>
      <c r="IB12" s="111" t="str">
        <f t="shared" ref="IB12" ca="1" si="657">IF(AND(NOT(ISBLANK(IA$1)), MOD(IA$1,$A$14)=0), -$A$2*SUM(OFFSET(IA4,0,0,1,$A$14*4)), "")</f>
        <v/>
      </c>
      <c r="IC12" s="123" t="str">
        <f t="shared" ref="IC12" ca="1" si="658">IF(ID12&lt;&gt;"", $A$14&amp;" meses de café", "")</f>
        <v/>
      </c>
      <c r="ID12" s="111" t="str">
        <f t="shared" ref="ID12" ca="1" si="659">IF(AND(NOT(ISBLANK(IC$1)), MOD(IC$1,$A$14)=0), -$A$2*SUM(OFFSET(IC4,0,0,1,$A$14*4)), "")</f>
        <v/>
      </c>
      <c r="IE12" s="123" t="str">
        <f t="shared" ref="IE12" ca="1" si="660">IF(IF12&lt;&gt;"", $A$14&amp;" meses de café", "")</f>
        <v/>
      </c>
      <c r="IF12" s="111" t="str">
        <f t="shared" ref="IF12" ca="1" si="661">IF(AND(NOT(ISBLANK(IE$1)), MOD(IE$1,$A$14)=0), -$A$2*SUM(OFFSET(IE4,0,0,1,$A$14*4)), "")</f>
        <v/>
      </c>
      <c r="IG12" s="123" t="str">
        <f t="shared" ref="IG12" ca="1" si="662">IF(IH12&lt;&gt;"", $A$14&amp;" meses de café", "")</f>
        <v/>
      </c>
      <c r="IH12" s="111" t="str">
        <f t="shared" ref="IH12" ca="1" si="663">IF(AND(NOT(ISBLANK(IG$1)), MOD(IG$1,$A$14)=0), -$A$2*SUM(OFFSET(IG4,0,0,1,$A$14*4)), "")</f>
        <v/>
      </c>
      <c r="II12" s="123" t="str">
        <f t="shared" ref="II12" ca="1" si="664">IF(IJ12&lt;&gt;"", $A$14&amp;" meses de café", "")</f>
        <v>3 meses de café</v>
      </c>
      <c r="IJ12" s="111">
        <f t="shared" ref="IJ12" ca="1" si="665">IF(AND(NOT(ISBLANK(II$1)), MOD(II$1,$A$14)=0), -$A$2*SUM(OFFSET(II4,0,0,1,$A$14*4)), "")</f>
        <v>-111600</v>
      </c>
      <c r="IK12" s="123" t="str">
        <f t="shared" ref="IK12" ca="1" si="666">IF(IL12&lt;&gt;"", $A$14&amp;" meses de café", "")</f>
        <v/>
      </c>
      <c r="IL12" s="111" t="str">
        <f t="shared" ref="IL12" ca="1" si="667">IF(AND(NOT(ISBLANK(IK$1)), MOD(IK$1,$A$14)=0), -$A$2*SUM(OFFSET(IK4,0,0,1,$A$14*4)), "")</f>
        <v/>
      </c>
      <c r="IM12" s="123" t="str">
        <f t="shared" ref="IM12" ca="1" si="668">IF(IN12&lt;&gt;"", $A$14&amp;" meses de café", "")</f>
        <v/>
      </c>
      <c r="IN12" s="111" t="str">
        <f t="shared" ref="IN12" ca="1" si="669">IF(AND(NOT(ISBLANK(IM$1)), MOD(IM$1,$A$14)=0), -$A$2*SUM(OFFSET(IM4,0,0,1,$A$14*4)), "")</f>
        <v/>
      </c>
      <c r="IO12" s="123" t="str">
        <f t="shared" ref="IO12" ca="1" si="670">IF(IP12&lt;&gt;"", $A$14&amp;" meses de café", "")</f>
        <v/>
      </c>
      <c r="IP12" s="111" t="str">
        <f t="shared" ref="IP12" ca="1" si="671">IF(AND(NOT(ISBLANK(IO$1)), MOD(IO$1,$A$14)=0), -$A$2*SUM(OFFSET(IO4,0,0,1,$A$14*4)), "")</f>
        <v/>
      </c>
      <c r="IQ12" s="123" t="str">
        <f t="shared" ref="IQ12" ca="1" si="672">IF(IR12&lt;&gt;"", $A$14&amp;" meses de café", "")</f>
        <v/>
      </c>
      <c r="IR12" s="111" t="str">
        <f t="shared" ref="IR12" ca="1" si="673">IF(AND(NOT(ISBLANK(IQ$1)), MOD(IQ$1,$A$14)=0), -$A$2*SUM(OFFSET(IQ4,0,0,1,$A$14*4)), "")</f>
        <v/>
      </c>
      <c r="IS12" s="123" t="str">
        <f t="shared" ref="IS12" ca="1" si="674">IF(IT12&lt;&gt;"", $A$14&amp;" meses de café", "")</f>
        <v/>
      </c>
      <c r="IT12" s="111" t="str">
        <f t="shared" ref="IT12" ca="1" si="675">IF(AND(NOT(ISBLANK(IS$1)), MOD(IS$1,$A$14)=0), -$A$2*SUM(OFFSET(IS4,0,0,1,$A$14*4)), "")</f>
        <v/>
      </c>
      <c r="IU12" s="123" t="str">
        <f t="shared" ref="IU12" ca="1" si="676">IF(IV12&lt;&gt;"", $A$14&amp;" meses de café", "")</f>
        <v>3 meses de café</v>
      </c>
      <c r="IV12" s="111">
        <f t="shared" ref="IV12" ca="1" si="677">IF(AND(NOT(ISBLANK(IU$1)), MOD(IU$1,$A$14)=0), -$A$2*SUM(OFFSET(IU4,0,0,1,$A$14*4)), "")</f>
        <v>-111600</v>
      </c>
      <c r="IW12" s="123" t="str">
        <f t="shared" ref="IW12" ca="1" si="678">IF(IX12&lt;&gt;"", $A$14&amp;" meses de café", "")</f>
        <v/>
      </c>
      <c r="IX12" s="111" t="str">
        <f t="shared" ref="IX12" ca="1" si="679">IF(AND(NOT(ISBLANK(IW$1)), MOD(IW$1,$A$14)=0), -$A$2*SUM(OFFSET(IW4,0,0,1,$A$14*4)), "")</f>
        <v/>
      </c>
      <c r="IY12" s="123" t="str">
        <f t="shared" ref="IY12" ca="1" si="680">IF(IZ12&lt;&gt;"", $A$14&amp;" meses de café", "")</f>
        <v/>
      </c>
      <c r="IZ12" s="111" t="str">
        <f t="shared" ref="IZ12" ca="1" si="681">IF(AND(NOT(ISBLANK(IY$1)), MOD(IY$1,$A$14)=0), -$A$2*SUM(OFFSET(IY4,0,0,1,$A$14*4)), "")</f>
        <v/>
      </c>
      <c r="JA12" s="123" t="str">
        <f t="shared" ref="JA12" ca="1" si="682">IF(JB12&lt;&gt;"", $A$14&amp;" meses de café", "")</f>
        <v/>
      </c>
      <c r="JB12" s="111" t="str">
        <f t="shared" ref="JB12" ca="1" si="683">IF(AND(NOT(ISBLANK(JA$1)), MOD(JA$1,$A$14)=0), -$A$2*SUM(OFFSET(JA4,0,0,1,$A$14*4)), "")</f>
        <v/>
      </c>
      <c r="JC12" s="123" t="str">
        <f t="shared" ref="JC12" ca="1" si="684">IF(JD12&lt;&gt;"", $A$14&amp;" meses de café", "")</f>
        <v/>
      </c>
      <c r="JD12" s="111" t="str">
        <f t="shared" ref="JD12" ca="1" si="685">IF(AND(NOT(ISBLANK(JC$1)), MOD(JC$1,$A$14)=0), -$A$2*SUM(OFFSET(JC4,0,0,1,$A$14*4)), "")</f>
        <v/>
      </c>
      <c r="JE12" s="123" t="str">
        <f t="shared" ref="JE12" ca="1" si="686">IF(JF12&lt;&gt;"", $A$14&amp;" meses de café", "")</f>
        <v/>
      </c>
      <c r="JF12" s="111" t="str">
        <f t="shared" ref="JF12" ca="1" si="687">IF(AND(NOT(ISBLANK(JE$1)), MOD(JE$1,$A$14)=0), -$A$2*SUM(OFFSET(JE4,0,0,1,$A$14*4)), "")</f>
        <v/>
      </c>
      <c r="JG12" s="123" t="str">
        <f t="shared" ref="JG12" ca="1" si="688">IF(JH12&lt;&gt;"", $A$14&amp;" meses de café", "")</f>
        <v>3 meses de café</v>
      </c>
      <c r="JH12" s="111">
        <f t="shared" ref="JH12" ca="1" si="689">IF(AND(NOT(ISBLANK(JG$1)), MOD(JG$1,$A$14)=0), -$A$2*SUM(OFFSET(JG4,0,0,1,$A$14*4)), "")</f>
        <v>-117800</v>
      </c>
      <c r="JI12" s="123" t="str">
        <f t="shared" ref="JI12" ca="1" si="690">IF(JJ12&lt;&gt;"", $A$14&amp;" meses de café", "")</f>
        <v/>
      </c>
      <c r="JJ12" s="111" t="str">
        <f t="shared" ref="JJ12" ca="1" si="691">IF(AND(NOT(ISBLANK(JI$1)), MOD(JI$1,$A$14)=0), -$A$2*SUM(OFFSET(JI4,0,0,1,$A$14*4)), "")</f>
        <v/>
      </c>
      <c r="JK12" s="123" t="str">
        <f t="shared" ref="JK12" ca="1" si="692">IF(JL12&lt;&gt;"", $A$14&amp;" meses de café", "")</f>
        <v/>
      </c>
      <c r="JL12" s="111" t="str">
        <f t="shared" ref="JL12" ca="1" si="693">IF(AND(NOT(ISBLANK(JK$1)), MOD(JK$1,$A$14)=0), -$A$2*SUM(OFFSET(JK4,0,0,1,$A$14*4)), "")</f>
        <v/>
      </c>
      <c r="JM12" s="123" t="str">
        <f t="shared" ref="JM12" ca="1" si="694">IF(JN12&lt;&gt;"", $A$14&amp;" meses de café", "")</f>
        <v/>
      </c>
      <c r="JN12" s="111" t="str">
        <f t="shared" ref="JN12" ca="1" si="695">IF(AND(NOT(ISBLANK(JM$1)), MOD(JM$1,$A$14)=0), -$A$2*SUM(OFFSET(JM4,0,0,1,$A$14*4)), "")</f>
        <v/>
      </c>
      <c r="JO12" s="123" t="str">
        <f t="shared" ref="JO12" ca="1" si="696">IF(JP12&lt;&gt;"", $A$14&amp;" meses de café", "")</f>
        <v/>
      </c>
      <c r="JP12" s="111" t="str">
        <f t="shared" ref="JP12" ca="1" si="697">IF(AND(NOT(ISBLANK(JO$1)), MOD(JO$1,$A$14)=0), -$A$2*SUM(OFFSET(JO4,0,0,1,$A$14*4)), "")</f>
        <v/>
      </c>
      <c r="JQ12" s="123" t="str">
        <f t="shared" ref="JQ12" ca="1" si="698">IF(JR12&lt;&gt;"", $A$14&amp;" meses de café", "")</f>
        <v/>
      </c>
      <c r="JR12" s="111" t="str">
        <f t="shared" ref="JR12" ca="1" si="699">IF(AND(NOT(ISBLANK(JQ$1)), MOD(JQ$1,$A$14)=0), -$A$2*SUM(OFFSET(JQ4,0,0,1,$A$14*4)), "")</f>
        <v/>
      </c>
      <c r="JS12" s="123" t="str">
        <f t="shared" ref="JS12" ca="1" si="700">IF(JT12&lt;&gt;"", $A$14&amp;" meses de café", "")</f>
        <v>3 meses de café</v>
      </c>
      <c r="JT12" s="111">
        <f t="shared" ref="JT12" ca="1" si="701">IF(AND(NOT(ISBLANK(JS$1)), MOD(JS$1,$A$14)=0), -$A$2*SUM(OFFSET(JS4,0,0,1,$A$14*4)), "")</f>
        <v>-120900</v>
      </c>
      <c r="JU12" s="123" t="str">
        <f t="shared" ref="JU12" ca="1" si="702">IF(JV12&lt;&gt;"", $A$14&amp;" meses de café", "")</f>
        <v/>
      </c>
      <c r="JV12" s="111" t="str">
        <f t="shared" ref="JV12" ca="1" si="703">IF(AND(NOT(ISBLANK(JU$1)), MOD(JU$1,$A$14)=0), -$A$2*SUM(OFFSET(JU4,0,0,1,$A$14*4)), "")</f>
        <v/>
      </c>
      <c r="JW12" s="123" t="str">
        <f t="shared" ref="JW12" ca="1" si="704">IF(JX12&lt;&gt;"", $A$14&amp;" meses de café", "")</f>
        <v/>
      </c>
      <c r="JX12" s="111" t="str">
        <f t="shared" ref="JX12" ca="1" si="705">IF(AND(NOT(ISBLANK(JW$1)), MOD(JW$1,$A$14)=0), -$A$2*SUM(OFFSET(JW4,0,0,1,$A$14*4)), "")</f>
        <v/>
      </c>
      <c r="JY12" s="123" t="str">
        <f t="shared" ref="JY12" ca="1" si="706">IF(JZ12&lt;&gt;"", $A$14&amp;" meses de café", "")</f>
        <v/>
      </c>
      <c r="JZ12" s="111" t="str">
        <f t="shared" ref="JZ12" ca="1" si="707">IF(AND(NOT(ISBLANK(JY$1)), MOD(JY$1,$A$14)=0), -$A$2*SUM(OFFSET(JY4,0,0,1,$A$14*4)), "")</f>
        <v/>
      </c>
      <c r="KA12" s="123" t="str">
        <f t="shared" ref="KA12" ca="1" si="708">IF(KB12&lt;&gt;"", $A$14&amp;" meses de café", "")</f>
        <v/>
      </c>
      <c r="KB12" s="111" t="str">
        <f t="shared" ref="KB12" ca="1" si="709">IF(AND(NOT(ISBLANK(KA$1)), MOD(KA$1,$A$14)=0), -$A$2*SUM(OFFSET(KA4,0,0,1,$A$14*4)), "")</f>
        <v/>
      </c>
      <c r="KC12" s="123" t="str">
        <f t="shared" ref="KC12" ca="1" si="710">IF(KD12&lt;&gt;"", $A$14&amp;" meses de café", "")</f>
        <v/>
      </c>
      <c r="KD12" s="111" t="str">
        <f t="shared" ref="KD12" ca="1" si="711">IF(AND(NOT(ISBLANK(KC$1)), MOD(KC$1,$A$14)=0), -$A$2*SUM(OFFSET(KC4,0,0,1,$A$14*4)), "")</f>
        <v/>
      </c>
      <c r="KE12" s="123" t="str">
        <f t="shared" ref="KE12" ca="1" si="712">IF(KF12&lt;&gt;"", $A$14&amp;" meses de café", "")</f>
        <v>3 meses de café</v>
      </c>
      <c r="KF12" s="111">
        <f t="shared" ref="KF12" ca="1" si="713">IF(AND(NOT(ISBLANK(KE$1)), MOD(KE$1,$A$14)=0), -$A$2*SUM(OFFSET(KE4,0,0,1,$A$14*4)), "")</f>
        <v>-40300</v>
      </c>
      <c r="KG12" s="123" t="str">
        <f t="shared" ref="KG12" ca="1" si="714">IF(KH12&lt;&gt;"", $A$14&amp;" meses de café", "")</f>
        <v/>
      </c>
      <c r="KH12" s="111" t="str">
        <f t="shared" ref="KH12" ca="1" si="715">IF(AND(NOT(ISBLANK(KG$1)), MOD(KG$1,$A$14)=0), -$A$2*SUM(OFFSET(KG4,0,0,1,$A$14*4)), "")</f>
        <v/>
      </c>
    </row>
    <row r="13" spans="1:294" outlineLevel="1" x14ac:dyDescent="0.25">
      <c r="C13" s="103" t="s">
        <v>190</v>
      </c>
      <c r="D13" s="104">
        <f>-'Investimento Inicial'!$B$6</f>
        <v>-5000</v>
      </c>
      <c r="E13" s="63"/>
      <c r="F13" s="63"/>
      <c r="G13" s="103"/>
      <c r="H13" s="104"/>
      <c r="I13" s="63"/>
      <c r="J13" s="63"/>
      <c r="K13" s="103"/>
      <c r="L13" s="104"/>
      <c r="M13" s="63"/>
      <c r="N13" s="63"/>
      <c r="O13" s="103"/>
      <c r="P13" s="104"/>
      <c r="Q13" s="63"/>
      <c r="R13" s="63"/>
      <c r="S13" s="103"/>
      <c r="T13" s="104"/>
      <c r="U13" s="63"/>
      <c r="V13" s="63"/>
      <c r="W13" s="103"/>
      <c r="X13" s="104"/>
      <c r="Y13" s="63"/>
      <c r="Z13" s="63"/>
      <c r="AA13" s="103"/>
      <c r="AB13" s="104"/>
      <c r="AC13" s="63"/>
      <c r="AD13" s="63"/>
      <c r="AE13" s="103"/>
      <c r="AF13" s="104"/>
      <c r="AG13" s="63"/>
      <c r="AH13" s="63"/>
      <c r="AI13" s="103"/>
      <c r="AJ13" s="104"/>
      <c r="AK13" s="63"/>
      <c r="AL13" s="63"/>
      <c r="AM13" s="103"/>
      <c r="AN13" s="104"/>
      <c r="AO13" s="63"/>
      <c r="AP13" s="63"/>
      <c r="AQ13" s="103"/>
      <c r="AR13" s="104"/>
      <c r="AS13" s="63"/>
      <c r="AT13" s="63"/>
      <c r="AU13" s="103"/>
      <c r="AV13" s="104"/>
      <c r="AW13" s="63"/>
      <c r="AX13" s="63"/>
      <c r="AY13" s="103"/>
      <c r="AZ13" s="104"/>
      <c r="BA13" s="63"/>
      <c r="BB13" s="63"/>
      <c r="BC13" s="103"/>
      <c r="BD13" s="104"/>
      <c r="BE13" s="63"/>
      <c r="BF13" s="63"/>
      <c r="BG13" s="103"/>
      <c r="BH13" s="104"/>
      <c r="BI13" s="63"/>
      <c r="BJ13" s="63"/>
      <c r="BK13" s="103"/>
      <c r="BL13" s="104"/>
      <c r="BM13" s="63"/>
      <c r="BN13" s="63"/>
      <c r="BO13" s="103"/>
      <c r="BP13" s="104"/>
      <c r="BQ13" s="63"/>
      <c r="BR13" s="63"/>
      <c r="BS13" s="103"/>
      <c r="BT13" s="104"/>
      <c r="BU13" s="63"/>
      <c r="BV13" s="63"/>
      <c r="BW13" s="103"/>
      <c r="BX13" s="104"/>
      <c r="BY13" s="63"/>
      <c r="BZ13" s="63"/>
      <c r="CA13" s="103"/>
      <c r="CB13" s="104"/>
      <c r="CC13" s="63"/>
      <c r="CD13" s="63"/>
      <c r="CE13" s="103"/>
      <c r="CF13" s="104"/>
      <c r="CG13" s="63"/>
      <c r="CH13" s="63"/>
      <c r="CI13" s="103"/>
      <c r="CJ13" s="104"/>
      <c r="CK13" s="63"/>
      <c r="CL13" s="63"/>
      <c r="CM13" s="103"/>
      <c r="CN13" s="104"/>
      <c r="CO13" s="63"/>
      <c r="CP13" s="63"/>
      <c r="CQ13" s="103"/>
      <c r="CR13" s="104"/>
      <c r="CS13" s="63"/>
      <c r="CT13" s="63"/>
      <c r="CU13" s="103"/>
      <c r="CV13" s="104"/>
      <c r="CW13" s="63"/>
      <c r="CX13" s="63"/>
      <c r="CY13" s="103"/>
      <c r="CZ13" s="104"/>
      <c r="DA13" s="63"/>
      <c r="DB13" s="63"/>
      <c r="DC13" s="103"/>
      <c r="DD13" s="104"/>
      <c r="DE13" s="63"/>
      <c r="DF13" s="63"/>
      <c r="DG13" s="103"/>
      <c r="DH13" s="104"/>
      <c r="DI13" s="63"/>
      <c r="DJ13" s="63"/>
      <c r="DK13" s="103"/>
      <c r="DL13" s="104"/>
      <c r="DM13" s="63"/>
      <c r="DN13" s="63"/>
      <c r="DO13" s="103"/>
      <c r="DP13" s="104"/>
      <c r="DQ13" s="63"/>
      <c r="DR13" s="63"/>
      <c r="DS13" s="103"/>
      <c r="DT13" s="104"/>
      <c r="DU13" s="63"/>
      <c r="DV13" s="63"/>
      <c r="DW13" s="103"/>
      <c r="DX13" s="104"/>
      <c r="DY13" s="63"/>
      <c r="DZ13" s="63"/>
      <c r="EA13" s="103"/>
      <c r="EB13" s="104"/>
      <c r="EC13" s="63"/>
      <c r="ED13" s="63"/>
      <c r="EE13" s="103"/>
      <c r="EF13" s="104"/>
      <c r="EG13" s="63"/>
      <c r="EH13" s="63"/>
      <c r="EI13" s="103"/>
      <c r="EJ13" s="104"/>
      <c r="EK13" s="63"/>
      <c r="EL13" s="63"/>
      <c r="EM13" s="103"/>
      <c r="EN13" s="104"/>
      <c r="EO13" s="63"/>
      <c r="EP13" s="63"/>
      <c r="EQ13" s="103"/>
      <c r="ER13" s="104"/>
      <c r="ES13" s="63"/>
      <c r="ET13" s="63"/>
      <c r="EU13" s="103"/>
      <c r="EV13" s="104"/>
      <c r="EW13" s="63"/>
      <c r="EX13" s="63"/>
      <c r="EY13" s="103"/>
      <c r="EZ13" s="104"/>
      <c r="FA13" s="63"/>
      <c r="FB13" s="63"/>
      <c r="FC13" s="103"/>
      <c r="FD13" s="104"/>
      <c r="FE13" s="63"/>
      <c r="FF13" s="63"/>
      <c r="FG13" s="103"/>
      <c r="FH13" s="104"/>
      <c r="FI13" s="63"/>
      <c r="FJ13" s="63"/>
      <c r="FK13" s="103"/>
      <c r="FL13" s="104"/>
      <c r="FM13" s="63"/>
      <c r="FN13" s="63"/>
      <c r="FO13" s="103"/>
      <c r="FP13" s="104"/>
      <c r="FQ13" s="63"/>
      <c r="FR13" s="63"/>
      <c r="FS13" s="103"/>
      <c r="FT13" s="104"/>
      <c r="FU13" s="63"/>
      <c r="FV13" s="63"/>
      <c r="FW13" s="103"/>
      <c r="FX13" s="104"/>
      <c r="FY13" s="63"/>
      <c r="FZ13" s="63"/>
      <c r="GA13" s="103"/>
      <c r="GB13" s="104"/>
      <c r="GC13" s="63"/>
      <c r="GD13" s="63"/>
      <c r="GE13" s="103"/>
      <c r="GF13" s="104"/>
      <c r="GG13" s="63"/>
      <c r="GH13" s="63"/>
      <c r="GI13" s="103"/>
      <c r="GJ13" s="104"/>
      <c r="GK13" s="63"/>
      <c r="GL13" s="63"/>
      <c r="GM13" s="103"/>
      <c r="GN13" s="104"/>
      <c r="GO13" s="63"/>
      <c r="GP13" s="63"/>
      <c r="GQ13" s="103"/>
      <c r="GR13" s="104"/>
      <c r="GS13" s="63"/>
      <c r="GT13" s="63"/>
      <c r="GU13" s="103"/>
      <c r="GV13" s="104"/>
      <c r="GW13" s="63"/>
      <c r="GX13" s="63"/>
      <c r="GY13" s="103"/>
      <c r="GZ13" s="104"/>
      <c r="HA13" s="63"/>
      <c r="HB13" s="63"/>
      <c r="HC13" s="103"/>
      <c r="HD13" s="104"/>
      <c r="HE13" s="63"/>
      <c r="HF13" s="63"/>
      <c r="HG13" s="103"/>
      <c r="HH13" s="104"/>
      <c r="HI13" s="63"/>
      <c r="HJ13" s="63"/>
      <c r="HK13" s="103"/>
      <c r="HL13" s="104"/>
      <c r="HM13" s="63"/>
      <c r="HN13" s="63"/>
      <c r="HO13" s="103"/>
      <c r="HP13" s="104"/>
      <c r="HQ13" s="63"/>
      <c r="HR13" s="63"/>
      <c r="HS13" s="103"/>
      <c r="HT13" s="104"/>
      <c r="HU13" s="63"/>
      <c r="HV13" s="63"/>
      <c r="HW13" s="103"/>
      <c r="HX13" s="104"/>
      <c r="HY13" s="63"/>
      <c r="HZ13" s="63"/>
      <c r="IA13" s="103"/>
      <c r="IB13" s="104"/>
      <c r="IC13" s="63"/>
      <c r="ID13" s="63"/>
      <c r="IE13" s="103"/>
      <c r="IF13" s="104"/>
      <c r="IG13" s="63"/>
      <c r="IH13" s="63"/>
      <c r="II13" s="103"/>
      <c r="IJ13" s="104"/>
      <c r="IK13" s="63"/>
      <c r="IL13" s="63"/>
      <c r="IM13" s="103"/>
      <c r="IN13" s="104"/>
      <c r="IO13" s="63"/>
      <c r="IP13" s="63"/>
      <c r="IQ13" s="103"/>
      <c r="IR13" s="104"/>
      <c r="IS13" s="63"/>
      <c r="IT13" s="63"/>
      <c r="IU13" s="103"/>
      <c r="IV13" s="104"/>
      <c r="IW13" s="63"/>
      <c r="IX13" s="63"/>
      <c r="IY13" s="103"/>
      <c r="IZ13" s="104"/>
      <c r="JA13" s="63"/>
      <c r="JB13" s="63"/>
      <c r="JC13" s="103"/>
      <c r="JD13" s="104"/>
      <c r="JE13" s="63"/>
      <c r="JF13" s="63"/>
      <c r="JG13" s="103"/>
      <c r="JH13" s="104"/>
      <c r="JI13" s="63"/>
      <c r="JJ13" s="63"/>
      <c r="JK13" s="103"/>
      <c r="JL13" s="104"/>
      <c r="JM13" s="63"/>
      <c r="JN13" s="63"/>
      <c r="JO13" s="103"/>
      <c r="JP13" s="104"/>
      <c r="JQ13" s="63"/>
      <c r="JR13" s="63"/>
      <c r="JS13" s="103"/>
      <c r="JT13" s="104"/>
      <c r="JU13" s="63"/>
      <c r="JV13" s="63"/>
      <c r="JW13" s="103"/>
      <c r="JX13" s="104"/>
      <c r="JY13" s="63"/>
      <c r="JZ13" s="63"/>
      <c r="KA13" s="103"/>
      <c r="KB13" s="104"/>
      <c r="KC13" s="63"/>
      <c r="KD13" s="63"/>
      <c r="KE13" s="103"/>
      <c r="KF13" s="104"/>
      <c r="KG13" s="63"/>
      <c r="KH13" s="63"/>
    </row>
    <row r="14" spans="1:294" outlineLevel="1" x14ac:dyDescent="0.25">
      <c r="A14" s="121">
        <v>3</v>
      </c>
      <c r="C14" s="103" t="s">
        <v>192</v>
      </c>
      <c r="D14" s="104">
        <f>-'Investimento Inicial'!$B$8</f>
        <v>-4000</v>
      </c>
      <c r="E14" s="63"/>
      <c r="F14" s="63"/>
      <c r="G14" s="103"/>
      <c r="H14" s="104"/>
      <c r="I14" s="63"/>
      <c r="J14" s="63"/>
      <c r="K14" s="103"/>
      <c r="L14" s="104"/>
      <c r="M14" s="63"/>
      <c r="N14" s="63"/>
      <c r="O14" s="103"/>
      <c r="P14" s="104"/>
      <c r="Q14" s="63"/>
      <c r="R14" s="63"/>
      <c r="S14" s="103"/>
      <c r="T14" s="104"/>
      <c r="U14" s="63"/>
      <c r="V14" s="63"/>
      <c r="W14" s="103"/>
      <c r="X14" s="104"/>
      <c r="Y14" s="63"/>
      <c r="Z14" s="63"/>
      <c r="AA14" s="103"/>
      <c r="AB14" s="104"/>
      <c r="AC14" s="63"/>
      <c r="AD14" s="63"/>
      <c r="AE14" s="103"/>
      <c r="AF14" s="104"/>
      <c r="AG14" s="63"/>
      <c r="AH14" s="63"/>
      <c r="AI14" s="103"/>
      <c r="AJ14" s="104"/>
      <c r="AK14" s="63"/>
      <c r="AL14" s="63"/>
      <c r="AM14" s="103"/>
      <c r="AN14" s="104"/>
      <c r="AO14" s="63"/>
      <c r="AP14" s="63"/>
      <c r="AQ14" s="103"/>
      <c r="AR14" s="104"/>
      <c r="AS14" s="63"/>
      <c r="AT14" s="63"/>
      <c r="AU14" s="103"/>
      <c r="AV14" s="104"/>
      <c r="AW14" s="63"/>
      <c r="AX14" s="63"/>
      <c r="AY14" s="103"/>
      <c r="AZ14" s="104"/>
      <c r="BA14" s="63"/>
      <c r="BB14" s="63"/>
      <c r="BC14" s="103"/>
      <c r="BD14" s="104"/>
      <c r="BE14" s="63"/>
      <c r="BF14" s="63"/>
      <c r="BG14" s="103"/>
      <c r="BH14" s="104"/>
      <c r="BI14" s="63"/>
      <c r="BJ14" s="63"/>
      <c r="BK14" s="103"/>
      <c r="BL14" s="104"/>
      <c r="BM14" s="63"/>
      <c r="BN14" s="63"/>
      <c r="BO14" s="103"/>
      <c r="BP14" s="104"/>
      <c r="BQ14" s="63"/>
      <c r="BR14" s="63"/>
      <c r="BS14" s="103"/>
      <c r="BT14" s="104"/>
      <c r="BU14" s="63"/>
      <c r="BV14" s="63"/>
      <c r="BW14" s="103"/>
      <c r="BX14" s="104"/>
      <c r="BY14" s="63"/>
      <c r="BZ14" s="63"/>
      <c r="CA14" s="103"/>
      <c r="CB14" s="104"/>
      <c r="CC14" s="63"/>
      <c r="CD14" s="63"/>
      <c r="CE14" s="103"/>
      <c r="CF14" s="104"/>
      <c r="CG14" s="63"/>
      <c r="CH14" s="63"/>
      <c r="CI14" s="103"/>
      <c r="CJ14" s="104"/>
      <c r="CK14" s="63"/>
      <c r="CL14" s="63"/>
      <c r="CM14" s="103"/>
      <c r="CN14" s="104"/>
      <c r="CO14" s="63"/>
      <c r="CP14" s="63"/>
      <c r="CQ14" s="103"/>
      <c r="CR14" s="104"/>
      <c r="CS14" s="63"/>
      <c r="CT14" s="63"/>
      <c r="CU14" s="103"/>
      <c r="CV14" s="104"/>
      <c r="CW14" s="63"/>
      <c r="CX14" s="63"/>
      <c r="CY14" s="103"/>
      <c r="CZ14" s="104"/>
      <c r="DA14" s="63"/>
      <c r="DB14" s="63"/>
      <c r="DC14" s="103"/>
      <c r="DD14" s="104"/>
      <c r="DE14" s="63"/>
      <c r="DF14" s="63"/>
      <c r="DG14" s="103"/>
      <c r="DH14" s="104"/>
      <c r="DI14" s="63"/>
      <c r="DJ14" s="63"/>
      <c r="DK14" s="103"/>
      <c r="DL14" s="104"/>
      <c r="DM14" s="63"/>
      <c r="DN14" s="63"/>
      <c r="DO14" s="103"/>
      <c r="DP14" s="104"/>
      <c r="DQ14" s="63"/>
      <c r="DR14" s="63"/>
      <c r="DS14" s="103"/>
      <c r="DT14" s="104"/>
      <c r="DU14" s="63"/>
      <c r="DV14" s="63"/>
      <c r="DW14" s="103"/>
      <c r="DX14" s="104"/>
      <c r="DY14" s="63"/>
      <c r="DZ14" s="63"/>
      <c r="EA14" s="103"/>
      <c r="EB14" s="104"/>
      <c r="EC14" s="63"/>
      <c r="ED14" s="63"/>
      <c r="EE14" s="103"/>
      <c r="EF14" s="104"/>
      <c r="EG14" s="63"/>
      <c r="EH14" s="63"/>
      <c r="EI14" s="103"/>
      <c r="EJ14" s="104"/>
      <c r="EK14" s="63"/>
      <c r="EL14" s="63"/>
      <c r="EM14" s="103"/>
      <c r="EN14" s="104"/>
      <c r="EO14" s="63"/>
      <c r="EP14" s="63"/>
      <c r="EQ14" s="103"/>
      <c r="ER14" s="104"/>
      <c r="ES14" s="63"/>
      <c r="ET14" s="63"/>
      <c r="EU14" s="103"/>
      <c r="EV14" s="104"/>
      <c r="EW14" s="63"/>
      <c r="EX14" s="63"/>
      <c r="EY14" s="103"/>
      <c r="EZ14" s="104"/>
      <c r="FA14" s="63"/>
      <c r="FB14" s="63"/>
      <c r="FC14" s="103"/>
      <c r="FD14" s="104"/>
      <c r="FE14" s="63"/>
      <c r="FF14" s="63"/>
      <c r="FG14" s="103"/>
      <c r="FH14" s="104"/>
      <c r="FI14" s="63"/>
      <c r="FJ14" s="63"/>
      <c r="FK14" s="103"/>
      <c r="FL14" s="104"/>
      <c r="FM14" s="63"/>
      <c r="FN14" s="63"/>
      <c r="FO14" s="103"/>
      <c r="FP14" s="104"/>
      <c r="FQ14" s="63"/>
      <c r="FR14" s="63"/>
      <c r="FS14" s="103"/>
      <c r="FT14" s="104"/>
      <c r="FU14" s="63"/>
      <c r="FV14" s="63"/>
      <c r="FW14" s="103"/>
      <c r="FX14" s="104"/>
      <c r="FY14" s="63"/>
      <c r="FZ14" s="63"/>
      <c r="GA14" s="103"/>
      <c r="GB14" s="104"/>
      <c r="GC14" s="63"/>
      <c r="GD14" s="63"/>
      <c r="GE14" s="103"/>
      <c r="GF14" s="104"/>
      <c r="GG14" s="63"/>
      <c r="GH14" s="63"/>
      <c r="GI14" s="103"/>
      <c r="GJ14" s="104"/>
      <c r="GK14" s="63"/>
      <c r="GL14" s="63"/>
      <c r="GM14" s="103"/>
      <c r="GN14" s="104"/>
      <c r="GO14" s="63"/>
      <c r="GP14" s="63"/>
      <c r="GQ14" s="103"/>
      <c r="GR14" s="104"/>
      <c r="GS14" s="63"/>
      <c r="GT14" s="63"/>
      <c r="GU14" s="103"/>
      <c r="GV14" s="104"/>
      <c r="GW14" s="63"/>
      <c r="GX14" s="63"/>
      <c r="GY14" s="103"/>
      <c r="GZ14" s="104"/>
      <c r="HA14" s="63"/>
      <c r="HB14" s="63"/>
      <c r="HC14" s="103"/>
      <c r="HD14" s="104"/>
      <c r="HE14" s="63"/>
      <c r="HF14" s="63"/>
      <c r="HG14" s="103"/>
      <c r="HH14" s="104"/>
      <c r="HI14" s="63"/>
      <c r="HJ14" s="63"/>
      <c r="HK14" s="103"/>
      <c r="HL14" s="104"/>
      <c r="HM14" s="63"/>
      <c r="HN14" s="63"/>
      <c r="HO14" s="103"/>
      <c r="HP14" s="104"/>
      <c r="HQ14" s="63"/>
      <c r="HR14" s="63"/>
      <c r="HS14" s="103"/>
      <c r="HT14" s="104"/>
      <c r="HU14" s="63"/>
      <c r="HV14" s="63"/>
      <c r="HW14" s="103"/>
      <c r="HX14" s="104"/>
      <c r="HY14" s="63"/>
      <c r="HZ14" s="63"/>
      <c r="IA14" s="103"/>
      <c r="IB14" s="104"/>
      <c r="IC14" s="63"/>
      <c r="ID14" s="63"/>
      <c r="IE14" s="103"/>
      <c r="IF14" s="104"/>
      <c r="IG14" s="63"/>
      <c r="IH14" s="63"/>
      <c r="II14" s="103"/>
      <c r="IJ14" s="104"/>
      <c r="IK14" s="63"/>
      <c r="IL14" s="63"/>
      <c r="IM14" s="103"/>
      <c r="IN14" s="104"/>
      <c r="IO14" s="63"/>
      <c r="IP14" s="63"/>
      <c r="IQ14" s="103"/>
      <c r="IR14" s="104"/>
      <c r="IS14" s="63"/>
      <c r="IT14" s="63"/>
      <c r="IU14" s="103"/>
      <c r="IV14" s="104"/>
      <c r="IW14" s="63"/>
      <c r="IX14" s="63"/>
      <c r="IY14" s="103"/>
      <c r="IZ14" s="104"/>
      <c r="JA14" s="63"/>
      <c r="JB14" s="63"/>
      <c r="JC14" s="103"/>
      <c r="JD14" s="104"/>
      <c r="JE14" s="63"/>
      <c r="JF14" s="63"/>
      <c r="JG14" s="103"/>
      <c r="JH14" s="104"/>
      <c r="JI14" s="63"/>
      <c r="JJ14" s="63"/>
      <c r="JK14" s="103"/>
      <c r="JL14" s="104"/>
      <c r="JM14" s="63"/>
      <c r="JN14" s="63"/>
      <c r="JO14" s="103"/>
      <c r="JP14" s="104"/>
      <c r="JQ14" s="63"/>
      <c r="JR14" s="63"/>
      <c r="JS14" s="103"/>
      <c r="JT14" s="104"/>
      <c r="JU14" s="63"/>
      <c r="JV14" s="63"/>
      <c r="JW14" s="103"/>
      <c r="JX14" s="104"/>
      <c r="JY14" s="63"/>
      <c r="JZ14" s="63"/>
      <c r="KA14" s="103"/>
      <c r="KB14" s="104"/>
      <c r="KC14" s="63"/>
      <c r="KD14" s="63"/>
      <c r="KE14" s="103"/>
      <c r="KF14" s="104"/>
      <c r="KG14" s="63"/>
      <c r="KH14" s="63"/>
    </row>
    <row r="15" spans="1:294" outlineLevel="1" x14ac:dyDescent="0.25">
      <c r="A15" s="45"/>
      <c r="C15" s="103" t="s">
        <v>193</v>
      </c>
      <c r="D15" s="104">
        <f>-'Investimento Inicial'!$B$9</f>
        <v>-3000</v>
      </c>
      <c r="E15" s="63"/>
      <c r="F15" s="63"/>
      <c r="G15" s="103"/>
      <c r="H15" s="104"/>
      <c r="I15" s="63"/>
      <c r="J15" s="63"/>
      <c r="K15" s="103"/>
      <c r="L15" s="104"/>
      <c r="M15" s="63"/>
      <c r="N15" s="63"/>
      <c r="O15" s="103"/>
      <c r="P15" s="104"/>
      <c r="Q15" s="63"/>
      <c r="R15" s="63"/>
      <c r="S15" s="103"/>
      <c r="T15" s="104"/>
      <c r="U15" s="63"/>
      <c r="V15" s="63"/>
      <c r="W15" s="103"/>
      <c r="X15" s="104"/>
      <c r="Y15" s="63"/>
      <c r="Z15" s="63"/>
      <c r="AA15" s="103"/>
      <c r="AB15" s="104"/>
      <c r="AC15" s="63"/>
      <c r="AD15" s="63"/>
      <c r="AE15" s="103"/>
      <c r="AF15" s="104"/>
      <c r="AG15" s="63"/>
      <c r="AH15" s="63"/>
      <c r="AI15" s="103"/>
      <c r="AJ15" s="104"/>
      <c r="AK15" s="63"/>
      <c r="AL15" s="63"/>
      <c r="AM15" s="103"/>
      <c r="AN15" s="104"/>
      <c r="AO15" s="63"/>
      <c r="AP15" s="63"/>
      <c r="AQ15" s="103"/>
      <c r="AR15" s="104"/>
      <c r="AS15" s="63"/>
      <c r="AT15" s="63"/>
      <c r="AU15" s="103"/>
      <c r="AV15" s="104"/>
      <c r="AW15" s="63"/>
      <c r="AX15" s="63"/>
      <c r="AY15" s="103"/>
      <c r="AZ15" s="104"/>
      <c r="BA15" s="63"/>
      <c r="BB15" s="63"/>
      <c r="BC15" s="103"/>
      <c r="BD15" s="104"/>
      <c r="BE15" s="63"/>
      <c r="BF15" s="63"/>
      <c r="BG15" s="103"/>
      <c r="BH15" s="104"/>
      <c r="BI15" s="63"/>
      <c r="BJ15" s="63"/>
      <c r="BK15" s="103"/>
      <c r="BL15" s="104"/>
      <c r="BM15" s="63"/>
      <c r="BN15" s="63"/>
      <c r="BO15" s="103"/>
      <c r="BP15" s="104"/>
      <c r="BQ15" s="63"/>
      <c r="BR15" s="63"/>
      <c r="BS15" s="103"/>
      <c r="BT15" s="104"/>
      <c r="BU15" s="63"/>
      <c r="BV15" s="63"/>
      <c r="BW15" s="103"/>
      <c r="BX15" s="104"/>
      <c r="BY15" s="63"/>
      <c r="BZ15" s="63"/>
      <c r="CA15" s="103"/>
      <c r="CB15" s="104"/>
      <c r="CC15" s="63"/>
      <c r="CD15" s="63"/>
      <c r="CE15" s="103"/>
      <c r="CF15" s="104"/>
      <c r="CG15" s="63"/>
      <c r="CH15" s="63"/>
      <c r="CI15" s="103"/>
      <c r="CJ15" s="104"/>
      <c r="CK15" s="63"/>
      <c r="CL15" s="63"/>
      <c r="CM15" s="103"/>
      <c r="CN15" s="104"/>
      <c r="CO15" s="63"/>
      <c r="CP15" s="63"/>
      <c r="CQ15" s="103"/>
      <c r="CR15" s="104"/>
      <c r="CS15" s="63"/>
      <c r="CT15" s="63"/>
      <c r="CU15" s="103"/>
      <c r="CV15" s="104"/>
      <c r="CW15" s="63"/>
      <c r="CX15" s="63"/>
      <c r="CY15" s="103"/>
      <c r="CZ15" s="104"/>
      <c r="DA15" s="63"/>
      <c r="DB15" s="63"/>
      <c r="DC15" s="103"/>
      <c r="DD15" s="104"/>
      <c r="DE15" s="63"/>
      <c r="DF15" s="63"/>
      <c r="DG15" s="103"/>
      <c r="DH15" s="104"/>
      <c r="DI15" s="63"/>
      <c r="DJ15" s="63"/>
      <c r="DK15" s="103"/>
      <c r="DL15" s="104"/>
      <c r="DM15" s="63"/>
      <c r="DN15" s="63"/>
      <c r="DO15" s="103"/>
      <c r="DP15" s="104"/>
      <c r="DQ15" s="63"/>
      <c r="DR15" s="63"/>
      <c r="DS15" s="103"/>
      <c r="DT15" s="104"/>
      <c r="DU15" s="63"/>
      <c r="DV15" s="63"/>
      <c r="DW15" s="103"/>
      <c r="DX15" s="104"/>
      <c r="DY15" s="63"/>
      <c r="DZ15" s="63"/>
      <c r="EA15" s="103"/>
      <c r="EB15" s="104"/>
      <c r="EC15" s="63"/>
      <c r="ED15" s="63"/>
      <c r="EE15" s="103"/>
      <c r="EF15" s="104"/>
      <c r="EG15" s="63"/>
      <c r="EH15" s="63"/>
      <c r="EI15" s="103"/>
      <c r="EJ15" s="104"/>
      <c r="EK15" s="63"/>
      <c r="EL15" s="63"/>
      <c r="EM15" s="103"/>
      <c r="EN15" s="104"/>
      <c r="EO15" s="63"/>
      <c r="EP15" s="63"/>
      <c r="EQ15" s="103"/>
      <c r="ER15" s="104"/>
      <c r="ES15" s="63"/>
      <c r="ET15" s="63"/>
      <c r="EU15" s="103"/>
      <c r="EV15" s="104"/>
      <c r="EW15" s="63"/>
      <c r="EX15" s="63"/>
      <c r="EY15" s="103"/>
      <c r="EZ15" s="104"/>
      <c r="FA15" s="63"/>
      <c r="FB15" s="63"/>
      <c r="FC15" s="103"/>
      <c r="FD15" s="104"/>
      <c r="FE15" s="63"/>
      <c r="FF15" s="63"/>
      <c r="FG15" s="103"/>
      <c r="FH15" s="104"/>
      <c r="FI15" s="63"/>
      <c r="FJ15" s="63"/>
      <c r="FK15" s="103"/>
      <c r="FL15" s="104"/>
      <c r="FM15" s="63"/>
      <c r="FN15" s="63"/>
      <c r="FO15" s="103"/>
      <c r="FP15" s="104"/>
      <c r="FQ15" s="63"/>
      <c r="FR15" s="63"/>
      <c r="FS15" s="103"/>
      <c r="FT15" s="104"/>
      <c r="FU15" s="63"/>
      <c r="FV15" s="63"/>
      <c r="FW15" s="103"/>
      <c r="FX15" s="104"/>
      <c r="FY15" s="63"/>
      <c r="FZ15" s="63"/>
      <c r="GA15" s="103"/>
      <c r="GB15" s="104"/>
      <c r="GC15" s="63"/>
      <c r="GD15" s="63"/>
      <c r="GE15" s="103"/>
      <c r="GF15" s="104"/>
      <c r="GG15" s="63"/>
      <c r="GH15" s="63"/>
      <c r="GI15" s="103"/>
      <c r="GJ15" s="104"/>
      <c r="GK15" s="63"/>
      <c r="GL15" s="63"/>
      <c r="GM15" s="103"/>
      <c r="GN15" s="104"/>
      <c r="GO15" s="63"/>
      <c r="GP15" s="63"/>
      <c r="GQ15" s="103"/>
      <c r="GR15" s="104"/>
      <c r="GS15" s="63"/>
      <c r="GT15" s="63"/>
      <c r="GU15" s="103"/>
      <c r="GV15" s="104"/>
      <c r="GW15" s="63"/>
      <c r="GX15" s="63"/>
      <c r="GY15" s="103"/>
      <c r="GZ15" s="104"/>
      <c r="HA15" s="63"/>
      <c r="HB15" s="63"/>
      <c r="HC15" s="103"/>
      <c r="HD15" s="104"/>
      <c r="HE15" s="63"/>
      <c r="HF15" s="63"/>
      <c r="HG15" s="103"/>
      <c r="HH15" s="104"/>
      <c r="HI15" s="63"/>
      <c r="HJ15" s="63"/>
      <c r="HK15" s="103"/>
      <c r="HL15" s="104"/>
      <c r="HM15" s="63"/>
      <c r="HN15" s="63"/>
      <c r="HO15" s="103"/>
      <c r="HP15" s="104"/>
      <c r="HQ15" s="63"/>
      <c r="HR15" s="63"/>
      <c r="HS15" s="103"/>
      <c r="HT15" s="104"/>
      <c r="HU15" s="63"/>
      <c r="HV15" s="63"/>
      <c r="HW15" s="103"/>
      <c r="HX15" s="104"/>
      <c r="HY15" s="63"/>
      <c r="HZ15" s="63"/>
      <c r="IA15" s="103"/>
      <c r="IB15" s="104"/>
      <c r="IC15" s="63"/>
      <c r="ID15" s="63"/>
      <c r="IE15" s="103"/>
      <c r="IF15" s="104"/>
      <c r="IG15" s="63"/>
      <c r="IH15" s="63"/>
      <c r="II15" s="103"/>
      <c r="IJ15" s="104"/>
      <c r="IK15" s="63"/>
      <c r="IL15" s="63"/>
      <c r="IM15" s="103"/>
      <c r="IN15" s="104"/>
      <c r="IO15" s="63"/>
      <c r="IP15" s="63"/>
      <c r="IQ15" s="103"/>
      <c r="IR15" s="104"/>
      <c r="IS15" s="63"/>
      <c r="IT15" s="63"/>
      <c r="IU15" s="103"/>
      <c r="IV15" s="104"/>
      <c r="IW15" s="63"/>
      <c r="IX15" s="63"/>
      <c r="IY15" s="103"/>
      <c r="IZ15" s="104"/>
      <c r="JA15" s="63"/>
      <c r="JB15" s="63"/>
      <c r="JC15" s="103"/>
      <c r="JD15" s="104"/>
      <c r="JE15" s="63"/>
      <c r="JF15" s="63"/>
      <c r="JG15" s="103"/>
      <c r="JH15" s="104"/>
      <c r="JI15" s="63"/>
      <c r="JJ15" s="63"/>
      <c r="JK15" s="103"/>
      <c r="JL15" s="104"/>
      <c r="JM15" s="63"/>
      <c r="JN15" s="63"/>
      <c r="JO15" s="103"/>
      <c r="JP15" s="104"/>
      <c r="JQ15" s="63"/>
      <c r="JR15" s="63"/>
      <c r="JS15" s="103"/>
      <c r="JT15" s="104"/>
      <c r="JU15" s="63"/>
      <c r="JV15" s="63"/>
      <c r="JW15" s="103"/>
      <c r="JX15" s="104"/>
      <c r="JY15" s="63"/>
      <c r="JZ15" s="63"/>
      <c r="KA15" s="103"/>
      <c r="KB15" s="104"/>
      <c r="KC15" s="63"/>
      <c r="KD15" s="63"/>
      <c r="KE15" s="103"/>
      <c r="KF15" s="104"/>
      <c r="KG15" s="63"/>
      <c r="KH15" s="63"/>
    </row>
    <row r="16" spans="1:294" outlineLevel="1" x14ac:dyDescent="0.25">
      <c r="C16" s="105" t="str">
        <f ca="1">IF(C$12&lt;&gt;"", "Frete do café verde", "")</f>
        <v>Frete do café verde</v>
      </c>
      <c r="D16" s="104">
        <f ca="1">IF(D$12&lt;&gt;"", -1000,"")</f>
        <v>-1000</v>
      </c>
      <c r="E16" s="63"/>
      <c r="F16" s="63"/>
      <c r="G16" s="105" t="str">
        <f ca="1">IF(G$12&lt;&gt;"", "Frete do café verde", "")</f>
        <v/>
      </c>
      <c r="H16" s="104" t="str">
        <f ca="1">IF(H$12&lt;&gt;"", -1000,"")</f>
        <v/>
      </c>
      <c r="I16" s="63"/>
      <c r="J16" s="63"/>
      <c r="K16" s="105" t="str">
        <f t="shared" ref="K16" ca="1" si="716">IF(K$12&lt;&gt;"", "Frete do café verde", "")</f>
        <v/>
      </c>
      <c r="L16" s="104" t="str">
        <f t="shared" ref="L16" ca="1" si="717">IF(L$12&lt;&gt;"", -1000,"")</f>
        <v/>
      </c>
      <c r="M16" s="63"/>
      <c r="N16" s="63"/>
      <c r="O16" s="105" t="str">
        <f t="shared" ref="O16" ca="1" si="718">IF(O$12&lt;&gt;"", "Frete do café verde", "")</f>
        <v>Frete do café verde</v>
      </c>
      <c r="P16" s="104">
        <f t="shared" ref="P16" ca="1" si="719">IF(P$12&lt;&gt;"", -1000,"")</f>
        <v>-1000</v>
      </c>
      <c r="Q16" s="63"/>
      <c r="R16" s="63"/>
      <c r="S16" s="105" t="str">
        <f t="shared" ref="S16" ca="1" si="720">IF(S$12&lt;&gt;"", "Frete do café verde", "")</f>
        <v/>
      </c>
      <c r="T16" s="104" t="str">
        <f t="shared" ref="T16" ca="1" si="721">IF(T$12&lt;&gt;"", -1000,"")</f>
        <v/>
      </c>
      <c r="U16" s="63"/>
      <c r="V16" s="63"/>
      <c r="W16" s="105" t="str">
        <f t="shared" ref="W16" ca="1" si="722">IF(W$12&lt;&gt;"", "Frete do café verde", "")</f>
        <v/>
      </c>
      <c r="X16" s="104" t="str">
        <f t="shared" ref="X16" ca="1" si="723">IF(X$12&lt;&gt;"", -1000,"")</f>
        <v/>
      </c>
      <c r="Y16" s="63"/>
      <c r="Z16" s="63"/>
      <c r="AA16" s="105" t="str">
        <f t="shared" ref="AA16" ca="1" si="724">IF(AA$12&lt;&gt;"", "Frete do café verde", "")</f>
        <v>Frete do café verde</v>
      </c>
      <c r="AB16" s="104">
        <f t="shared" ref="AB16" ca="1" si="725">IF(AB$12&lt;&gt;"", -1000,"")</f>
        <v>-1000</v>
      </c>
      <c r="AC16" s="63"/>
      <c r="AD16" s="63"/>
      <c r="AE16" s="105" t="str">
        <f t="shared" ref="AE16" ca="1" si="726">IF(AE$12&lt;&gt;"", "Frete do café verde", "")</f>
        <v/>
      </c>
      <c r="AF16" s="104" t="str">
        <f t="shared" ref="AF16" ca="1" si="727">IF(AF$12&lt;&gt;"", -1000,"")</f>
        <v/>
      </c>
      <c r="AG16" s="63"/>
      <c r="AH16" s="63"/>
      <c r="AI16" s="105" t="str">
        <f t="shared" ref="AI16" ca="1" si="728">IF(AI$12&lt;&gt;"", "Frete do café verde", "")</f>
        <v/>
      </c>
      <c r="AJ16" s="104" t="str">
        <f t="shared" ref="AJ16" ca="1" si="729">IF(AJ$12&lt;&gt;"", -1000,"")</f>
        <v/>
      </c>
      <c r="AK16" s="63"/>
      <c r="AL16" s="63"/>
      <c r="AM16" s="105" t="str">
        <f t="shared" ref="AM16" ca="1" si="730">IF(AM$12&lt;&gt;"", "Frete do café verde", "")</f>
        <v>Frete do café verde</v>
      </c>
      <c r="AN16" s="104">
        <f t="shared" ref="AN16" ca="1" si="731">IF(AN$12&lt;&gt;"", -1000,"")</f>
        <v>-1000</v>
      </c>
      <c r="AO16" s="63"/>
      <c r="AP16" s="63"/>
      <c r="AQ16" s="105" t="str">
        <f t="shared" ref="AQ16" ca="1" si="732">IF(AQ$12&lt;&gt;"", "Frete do café verde", "")</f>
        <v/>
      </c>
      <c r="AR16" s="104" t="str">
        <f t="shared" ref="AR16" ca="1" si="733">IF(AR$12&lt;&gt;"", -1000,"")</f>
        <v/>
      </c>
      <c r="AS16" s="63"/>
      <c r="AT16" s="63"/>
      <c r="AU16" s="105" t="str">
        <f t="shared" ref="AU16" ca="1" si="734">IF(AU$12&lt;&gt;"", "Frete do café verde", "")</f>
        <v/>
      </c>
      <c r="AV16" s="104" t="str">
        <f t="shared" ref="AV16" ca="1" si="735">IF(AV$12&lt;&gt;"", -1000,"")</f>
        <v/>
      </c>
      <c r="AW16" s="63"/>
      <c r="AX16" s="63"/>
      <c r="AY16" s="105" t="str">
        <f t="shared" ref="AY16" ca="1" si="736">IF(AY$12&lt;&gt;"", "Frete do café verde", "")</f>
        <v>Frete do café verde</v>
      </c>
      <c r="AZ16" s="104">
        <f t="shared" ref="AZ16" ca="1" si="737">IF(AZ$12&lt;&gt;"", -1000,"")</f>
        <v>-1000</v>
      </c>
      <c r="BA16" s="63"/>
      <c r="BB16" s="63"/>
      <c r="BC16" s="105" t="str">
        <f t="shared" ref="BC16" ca="1" si="738">IF(BC$12&lt;&gt;"", "Frete do café verde", "")</f>
        <v/>
      </c>
      <c r="BD16" s="104" t="str">
        <f t="shared" ref="BD16" ca="1" si="739">IF(BD$12&lt;&gt;"", -1000,"")</f>
        <v/>
      </c>
      <c r="BE16" s="63"/>
      <c r="BF16" s="63"/>
      <c r="BG16" s="105" t="str">
        <f t="shared" ref="BG16" ca="1" si="740">IF(BG$12&lt;&gt;"", "Frete do café verde", "")</f>
        <v/>
      </c>
      <c r="BH16" s="104" t="str">
        <f t="shared" ref="BH16" ca="1" si="741">IF(BH$12&lt;&gt;"", -1000,"")</f>
        <v/>
      </c>
      <c r="BI16" s="63"/>
      <c r="BJ16" s="63"/>
      <c r="BK16" s="105" t="str">
        <f t="shared" ref="BK16" ca="1" si="742">IF(BK$12&lt;&gt;"", "Frete do café verde", "")</f>
        <v>Frete do café verde</v>
      </c>
      <c r="BL16" s="104">
        <f t="shared" ref="BL16" ca="1" si="743">IF(BL$12&lt;&gt;"", -1000,"")</f>
        <v>-1000</v>
      </c>
      <c r="BM16" s="63"/>
      <c r="BN16" s="63"/>
      <c r="BO16" s="105" t="str">
        <f t="shared" ref="BO16" ca="1" si="744">IF(BO$12&lt;&gt;"", "Frete do café verde", "")</f>
        <v/>
      </c>
      <c r="BP16" s="104" t="str">
        <f t="shared" ref="BP16" ca="1" si="745">IF(BP$12&lt;&gt;"", -1000,"")</f>
        <v/>
      </c>
      <c r="BQ16" s="63"/>
      <c r="BR16" s="63"/>
      <c r="BS16" s="105" t="str">
        <f t="shared" ref="BS16" ca="1" si="746">IF(BS$12&lt;&gt;"", "Frete do café verde", "")</f>
        <v/>
      </c>
      <c r="BT16" s="104" t="str">
        <f t="shared" ref="BT16" ca="1" si="747">IF(BT$12&lt;&gt;"", -1000,"")</f>
        <v/>
      </c>
      <c r="BU16" s="63"/>
      <c r="BV16" s="63"/>
      <c r="BW16" s="105" t="str">
        <f t="shared" ref="BW16" ca="1" si="748">IF(BW$12&lt;&gt;"", "Frete do café verde", "")</f>
        <v>Frete do café verde</v>
      </c>
      <c r="BX16" s="104">
        <f t="shared" ref="BX16" ca="1" si="749">IF(BX$12&lt;&gt;"", -1000,"")</f>
        <v>-1000</v>
      </c>
      <c r="BY16" s="63"/>
      <c r="BZ16" s="63"/>
      <c r="CA16" s="105" t="str">
        <f t="shared" ref="CA16" ca="1" si="750">IF(CA$12&lt;&gt;"", "Frete do café verde", "")</f>
        <v/>
      </c>
      <c r="CB16" s="104" t="str">
        <f t="shared" ref="CB16" ca="1" si="751">IF(CB$12&lt;&gt;"", -1000,"")</f>
        <v/>
      </c>
      <c r="CC16" s="63"/>
      <c r="CD16" s="63"/>
      <c r="CE16" s="105" t="str">
        <f t="shared" ref="CE16" ca="1" si="752">IF(CE$12&lt;&gt;"", "Frete do café verde", "")</f>
        <v/>
      </c>
      <c r="CF16" s="104" t="str">
        <f t="shared" ref="CF16" ca="1" si="753">IF(CF$12&lt;&gt;"", -1000,"")</f>
        <v/>
      </c>
      <c r="CG16" s="63"/>
      <c r="CH16" s="63"/>
      <c r="CI16" s="105" t="str">
        <f t="shared" ref="CI16" ca="1" si="754">IF(CI$12&lt;&gt;"", "Frete do café verde", "")</f>
        <v>Frete do café verde</v>
      </c>
      <c r="CJ16" s="104">
        <f t="shared" ref="CJ16" ca="1" si="755">IF(CJ$12&lt;&gt;"", -1000,"")</f>
        <v>-1000</v>
      </c>
      <c r="CK16" s="63"/>
      <c r="CL16" s="63"/>
      <c r="CM16" s="105" t="str">
        <f t="shared" ref="CM16" ca="1" si="756">IF(CM$12&lt;&gt;"", "Frete do café verde", "")</f>
        <v/>
      </c>
      <c r="CN16" s="104" t="str">
        <f t="shared" ref="CN16" ca="1" si="757">IF(CN$12&lt;&gt;"", -1000,"")</f>
        <v/>
      </c>
      <c r="CO16" s="63"/>
      <c r="CP16" s="63"/>
      <c r="CQ16" s="105" t="str">
        <f t="shared" ref="CQ16" ca="1" si="758">IF(CQ$12&lt;&gt;"", "Frete do café verde", "")</f>
        <v/>
      </c>
      <c r="CR16" s="104" t="str">
        <f t="shared" ref="CR16" ca="1" si="759">IF(CR$12&lt;&gt;"", -1000,"")</f>
        <v/>
      </c>
      <c r="CS16" s="63"/>
      <c r="CT16" s="63"/>
      <c r="CU16" s="105" t="str">
        <f t="shared" ref="CU16" ca="1" si="760">IF(CU$12&lt;&gt;"", "Frete do café verde", "")</f>
        <v>Frete do café verde</v>
      </c>
      <c r="CV16" s="104">
        <f t="shared" ref="CV16" ca="1" si="761">IF(CV$12&lt;&gt;"", -1000,"")</f>
        <v>-1000</v>
      </c>
      <c r="CW16" s="63"/>
      <c r="CX16" s="63"/>
      <c r="CY16" s="105" t="str">
        <f t="shared" ref="CY16" ca="1" si="762">IF(CY$12&lt;&gt;"", "Frete do café verde", "")</f>
        <v/>
      </c>
      <c r="CZ16" s="104" t="str">
        <f t="shared" ref="CZ16" ca="1" si="763">IF(CZ$12&lt;&gt;"", -1000,"")</f>
        <v/>
      </c>
      <c r="DA16" s="63"/>
      <c r="DB16" s="63"/>
      <c r="DC16" s="105" t="str">
        <f t="shared" ref="DC16" ca="1" si="764">IF(DC$12&lt;&gt;"", "Frete do café verde", "")</f>
        <v/>
      </c>
      <c r="DD16" s="104" t="str">
        <f t="shared" ref="DD16" ca="1" si="765">IF(DD$12&lt;&gt;"", -1000,"")</f>
        <v/>
      </c>
      <c r="DE16" s="63"/>
      <c r="DF16" s="63"/>
      <c r="DG16" s="105" t="str">
        <f t="shared" ref="DG16" ca="1" si="766">IF(DG$12&lt;&gt;"", "Frete do café verde", "")</f>
        <v>Frete do café verde</v>
      </c>
      <c r="DH16" s="104">
        <f t="shared" ref="DH16" ca="1" si="767">IF(DH$12&lt;&gt;"", -1000,"")</f>
        <v>-1000</v>
      </c>
      <c r="DI16" s="63"/>
      <c r="DJ16" s="63"/>
      <c r="DK16" s="105" t="str">
        <f t="shared" ref="DK16" ca="1" si="768">IF(DK$12&lt;&gt;"", "Frete do café verde", "")</f>
        <v/>
      </c>
      <c r="DL16" s="104" t="str">
        <f t="shared" ref="DL16" ca="1" si="769">IF(DL$12&lt;&gt;"", -1000,"")</f>
        <v/>
      </c>
      <c r="DM16" s="63"/>
      <c r="DN16" s="63"/>
      <c r="DO16" s="105" t="str">
        <f t="shared" ref="DO16" ca="1" si="770">IF(DO$12&lt;&gt;"", "Frete do café verde", "")</f>
        <v/>
      </c>
      <c r="DP16" s="104" t="str">
        <f t="shared" ref="DP16" ca="1" si="771">IF(DP$12&lt;&gt;"", -1000,"")</f>
        <v/>
      </c>
      <c r="DQ16" s="63"/>
      <c r="DR16" s="63"/>
      <c r="DS16" s="105" t="str">
        <f t="shared" ref="DS16" ca="1" si="772">IF(DS$12&lt;&gt;"", "Frete do café verde", "")</f>
        <v>Frete do café verde</v>
      </c>
      <c r="DT16" s="104">
        <f t="shared" ref="DT16" ca="1" si="773">IF(DT$12&lt;&gt;"", -1000,"")</f>
        <v>-1000</v>
      </c>
      <c r="DU16" s="63"/>
      <c r="DV16" s="63"/>
      <c r="DW16" s="105" t="str">
        <f t="shared" ref="DW16" ca="1" si="774">IF(DW$12&lt;&gt;"", "Frete do café verde", "")</f>
        <v/>
      </c>
      <c r="DX16" s="104" t="str">
        <f t="shared" ref="DX16" ca="1" si="775">IF(DX$12&lt;&gt;"", -1000,"")</f>
        <v/>
      </c>
      <c r="DY16" s="63"/>
      <c r="DZ16" s="63"/>
      <c r="EA16" s="105" t="str">
        <f t="shared" ref="EA16" ca="1" si="776">IF(EA$12&lt;&gt;"", "Frete do café verde", "")</f>
        <v/>
      </c>
      <c r="EB16" s="104" t="str">
        <f t="shared" ref="EB16" ca="1" si="777">IF(EB$12&lt;&gt;"", -1000,"")</f>
        <v/>
      </c>
      <c r="EC16" s="63"/>
      <c r="ED16" s="63"/>
      <c r="EE16" s="105" t="str">
        <f t="shared" ref="EE16" ca="1" si="778">IF(EE$12&lt;&gt;"", "Frete do café verde", "")</f>
        <v>Frete do café verde</v>
      </c>
      <c r="EF16" s="104">
        <f t="shared" ref="EF16" ca="1" si="779">IF(EF$12&lt;&gt;"", -1000,"")</f>
        <v>-1000</v>
      </c>
      <c r="EG16" s="63"/>
      <c r="EH16" s="63"/>
      <c r="EI16" s="105" t="str">
        <f t="shared" ref="EI16" ca="1" si="780">IF(EI$12&lt;&gt;"", "Frete do café verde", "")</f>
        <v/>
      </c>
      <c r="EJ16" s="104" t="str">
        <f t="shared" ref="EJ16" ca="1" si="781">IF(EJ$12&lt;&gt;"", -1000,"")</f>
        <v/>
      </c>
      <c r="EK16" s="63"/>
      <c r="EL16" s="63"/>
      <c r="EM16" s="105" t="str">
        <f t="shared" ref="EM16" ca="1" si="782">IF(EM$12&lt;&gt;"", "Frete do café verde", "")</f>
        <v/>
      </c>
      <c r="EN16" s="104" t="str">
        <f t="shared" ref="EN16" ca="1" si="783">IF(EN$12&lt;&gt;"", -1000,"")</f>
        <v/>
      </c>
      <c r="EO16" s="63"/>
      <c r="EP16" s="63"/>
      <c r="EQ16" s="105" t="str">
        <f t="shared" ref="EQ16" ca="1" si="784">IF(EQ$12&lt;&gt;"", "Frete do café verde", "")</f>
        <v>Frete do café verde</v>
      </c>
      <c r="ER16" s="104">
        <f t="shared" ref="ER16" ca="1" si="785">IF(ER$12&lt;&gt;"", -1000,"")</f>
        <v>-1000</v>
      </c>
      <c r="ES16" s="63"/>
      <c r="ET16" s="63"/>
      <c r="EU16" s="105" t="str">
        <f t="shared" ref="EU16" ca="1" si="786">IF(EU$12&lt;&gt;"", "Frete do café verde", "")</f>
        <v/>
      </c>
      <c r="EV16" s="104" t="str">
        <f t="shared" ref="EV16" ca="1" si="787">IF(EV$12&lt;&gt;"", -1000,"")</f>
        <v/>
      </c>
      <c r="EW16" s="63"/>
      <c r="EX16" s="63"/>
      <c r="EY16" s="105" t="str">
        <f t="shared" ref="EY16" ca="1" si="788">IF(EY$12&lt;&gt;"", "Frete do café verde", "")</f>
        <v/>
      </c>
      <c r="EZ16" s="104" t="str">
        <f t="shared" ref="EZ16" ca="1" si="789">IF(EZ$12&lt;&gt;"", -1000,"")</f>
        <v/>
      </c>
      <c r="FA16" s="63"/>
      <c r="FB16" s="63"/>
      <c r="FC16" s="105" t="str">
        <f t="shared" ref="FC16" ca="1" si="790">IF(FC$12&lt;&gt;"", "Frete do café verde", "")</f>
        <v>Frete do café verde</v>
      </c>
      <c r="FD16" s="104">
        <f t="shared" ref="FD16" ca="1" si="791">IF(FD$12&lt;&gt;"", -1000,"")</f>
        <v>-1000</v>
      </c>
      <c r="FE16" s="63"/>
      <c r="FF16" s="63"/>
      <c r="FG16" s="105" t="str">
        <f t="shared" ref="FG16" ca="1" si="792">IF(FG$12&lt;&gt;"", "Frete do café verde", "")</f>
        <v/>
      </c>
      <c r="FH16" s="104" t="str">
        <f t="shared" ref="FH16" ca="1" si="793">IF(FH$12&lt;&gt;"", -1000,"")</f>
        <v/>
      </c>
      <c r="FI16" s="63"/>
      <c r="FJ16" s="63"/>
      <c r="FK16" s="105" t="str">
        <f t="shared" ref="FK16" ca="1" si="794">IF(FK$12&lt;&gt;"", "Frete do café verde", "")</f>
        <v/>
      </c>
      <c r="FL16" s="104" t="str">
        <f t="shared" ref="FL16" ca="1" si="795">IF(FL$12&lt;&gt;"", -1000,"")</f>
        <v/>
      </c>
      <c r="FM16" s="63"/>
      <c r="FN16" s="63"/>
      <c r="FO16" s="105" t="str">
        <f t="shared" ref="FO16" ca="1" si="796">IF(FO$12&lt;&gt;"", "Frete do café verde", "")</f>
        <v>Frete do café verde</v>
      </c>
      <c r="FP16" s="104">
        <f t="shared" ref="FP16" ca="1" si="797">IF(FP$12&lt;&gt;"", -1000,"")</f>
        <v>-1000</v>
      </c>
      <c r="FQ16" s="63"/>
      <c r="FR16" s="63"/>
      <c r="FS16" s="105" t="str">
        <f t="shared" ref="FS16" ca="1" si="798">IF(FS$12&lt;&gt;"", "Frete do café verde", "")</f>
        <v/>
      </c>
      <c r="FT16" s="104" t="str">
        <f t="shared" ref="FT16" ca="1" si="799">IF(FT$12&lt;&gt;"", -1000,"")</f>
        <v/>
      </c>
      <c r="FU16" s="63"/>
      <c r="FV16" s="63"/>
      <c r="FW16" s="105" t="str">
        <f t="shared" ref="FW16" ca="1" si="800">IF(FW$12&lt;&gt;"", "Frete do café verde", "")</f>
        <v/>
      </c>
      <c r="FX16" s="104" t="str">
        <f t="shared" ref="FX16" ca="1" si="801">IF(FX$12&lt;&gt;"", -1000,"")</f>
        <v/>
      </c>
      <c r="FY16" s="63"/>
      <c r="FZ16" s="63"/>
      <c r="GA16" s="105" t="str">
        <f t="shared" ref="GA16" ca="1" si="802">IF(GA$12&lt;&gt;"", "Frete do café verde", "")</f>
        <v>Frete do café verde</v>
      </c>
      <c r="GB16" s="104">
        <f t="shared" ref="GB16" ca="1" si="803">IF(GB$12&lt;&gt;"", -1000,"")</f>
        <v>-1000</v>
      </c>
      <c r="GC16" s="63"/>
      <c r="GD16" s="63"/>
      <c r="GE16" s="105" t="str">
        <f t="shared" ref="GE16" ca="1" si="804">IF(GE$12&lt;&gt;"", "Frete do café verde", "")</f>
        <v/>
      </c>
      <c r="GF16" s="104" t="str">
        <f t="shared" ref="GF16" ca="1" si="805">IF(GF$12&lt;&gt;"", -1000,"")</f>
        <v/>
      </c>
      <c r="GG16" s="63"/>
      <c r="GH16" s="63"/>
      <c r="GI16" s="105" t="str">
        <f t="shared" ref="GI16" ca="1" si="806">IF(GI$12&lt;&gt;"", "Frete do café verde", "")</f>
        <v/>
      </c>
      <c r="GJ16" s="104" t="str">
        <f t="shared" ref="GJ16" ca="1" si="807">IF(GJ$12&lt;&gt;"", -1000,"")</f>
        <v/>
      </c>
      <c r="GK16" s="63"/>
      <c r="GL16" s="63"/>
      <c r="GM16" s="105" t="str">
        <f t="shared" ref="GM16" ca="1" si="808">IF(GM$12&lt;&gt;"", "Frete do café verde", "")</f>
        <v>Frete do café verde</v>
      </c>
      <c r="GN16" s="104">
        <f t="shared" ref="GN16" ca="1" si="809">IF(GN$12&lt;&gt;"", -1000,"")</f>
        <v>-1000</v>
      </c>
      <c r="GO16" s="63"/>
      <c r="GP16" s="63"/>
      <c r="GQ16" s="105" t="str">
        <f t="shared" ref="GQ16" ca="1" si="810">IF(GQ$12&lt;&gt;"", "Frete do café verde", "")</f>
        <v/>
      </c>
      <c r="GR16" s="104" t="str">
        <f t="shared" ref="GR16" ca="1" si="811">IF(GR$12&lt;&gt;"", -1000,"")</f>
        <v/>
      </c>
      <c r="GS16" s="63"/>
      <c r="GT16" s="63"/>
      <c r="GU16" s="105" t="str">
        <f t="shared" ref="GU16" ca="1" si="812">IF(GU$12&lt;&gt;"", "Frete do café verde", "")</f>
        <v/>
      </c>
      <c r="GV16" s="104" t="str">
        <f t="shared" ref="GV16" ca="1" si="813">IF(GV$12&lt;&gt;"", -1000,"")</f>
        <v/>
      </c>
      <c r="GW16" s="63"/>
      <c r="GX16" s="63"/>
      <c r="GY16" s="105" t="str">
        <f t="shared" ref="GY16" ca="1" si="814">IF(GY$12&lt;&gt;"", "Frete do café verde", "")</f>
        <v>Frete do café verde</v>
      </c>
      <c r="GZ16" s="104">
        <f t="shared" ref="GZ16" ca="1" si="815">IF(GZ$12&lt;&gt;"", -1000,"")</f>
        <v>-1000</v>
      </c>
      <c r="HA16" s="63"/>
      <c r="HB16" s="63"/>
      <c r="HC16" s="105" t="str">
        <f t="shared" ref="HC16" ca="1" si="816">IF(HC$12&lt;&gt;"", "Frete do café verde", "")</f>
        <v/>
      </c>
      <c r="HD16" s="104" t="str">
        <f t="shared" ref="HD16" ca="1" si="817">IF(HD$12&lt;&gt;"", -1000,"")</f>
        <v/>
      </c>
      <c r="HE16" s="63"/>
      <c r="HF16" s="63"/>
      <c r="HG16" s="105" t="str">
        <f t="shared" ref="HG16" ca="1" si="818">IF(HG$12&lt;&gt;"", "Frete do café verde", "")</f>
        <v/>
      </c>
      <c r="HH16" s="104" t="str">
        <f t="shared" ref="HH16" ca="1" si="819">IF(HH$12&lt;&gt;"", -1000,"")</f>
        <v/>
      </c>
      <c r="HI16" s="63"/>
      <c r="HJ16" s="63"/>
      <c r="HK16" s="105" t="str">
        <f t="shared" ref="HK16" ca="1" si="820">IF(HK$12&lt;&gt;"", "Frete do café verde", "")</f>
        <v>Frete do café verde</v>
      </c>
      <c r="HL16" s="104">
        <f t="shared" ref="HL16" ca="1" si="821">IF(HL$12&lt;&gt;"", -1000,"")</f>
        <v>-1000</v>
      </c>
      <c r="HM16" s="63"/>
      <c r="HN16" s="63"/>
      <c r="HO16" s="105" t="str">
        <f t="shared" ref="HO16" ca="1" si="822">IF(HO$12&lt;&gt;"", "Frete do café verde", "")</f>
        <v/>
      </c>
      <c r="HP16" s="104" t="str">
        <f t="shared" ref="HP16" ca="1" si="823">IF(HP$12&lt;&gt;"", -1000,"")</f>
        <v/>
      </c>
      <c r="HQ16" s="63"/>
      <c r="HR16" s="63"/>
      <c r="HS16" s="105" t="str">
        <f t="shared" ref="HS16" ca="1" si="824">IF(HS$12&lt;&gt;"", "Frete do café verde", "")</f>
        <v/>
      </c>
      <c r="HT16" s="104" t="str">
        <f t="shared" ref="HT16" ca="1" si="825">IF(HT$12&lt;&gt;"", -1000,"")</f>
        <v/>
      </c>
      <c r="HU16" s="63"/>
      <c r="HV16" s="63"/>
      <c r="HW16" s="105" t="str">
        <f t="shared" ref="HW16" ca="1" si="826">IF(HW$12&lt;&gt;"", "Frete do café verde", "")</f>
        <v>Frete do café verde</v>
      </c>
      <c r="HX16" s="104">
        <f t="shared" ref="HX16" ca="1" si="827">IF(HX$12&lt;&gt;"", -1000,"")</f>
        <v>-1000</v>
      </c>
      <c r="HY16" s="63"/>
      <c r="HZ16" s="63"/>
      <c r="IA16" s="105" t="str">
        <f t="shared" ref="IA16" ca="1" si="828">IF(IA$12&lt;&gt;"", "Frete do café verde", "")</f>
        <v/>
      </c>
      <c r="IB16" s="104" t="str">
        <f t="shared" ref="IB16" ca="1" si="829">IF(IB$12&lt;&gt;"", -1000,"")</f>
        <v/>
      </c>
      <c r="IC16" s="63"/>
      <c r="ID16" s="63"/>
      <c r="IE16" s="105" t="str">
        <f t="shared" ref="IE16" ca="1" si="830">IF(IE$12&lt;&gt;"", "Frete do café verde", "")</f>
        <v/>
      </c>
      <c r="IF16" s="104" t="str">
        <f t="shared" ref="IF16" ca="1" si="831">IF(IF$12&lt;&gt;"", -1000,"")</f>
        <v/>
      </c>
      <c r="IG16" s="63"/>
      <c r="IH16" s="63"/>
      <c r="II16" s="105" t="str">
        <f t="shared" ref="II16" ca="1" si="832">IF(II$12&lt;&gt;"", "Frete do café verde", "")</f>
        <v>Frete do café verde</v>
      </c>
      <c r="IJ16" s="104">
        <f t="shared" ref="IJ16" ca="1" si="833">IF(IJ$12&lt;&gt;"", -1000,"")</f>
        <v>-1000</v>
      </c>
      <c r="IK16" s="63"/>
      <c r="IL16" s="63"/>
      <c r="IM16" s="105" t="str">
        <f t="shared" ref="IM16" ca="1" si="834">IF(IM$12&lt;&gt;"", "Frete do café verde", "")</f>
        <v/>
      </c>
      <c r="IN16" s="104" t="str">
        <f t="shared" ref="IN16" ca="1" si="835">IF(IN$12&lt;&gt;"", -1000,"")</f>
        <v/>
      </c>
      <c r="IO16" s="63"/>
      <c r="IP16" s="63"/>
      <c r="IQ16" s="105" t="str">
        <f t="shared" ref="IQ16" ca="1" si="836">IF(IQ$12&lt;&gt;"", "Frete do café verde", "")</f>
        <v/>
      </c>
      <c r="IR16" s="104" t="str">
        <f t="shared" ref="IR16" ca="1" si="837">IF(IR$12&lt;&gt;"", -1000,"")</f>
        <v/>
      </c>
      <c r="IS16" s="63"/>
      <c r="IT16" s="63"/>
      <c r="IU16" s="105" t="str">
        <f t="shared" ref="IU16" ca="1" si="838">IF(IU$12&lt;&gt;"", "Frete do café verde", "")</f>
        <v>Frete do café verde</v>
      </c>
      <c r="IV16" s="104">
        <f t="shared" ref="IV16" ca="1" si="839">IF(IV$12&lt;&gt;"", -1000,"")</f>
        <v>-1000</v>
      </c>
      <c r="IW16" s="63"/>
      <c r="IX16" s="63"/>
      <c r="IY16" s="105" t="str">
        <f t="shared" ref="IY16" ca="1" si="840">IF(IY$12&lt;&gt;"", "Frete do café verde", "")</f>
        <v/>
      </c>
      <c r="IZ16" s="104" t="str">
        <f t="shared" ref="IZ16" ca="1" si="841">IF(IZ$12&lt;&gt;"", -1000,"")</f>
        <v/>
      </c>
      <c r="JA16" s="63"/>
      <c r="JB16" s="63"/>
      <c r="JC16" s="105" t="str">
        <f t="shared" ref="JC16" ca="1" si="842">IF(JC$12&lt;&gt;"", "Frete do café verde", "")</f>
        <v/>
      </c>
      <c r="JD16" s="104" t="str">
        <f t="shared" ref="JD16" ca="1" si="843">IF(JD$12&lt;&gt;"", -1000,"")</f>
        <v/>
      </c>
      <c r="JE16" s="63"/>
      <c r="JF16" s="63"/>
      <c r="JG16" s="105" t="str">
        <f t="shared" ref="JG16" ca="1" si="844">IF(JG$12&lt;&gt;"", "Frete do café verde", "")</f>
        <v>Frete do café verde</v>
      </c>
      <c r="JH16" s="104">
        <f t="shared" ref="JH16" ca="1" si="845">IF(JH$12&lt;&gt;"", -1000,"")</f>
        <v>-1000</v>
      </c>
      <c r="JI16" s="63"/>
      <c r="JJ16" s="63"/>
      <c r="JK16" s="105" t="str">
        <f t="shared" ref="JK16" ca="1" si="846">IF(JK$12&lt;&gt;"", "Frete do café verde", "")</f>
        <v/>
      </c>
      <c r="JL16" s="104" t="str">
        <f t="shared" ref="JL16" ca="1" si="847">IF(JL$12&lt;&gt;"", -1000,"")</f>
        <v/>
      </c>
      <c r="JM16" s="63"/>
      <c r="JN16" s="63"/>
      <c r="JO16" s="105" t="str">
        <f t="shared" ref="JO16" ca="1" si="848">IF(JO$12&lt;&gt;"", "Frete do café verde", "")</f>
        <v/>
      </c>
      <c r="JP16" s="104" t="str">
        <f t="shared" ref="JP16" ca="1" si="849">IF(JP$12&lt;&gt;"", -1000,"")</f>
        <v/>
      </c>
      <c r="JQ16" s="63"/>
      <c r="JR16" s="63"/>
      <c r="JS16" s="105" t="str">
        <f t="shared" ref="JS16" ca="1" si="850">IF(JS$12&lt;&gt;"", "Frete do café verde", "")</f>
        <v>Frete do café verde</v>
      </c>
      <c r="JT16" s="104">
        <f t="shared" ref="JT16" ca="1" si="851">IF(JT$12&lt;&gt;"", -1000,"")</f>
        <v>-1000</v>
      </c>
      <c r="JU16" s="63"/>
      <c r="JV16" s="63"/>
      <c r="JW16" s="105" t="str">
        <f t="shared" ref="JW16" ca="1" si="852">IF(JW$12&lt;&gt;"", "Frete do café verde", "")</f>
        <v/>
      </c>
      <c r="JX16" s="104" t="str">
        <f t="shared" ref="JX16" ca="1" si="853">IF(JX$12&lt;&gt;"", -1000,"")</f>
        <v/>
      </c>
      <c r="JY16" s="63"/>
      <c r="JZ16" s="63"/>
      <c r="KA16" s="105" t="str">
        <f t="shared" ref="KA16" ca="1" si="854">IF(KA$12&lt;&gt;"", "Frete do café verde", "")</f>
        <v/>
      </c>
      <c r="KB16" s="104" t="str">
        <f t="shared" ref="KB16" ca="1" si="855">IF(KB$12&lt;&gt;"", -1000,"")</f>
        <v/>
      </c>
      <c r="KC16" s="63"/>
      <c r="KD16" s="63"/>
      <c r="KE16" s="105" t="str">
        <f t="shared" ref="KE16" ca="1" si="856">IF(KE$12&lt;&gt;"", "Frete do café verde", "")</f>
        <v>Frete do café verde</v>
      </c>
      <c r="KF16" s="104">
        <f t="shared" ref="KF16" ca="1" si="857">IF(KF$12&lt;&gt;"", -1000,"")</f>
        <v>-1000</v>
      </c>
      <c r="KG16" s="63"/>
      <c r="KH16" s="63"/>
    </row>
    <row r="17" spans="1:294" x14ac:dyDescent="0.25">
      <c r="C17" s="107" t="s">
        <v>191</v>
      </c>
      <c r="D17" s="108">
        <f>-'Investimento Inicial'!$B$7</f>
        <v>-3000</v>
      </c>
      <c r="E17" s="63"/>
      <c r="F17" s="63"/>
      <c r="G17" s="107" t="s">
        <v>191</v>
      </c>
      <c r="H17" s="108">
        <f>-'Investimento Inicial'!$B$7</f>
        <v>-3000</v>
      </c>
      <c r="I17" s="63"/>
      <c r="J17" s="63"/>
      <c r="K17" s="107" t="s">
        <v>191</v>
      </c>
      <c r="L17" s="108">
        <f>-'Investimento Inicial'!$B$7</f>
        <v>-3000</v>
      </c>
      <c r="M17" s="63"/>
      <c r="N17" s="63"/>
      <c r="O17" s="107" t="s">
        <v>191</v>
      </c>
      <c r="P17" s="108">
        <f>-'Investimento Inicial'!$B$7</f>
        <v>-3000</v>
      </c>
      <c r="Q17" s="63"/>
      <c r="R17" s="63"/>
      <c r="S17" s="107" t="s">
        <v>191</v>
      </c>
      <c r="T17" s="108">
        <f>-'Investimento Inicial'!$B$7</f>
        <v>-3000</v>
      </c>
      <c r="U17" s="63"/>
      <c r="V17" s="63"/>
      <c r="W17" s="107" t="s">
        <v>191</v>
      </c>
      <c r="X17" s="108">
        <f>-'Investimento Inicial'!$B$7</f>
        <v>-3000</v>
      </c>
      <c r="Y17" s="63"/>
      <c r="Z17" s="63"/>
      <c r="AA17" s="107" t="s">
        <v>191</v>
      </c>
      <c r="AB17" s="108">
        <f>-'Investimento Inicial'!$B$7</f>
        <v>-3000</v>
      </c>
      <c r="AC17" s="63"/>
      <c r="AD17" s="63"/>
      <c r="AE17" s="107" t="s">
        <v>191</v>
      </c>
      <c r="AF17" s="108">
        <f>-'Investimento Inicial'!$B$7</f>
        <v>-3000</v>
      </c>
      <c r="AG17" s="63"/>
      <c r="AH17" s="63"/>
      <c r="AI17" s="107" t="s">
        <v>191</v>
      </c>
      <c r="AJ17" s="108">
        <f>-'Investimento Inicial'!$B$7</f>
        <v>-3000</v>
      </c>
      <c r="AK17" s="63"/>
      <c r="AL17" s="63"/>
      <c r="AM17" s="107" t="s">
        <v>191</v>
      </c>
      <c r="AN17" s="108">
        <f>-'Investimento Inicial'!$B$7</f>
        <v>-3000</v>
      </c>
      <c r="AO17" s="63"/>
      <c r="AP17" s="63"/>
      <c r="AQ17" s="107" t="s">
        <v>191</v>
      </c>
      <c r="AR17" s="108">
        <f>-'Investimento Inicial'!$B$7</f>
        <v>-3000</v>
      </c>
      <c r="AS17" s="63"/>
      <c r="AT17" s="63"/>
      <c r="AU17" s="107" t="s">
        <v>191</v>
      </c>
      <c r="AV17" s="108">
        <f>-'Investimento Inicial'!$B$7</f>
        <v>-3000</v>
      </c>
      <c r="AW17" s="63"/>
      <c r="AX17" s="63"/>
      <c r="AY17" s="107" t="s">
        <v>191</v>
      </c>
      <c r="AZ17" s="108">
        <f>-'Investimento Inicial'!$B$7</f>
        <v>-3000</v>
      </c>
      <c r="BA17" s="63"/>
      <c r="BB17" s="63"/>
      <c r="BC17" s="107" t="s">
        <v>191</v>
      </c>
      <c r="BD17" s="108">
        <f>-'Investimento Inicial'!$B$7</f>
        <v>-3000</v>
      </c>
      <c r="BE17" s="63"/>
      <c r="BF17" s="63"/>
      <c r="BG17" s="107" t="s">
        <v>191</v>
      </c>
      <c r="BH17" s="108">
        <f>-'Investimento Inicial'!$B$7</f>
        <v>-3000</v>
      </c>
      <c r="BI17" s="63"/>
      <c r="BJ17" s="63"/>
      <c r="BK17" s="107" t="s">
        <v>191</v>
      </c>
      <c r="BL17" s="108">
        <f>-'Investimento Inicial'!$B$7</f>
        <v>-3000</v>
      </c>
      <c r="BM17" s="63"/>
      <c r="BN17" s="63"/>
      <c r="BO17" s="107" t="s">
        <v>191</v>
      </c>
      <c r="BP17" s="108">
        <f>-'Investimento Inicial'!$B$7</f>
        <v>-3000</v>
      </c>
      <c r="BQ17" s="63"/>
      <c r="BR17" s="63"/>
      <c r="BS17" s="107" t="s">
        <v>191</v>
      </c>
      <c r="BT17" s="108">
        <f>-'Investimento Inicial'!$B$7</f>
        <v>-3000</v>
      </c>
      <c r="BU17" s="63"/>
      <c r="BV17" s="63"/>
      <c r="BW17" s="107" t="s">
        <v>191</v>
      </c>
      <c r="BX17" s="108">
        <f>-'Investimento Inicial'!$B$7</f>
        <v>-3000</v>
      </c>
      <c r="BY17" s="63"/>
      <c r="BZ17" s="63"/>
      <c r="CA17" s="107" t="s">
        <v>191</v>
      </c>
      <c r="CB17" s="108">
        <f>-'Investimento Inicial'!$B$7</f>
        <v>-3000</v>
      </c>
      <c r="CC17" s="63"/>
      <c r="CD17" s="63"/>
      <c r="CE17" s="107" t="s">
        <v>191</v>
      </c>
      <c r="CF17" s="108">
        <f>-'Investimento Inicial'!$B$7</f>
        <v>-3000</v>
      </c>
      <c r="CG17" s="63"/>
      <c r="CH17" s="63"/>
      <c r="CI17" s="107" t="s">
        <v>191</v>
      </c>
      <c r="CJ17" s="108">
        <f>-'Investimento Inicial'!$B$7</f>
        <v>-3000</v>
      </c>
      <c r="CK17" s="63"/>
      <c r="CL17" s="63"/>
      <c r="CM17" s="107" t="s">
        <v>191</v>
      </c>
      <c r="CN17" s="108">
        <f>-'Investimento Inicial'!$B$7</f>
        <v>-3000</v>
      </c>
      <c r="CO17" s="63"/>
      <c r="CP17" s="63"/>
      <c r="CQ17" s="107" t="s">
        <v>191</v>
      </c>
      <c r="CR17" s="108">
        <f>-'Investimento Inicial'!$B$7</f>
        <v>-3000</v>
      </c>
      <c r="CS17" s="63"/>
      <c r="CT17" s="63"/>
      <c r="CU17" s="107" t="s">
        <v>191</v>
      </c>
      <c r="CV17" s="108">
        <f>-'Investimento Inicial'!$B$7</f>
        <v>-3000</v>
      </c>
      <c r="CW17" s="63"/>
      <c r="CX17" s="63"/>
      <c r="CY17" s="107" t="s">
        <v>191</v>
      </c>
      <c r="CZ17" s="108">
        <f>-'Investimento Inicial'!$B$7</f>
        <v>-3000</v>
      </c>
      <c r="DA17" s="63"/>
      <c r="DB17" s="63"/>
      <c r="DC17" s="107" t="s">
        <v>191</v>
      </c>
      <c r="DD17" s="108">
        <f>-'Investimento Inicial'!$B$7</f>
        <v>-3000</v>
      </c>
      <c r="DE17" s="63"/>
      <c r="DF17" s="63"/>
      <c r="DG17" s="107" t="s">
        <v>191</v>
      </c>
      <c r="DH17" s="108">
        <f>-'Investimento Inicial'!$B$7</f>
        <v>-3000</v>
      </c>
      <c r="DI17" s="63"/>
      <c r="DJ17" s="63"/>
      <c r="DK17" s="107" t="s">
        <v>191</v>
      </c>
      <c r="DL17" s="108">
        <f>-'Investimento Inicial'!$B$7</f>
        <v>-3000</v>
      </c>
      <c r="DM17" s="63"/>
      <c r="DN17" s="63"/>
      <c r="DO17" s="107" t="s">
        <v>191</v>
      </c>
      <c r="DP17" s="108">
        <f>-'Investimento Inicial'!$B$7</f>
        <v>-3000</v>
      </c>
      <c r="DQ17" s="63"/>
      <c r="DR17" s="63"/>
      <c r="DS17" s="107" t="s">
        <v>191</v>
      </c>
      <c r="DT17" s="108">
        <f>-'Investimento Inicial'!$B$7</f>
        <v>-3000</v>
      </c>
      <c r="DU17" s="63"/>
      <c r="DV17" s="63"/>
      <c r="DW17" s="107" t="s">
        <v>191</v>
      </c>
      <c r="DX17" s="108">
        <f>-'Investimento Inicial'!$B$7</f>
        <v>-3000</v>
      </c>
      <c r="DY17" s="63"/>
      <c r="DZ17" s="63"/>
      <c r="EA17" s="107" t="s">
        <v>191</v>
      </c>
      <c r="EB17" s="108">
        <f>-'Investimento Inicial'!$B$7</f>
        <v>-3000</v>
      </c>
      <c r="EC17" s="63"/>
      <c r="ED17" s="63"/>
      <c r="EE17" s="107" t="s">
        <v>191</v>
      </c>
      <c r="EF17" s="108">
        <f>-'Investimento Inicial'!$B$7</f>
        <v>-3000</v>
      </c>
      <c r="EG17" s="63"/>
      <c r="EH17" s="63"/>
      <c r="EI17" s="107" t="s">
        <v>191</v>
      </c>
      <c r="EJ17" s="108">
        <f>-'Investimento Inicial'!$B$7</f>
        <v>-3000</v>
      </c>
      <c r="EK17" s="63"/>
      <c r="EL17" s="63"/>
      <c r="EM17" s="107" t="s">
        <v>191</v>
      </c>
      <c r="EN17" s="108">
        <f>-'Investimento Inicial'!$B$7</f>
        <v>-3000</v>
      </c>
      <c r="EO17" s="63"/>
      <c r="EP17" s="63"/>
      <c r="EQ17" s="107" t="s">
        <v>191</v>
      </c>
      <c r="ER17" s="108">
        <f>-'Investimento Inicial'!$B$7</f>
        <v>-3000</v>
      </c>
      <c r="ES17" s="63"/>
      <c r="ET17" s="63"/>
      <c r="EU17" s="107" t="s">
        <v>191</v>
      </c>
      <c r="EV17" s="108">
        <f>-'Investimento Inicial'!$B$7</f>
        <v>-3000</v>
      </c>
      <c r="EW17" s="63"/>
      <c r="EX17" s="63"/>
      <c r="EY17" s="107" t="s">
        <v>191</v>
      </c>
      <c r="EZ17" s="108">
        <f>-'Investimento Inicial'!$B$7</f>
        <v>-3000</v>
      </c>
      <c r="FA17" s="63"/>
      <c r="FB17" s="63"/>
      <c r="FC17" s="107" t="s">
        <v>191</v>
      </c>
      <c r="FD17" s="108">
        <f>-'Investimento Inicial'!$B$7</f>
        <v>-3000</v>
      </c>
      <c r="FE17" s="63"/>
      <c r="FF17" s="63"/>
      <c r="FG17" s="107" t="s">
        <v>191</v>
      </c>
      <c r="FH17" s="108">
        <f>-'Investimento Inicial'!$B$7</f>
        <v>-3000</v>
      </c>
      <c r="FI17" s="63"/>
      <c r="FJ17" s="63"/>
      <c r="FK17" s="107" t="s">
        <v>191</v>
      </c>
      <c r="FL17" s="108">
        <f>-'Investimento Inicial'!$B$7</f>
        <v>-3000</v>
      </c>
      <c r="FM17" s="63"/>
      <c r="FN17" s="63"/>
      <c r="FO17" s="107" t="s">
        <v>191</v>
      </c>
      <c r="FP17" s="108">
        <f>-'Investimento Inicial'!$B$7</f>
        <v>-3000</v>
      </c>
      <c r="FQ17" s="63"/>
      <c r="FR17" s="63"/>
      <c r="FS17" s="107" t="s">
        <v>191</v>
      </c>
      <c r="FT17" s="108">
        <f>-'Investimento Inicial'!$B$7</f>
        <v>-3000</v>
      </c>
      <c r="FU17" s="63"/>
      <c r="FV17" s="63"/>
      <c r="FW17" s="107" t="s">
        <v>191</v>
      </c>
      <c r="FX17" s="108">
        <f>-'Investimento Inicial'!$B$7</f>
        <v>-3000</v>
      </c>
      <c r="FY17" s="63"/>
      <c r="FZ17" s="63"/>
      <c r="GA17" s="107" t="s">
        <v>191</v>
      </c>
      <c r="GB17" s="108">
        <f>-'Investimento Inicial'!$B$7</f>
        <v>-3000</v>
      </c>
      <c r="GC17" s="63"/>
      <c r="GD17" s="63"/>
      <c r="GE17" s="107" t="s">
        <v>191</v>
      </c>
      <c r="GF17" s="108">
        <f>-'Investimento Inicial'!$B$7</f>
        <v>-3000</v>
      </c>
      <c r="GG17" s="63"/>
      <c r="GH17" s="63"/>
      <c r="GI17" s="107" t="s">
        <v>191</v>
      </c>
      <c r="GJ17" s="108">
        <f>-'Investimento Inicial'!$B$7</f>
        <v>-3000</v>
      </c>
      <c r="GK17" s="63"/>
      <c r="GL17" s="63"/>
      <c r="GM17" s="107" t="s">
        <v>191</v>
      </c>
      <c r="GN17" s="108">
        <f>-'Investimento Inicial'!$B$7</f>
        <v>-3000</v>
      </c>
      <c r="GO17" s="63"/>
      <c r="GP17" s="63"/>
      <c r="GQ17" s="107" t="s">
        <v>191</v>
      </c>
      <c r="GR17" s="108">
        <f>-'Investimento Inicial'!$B$7</f>
        <v>-3000</v>
      </c>
      <c r="GS17" s="63"/>
      <c r="GT17" s="63"/>
      <c r="GU17" s="107" t="s">
        <v>191</v>
      </c>
      <c r="GV17" s="108">
        <f>-'Investimento Inicial'!$B$7</f>
        <v>-3000</v>
      </c>
      <c r="GW17" s="63"/>
      <c r="GX17" s="63"/>
      <c r="GY17" s="107" t="s">
        <v>191</v>
      </c>
      <c r="GZ17" s="108">
        <f>-'Investimento Inicial'!$B$7</f>
        <v>-3000</v>
      </c>
      <c r="HA17" s="63"/>
      <c r="HB17" s="63"/>
      <c r="HC17" s="107" t="s">
        <v>191</v>
      </c>
      <c r="HD17" s="108">
        <f>-'Investimento Inicial'!$B$7</f>
        <v>-3000</v>
      </c>
      <c r="HE17" s="63"/>
      <c r="HF17" s="63"/>
      <c r="HG17" s="107" t="s">
        <v>191</v>
      </c>
      <c r="HH17" s="108">
        <f>-'Investimento Inicial'!$B$7</f>
        <v>-3000</v>
      </c>
      <c r="HI17" s="63"/>
      <c r="HJ17" s="63"/>
      <c r="HK17" s="107" t="s">
        <v>191</v>
      </c>
      <c r="HL17" s="108">
        <f>-'Investimento Inicial'!$B$7</f>
        <v>-3000</v>
      </c>
      <c r="HM17" s="63"/>
      <c r="HN17" s="63"/>
      <c r="HO17" s="107" t="s">
        <v>191</v>
      </c>
      <c r="HP17" s="108">
        <f>-'Investimento Inicial'!$B$7</f>
        <v>-3000</v>
      </c>
      <c r="HQ17" s="63"/>
      <c r="HR17" s="63"/>
      <c r="HS17" s="107" t="s">
        <v>191</v>
      </c>
      <c r="HT17" s="108">
        <f>-'Investimento Inicial'!$B$7</f>
        <v>-3000</v>
      </c>
      <c r="HU17" s="63"/>
      <c r="HV17" s="63"/>
      <c r="HW17" s="107" t="s">
        <v>191</v>
      </c>
      <c r="HX17" s="108">
        <f>-'Investimento Inicial'!$B$7</f>
        <v>-3000</v>
      </c>
      <c r="HY17" s="63"/>
      <c r="HZ17" s="63"/>
      <c r="IA17" s="107" t="s">
        <v>191</v>
      </c>
      <c r="IB17" s="108">
        <f>-'Investimento Inicial'!$B$7</f>
        <v>-3000</v>
      </c>
      <c r="IC17" s="63"/>
      <c r="ID17" s="63"/>
      <c r="IE17" s="107" t="s">
        <v>191</v>
      </c>
      <c r="IF17" s="108">
        <f>-'Investimento Inicial'!$B$7</f>
        <v>-3000</v>
      </c>
      <c r="IG17" s="63"/>
      <c r="IH17" s="63"/>
      <c r="II17" s="107" t="s">
        <v>191</v>
      </c>
      <c r="IJ17" s="108">
        <f>-'Investimento Inicial'!$B$7</f>
        <v>-3000</v>
      </c>
      <c r="IK17" s="63"/>
      <c r="IL17" s="63"/>
      <c r="IM17" s="107" t="s">
        <v>191</v>
      </c>
      <c r="IN17" s="108">
        <f>-'Investimento Inicial'!$B$7</f>
        <v>-3000</v>
      </c>
      <c r="IO17" s="63"/>
      <c r="IP17" s="63"/>
      <c r="IQ17" s="107" t="s">
        <v>191</v>
      </c>
      <c r="IR17" s="108">
        <f>-'Investimento Inicial'!$B$7</f>
        <v>-3000</v>
      </c>
      <c r="IS17" s="63"/>
      <c r="IT17" s="63"/>
      <c r="IU17" s="107" t="s">
        <v>191</v>
      </c>
      <c r="IV17" s="108">
        <f>-'Investimento Inicial'!$B$7</f>
        <v>-3000</v>
      </c>
      <c r="IW17" s="63"/>
      <c r="IX17" s="63"/>
      <c r="IY17" s="107" t="s">
        <v>191</v>
      </c>
      <c r="IZ17" s="108">
        <f>-'Investimento Inicial'!$B$7</f>
        <v>-3000</v>
      </c>
      <c r="JA17" s="63"/>
      <c r="JB17" s="63"/>
      <c r="JC17" s="107" t="s">
        <v>191</v>
      </c>
      <c r="JD17" s="108">
        <f>-'Investimento Inicial'!$B$7</f>
        <v>-3000</v>
      </c>
      <c r="JE17" s="63"/>
      <c r="JF17" s="63"/>
      <c r="JG17" s="107" t="s">
        <v>191</v>
      </c>
      <c r="JH17" s="108">
        <f>-'Investimento Inicial'!$B$7</f>
        <v>-3000</v>
      </c>
      <c r="JI17" s="63"/>
      <c r="JJ17" s="63"/>
      <c r="JK17" s="107" t="s">
        <v>191</v>
      </c>
      <c r="JL17" s="108">
        <f>-'Investimento Inicial'!$B$7</f>
        <v>-3000</v>
      </c>
      <c r="JM17" s="63"/>
      <c r="JN17" s="63"/>
      <c r="JO17" s="107" t="s">
        <v>191</v>
      </c>
      <c r="JP17" s="108">
        <f>-'Investimento Inicial'!$B$7</f>
        <v>-3000</v>
      </c>
      <c r="JQ17" s="63"/>
      <c r="JR17" s="63"/>
      <c r="JS17" s="107" t="s">
        <v>191</v>
      </c>
      <c r="JT17" s="108">
        <f>-'Investimento Inicial'!$B$7</f>
        <v>-3000</v>
      </c>
      <c r="JU17" s="63"/>
      <c r="JV17" s="63"/>
      <c r="JW17" s="107" t="s">
        <v>191</v>
      </c>
      <c r="JX17" s="108">
        <f>-'Investimento Inicial'!$B$7</f>
        <v>-3000</v>
      </c>
      <c r="JY17" s="63"/>
      <c r="JZ17" s="63"/>
      <c r="KA17" s="107" t="s">
        <v>191</v>
      </c>
      <c r="KB17" s="108">
        <f>-'Investimento Inicial'!$B$7</f>
        <v>-3000</v>
      </c>
      <c r="KC17" s="63"/>
      <c r="KD17" s="63"/>
      <c r="KE17" s="107" t="s">
        <v>191</v>
      </c>
      <c r="KF17" s="108">
        <f>-'Investimento Inicial'!$B$7</f>
        <v>-3000</v>
      </c>
      <c r="KG17" s="63"/>
      <c r="KH17" s="63"/>
    </row>
    <row r="18" spans="1:294" x14ac:dyDescent="0.25">
      <c r="A18" s="45"/>
      <c r="C18" s="107" t="s">
        <v>200</v>
      </c>
      <c r="D18" s="108">
        <f>-'Investimento Inicial'!$C$4</f>
        <v>-5000</v>
      </c>
      <c r="E18" s="63"/>
      <c r="F18" s="63"/>
      <c r="G18" s="107" t="s">
        <v>200</v>
      </c>
      <c r="H18" s="108">
        <f>-'Investimento Inicial'!$C$4</f>
        <v>-5000</v>
      </c>
      <c r="I18" s="63"/>
      <c r="J18" s="63"/>
      <c r="K18" s="107" t="s">
        <v>200</v>
      </c>
      <c r="L18" s="108">
        <f>-'Investimento Inicial'!$C$4</f>
        <v>-5000</v>
      </c>
      <c r="M18" s="63"/>
      <c r="N18" s="63"/>
      <c r="O18" s="107" t="s">
        <v>200</v>
      </c>
      <c r="P18" s="108">
        <f>-'Investimento Inicial'!$C$4</f>
        <v>-5000</v>
      </c>
      <c r="Q18" s="63"/>
      <c r="R18" s="63"/>
      <c r="S18" s="107" t="s">
        <v>200</v>
      </c>
      <c r="T18" s="108">
        <f>-'Investimento Inicial'!$C$4</f>
        <v>-5000</v>
      </c>
      <c r="U18" s="63"/>
      <c r="V18" s="63"/>
      <c r="W18" s="107" t="s">
        <v>200</v>
      </c>
      <c r="X18" s="108">
        <f>-'Investimento Inicial'!$C$4</f>
        <v>-5000</v>
      </c>
      <c r="Y18" s="63"/>
      <c r="Z18" s="63"/>
      <c r="AA18" s="107" t="s">
        <v>200</v>
      </c>
      <c r="AB18" s="108">
        <f>-'Investimento Inicial'!$C$4</f>
        <v>-5000</v>
      </c>
      <c r="AC18" s="63"/>
      <c r="AD18" s="63"/>
      <c r="AE18" s="107" t="s">
        <v>200</v>
      </c>
      <c r="AF18" s="108">
        <f>-'Investimento Inicial'!$C$4</f>
        <v>-5000</v>
      </c>
      <c r="AG18" s="63"/>
      <c r="AH18" s="63"/>
      <c r="AI18" s="107" t="s">
        <v>200</v>
      </c>
      <c r="AJ18" s="108">
        <f>-'Investimento Inicial'!$C$4</f>
        <v>-5000</v>
      </c>
      <c r="AK18" s="63"/>
      <c r="AL18" s="63"/>
      <c r="AM18" s="107" t="s">
        <v>200</v>
      </c>
      <c r="AN18" s="108">
        <f>-'Investimento Inicial'!$C$4</f>
        <v>-5000</v>
      </c>
      <c r="AO18" s="63"/>
      <c r="AP18" s="63"/>
      <c r="AQ18" s="107" t="s">
        <v>200</v>
      </c>
      <c r="AR18" s="108">
        <f>-'Investimento Inicial'!$C$4</f>
        <v>-5000</v>
      </c>
      <c r="AS18" s="63"/>
      <c r="AT18" s="63"/>
      <c r="AU18" s="107" t="s">
        <v>200</v>
      </c>
      <c r="AV18" s="108">
        <f>-'Investimento Inicial'!$C$4</f>
        <v>-5000</v>
      </c>
      <c r="AW18" s="63"/>
      <c r="AX18" s="63"/>
      <c r="AY18" s="107" t="s">
        <v>200</v>
      </c>
      <c r="AZ18" s="108">
        <f>-'Investimento Inicial'!$C$4</f>
        <v>-5000</v>
      </c>
      <c r="BA18" s="63"/>
      <c r="BB18" s="63"/>
      <c r="BC18" s="107" t="s">
        <v>200</v>
      </c>
      <c r="BD18" s="108">
        <f>-'Investimento Inicial'!$C$4</f>
        <v>-5000</v>
      </c>
      <c r="BE18" s="63"/>
      <c r="BF18" s="63"/>
      <c r="BG18" s="107" t="s">
        <v>200</v>
      </c>
      <c r="BH18" s="108">
        <f>-'Investimento Inicial'!$C$4</f>
        <v>-5000</v>
      </c>
      <c r="BI18" s="63"/>
      <c r="BJ18" s="63"/>
      <c r="BK18" s="107" t="s">
        <v>200</v>
      </c>
      <c r="BL18" s="108">
        <f>-'Investimento Inicial'!$C$4</f>
        <v>-5000</v>
      </c>
      <c r="BM18" s="63"/>
      <c r="BN18" s="63"/>
      <c r="BO18" s="107" t="s">
        <v>200</v>
      </c>
      <c r="BP18" s="108">
        <f>-'Investimento Inicial'!$C$4</f>
        <v>-5000</v>
      </c>
      <c r="BQ18" s="63"/>
      <c r="BR18" s="63"/>
      <c r="BS18" s="107" t="s">
        <v>200</v>
      </c>
      <c r="BT18" s="108">
        <f>-'Investimento Inicial'!$C$4</f>
        <v>-5000</v>
      </c>
      <c r="BU18" s="63"/>
      <c r="BV18" s="63"/>
      <c r="BW18" s="107" t="s">
        <v>200</v>
      </c>
      <c r="BX18" s="108">
        <f>-'Investimento Inicial'!$C$4</f>
        <v>-5000</v>
      </c>
      <c r="BY18" s="63"/>
      <c r="BZ18" s="63"/>
      <c r="CA18" s="107" t="s">
        <v>200</v>
      </c>
      <c r="CB18" s="108">
        <f>-'Investimento Inicial'!$C$4</f>
        <v>-5000</v>
      </c>
      <c r="CC18" s="63"/>
      <c r="CD18" s="63"/>
      <c r="CE18" s="107" t="s">
        <v>200</v>
      </c>
      <c r="CF18" s="108">
        <f>-'Investimento Inicial'!$C$4</f>
        <v>-5000</v>
      </c>
      <c r="CG18" s="63"/>
      <c r="CH18" s="63"/>
      <c r="CI18" s="107" t="s">
        <v>200</v>
      </c>
      <c r="CJ18" s="108">
        <f>-'Investimento Inicial'!$C$4</f>
        <v>-5000</v>
      </c>
      <c r="CK18" s="63"/>
      <c r="CL18" s="63"/>
      <c r="CM18" s="107" t="s">
        <v>200</v>
      </c>
      <c r="CN18" s="108">
        <f>-'Investimento Inicial'!$C$4</f>
        <v>-5000</v>
      </c>
      <c r="CO18" s="63"/>
      <c r="CP18" s="63"/>
      <c r="CQ18" s="107" t="s">
        <v>200</v>
      </c>
      <c r="CR18" s="108">
        <f>-'Investimento Inicial'!$C$4</f>
        <v>-5000</v>
      </c>
      <c r="CS18" s="63"/>
      <c r="CT18" s="63"/>
      <c r="CU18" s="107" t="s">
        <v>200</v>
      </c>
      <c r="CV18" s="108">
        <f>-'Investimento Inicial'!$C$4</f>
        <v>-5000</v>
      </c>
      <c r="CW18" s="63"/>
      <c r="CX18" s="63"/>
      <c r="CY18" s="107" t="s">
        <v>200</v>
      </c>
      <c r="CZ18" s="108">
        <f>-'Investimento Inicial'!$C$4</f>
        <v>-5000</v>
      </c>
      <c r="DA18" s="63"/>
      <c r="DB18" s="63"/>
      <c r="DC18" s="107" t="s">
        <v>200</v>
      </c>
      <c r="DD18" s="108">
        <f>-'Investimento Inicial'!$C$4</f>
        <v>-5000</v>
      </c>
      <c r="DE18" s="63"/>
      <c r="DF18" s="63"/>
      <c r="DG18" s="107" t="s">
        <v>200</v>
      </c>
      <c r="DH18" s="108">
        <f>-'Investimento Inicial'!$C$4</f>
        <v>-5000</v>
      </c>
      <c r="DI18" s="63"/>
      <c r="DJ18" s="63"/>
      <c r="DK18" s="107" t="s">
        <v>200</v>
      </c>
      <c r="DL18" s="108">
        <f>-'Investimento Inicial'!$C$4</f>
        <v>-5000</v>
      </c>
      <c r="DM18" s="63"/>
      <c r="DN18" s="63"/>
      <c r="DO18" s="107" t="s">
        <v>200</v>
      </c>
      <c r="DP18" s="108">
        <f>-'Investimento Inicial'!$C$4</f>
        <v>-5000</v>
      </c>
      <c r="DQ18" s="63"/>
      <c r="DR18" s="63"/>
      <c r="DS18" s="107" t="s">
        <v>200</v>
      </c>
      <c r="DT18" s="108">
        <f>-'Investimento Inicial'!$C$4</f>
        <v>-5000</v>
      </c>
      <c r="DU18" s="63"/>
      <c r="DV18" s="63"/>
      <c r="DW18" s="107" t="s">
        <v>200</v>
      </c>
      <c r="DX18" s="108">
        <f>-'Investimento Inicial'!$C$4</f>
        <v>-5000</v>
      </c>
      <c r="DY18" s="63"/>
      <c r="DZ18" s="63"/>
      <c r="EA18" s="107" t="s">
        <v>200</v>
      </c>
      <c r="EB18" s="108">
        <f>-'Investimento Inicial'!$C$4</f>
        <v>-5000</v>
      </c>
      <c r="EC18" s="63"/>
      <c r="ED18" s="63"/>
      <c r="EE18" s="107" t="s">
        <v>200</v>
      </c>
      <c r="EF18" s="108">
        <f>-'Investimento Inicial'!$C$4</f>
        <v>-5000</v>
      </c>
      <c r="EG18" s="63"/>
      <c r="EH18" s="63"/>
      <c r="EI18" s="107" t="s">
        <v>200</v>
      </c>
      <c r="EJ18" s="108">
        <f>-'Investimento Inicial'!$C$4</f>
        <v>-5000</v>
      </c>
      <c r="EK18" s="63"/>
      <c r="EL18" s="63"/>
      <c r="EM18" s="107" t="s">
        <v>200</v>
      </c>
      <c r="EN18" s="108">
        <f>-'Investimento Inicial'!$C$4</f>
        <v>-5000</v>
      </c>
      <c r="EO18" s="63"/>
      <c r="EP18" s="63"/>
      <c r="EQ18" s="107" t="s">
        <v>200</v>
      </c>
      <c r="ER18" s="108">
        <f>-'Investimento Inicial'!$C$4</f>
        <v>-5000</v>
      </c>
      <c r="ES18" s="63"/>
      <c r="ET18" s="63"/>
      <c r="EU18" s="107" t="s">
        <v>200</v>
      </c>
      <c r="EV18" s="108">
        <f>-'Investimento Inicial'!$C$4</f>
        <v>-5000</v>
      </c>
      <c r="EW18" s="63"/>
      <c r="EX18" s="63"/>
      <c r="EY18" s="107" t="s">
        <v>200</v>
      </c>
      <c r="EZ18" s="108">
        <f>-'Investimento Inicial'!$C$4</f>
        <v>-5000</v>
      </c>
      <c r="FA18" s="63"/>
      <c r="FB18" s="63"/>
      <c r="FC18" s="107" t="s">
        <v>200</v>
      </c>
      <c r="FD18" s="108">
        <f>-'Investimento Inicial'!$C$4</f>
        <v>-5000</v>
      </c>
      <c r="FE18" s="63"/>
      <c r="FF18" s="63"/>
      <c r="FG18" s="107" t="s">
        <v>200</v>
      </c>
      <c r="FH18" s="108">
        <f>-'Investimento Inicial'!$C$4</f>
        <v>-5000</v>
      </c>
      <c r="FI18" s="63"/>
      <c r="FJ18" s="63"/>
      <c r="FK18" s="107" t="s">
        <v>200</v>
      </c>
      <c r="FL18" s="108">
        <f>-'Investimento Inicial'!$C$4</f>
        <v>-5000</v>
      </c>
      <c r="FM18" s="63"/>
      <c r="FN18" s="63"/>
      <c r="FO18" s="107" t="s">
        <v>200</v>
      </c>
      <c r="FP18" s="108">
        <f>-'Investimento Inicial'!$C$4</f>
        <v>-5000</v>
      </c>
      <c r="FQ18" s="63"/>
      <c r="FR18" s="63"/>
      <c r="FS18" s="107" t="s">
        <v>200</v>
      </c>
      <c r="FT18" s="108">
        <f>-'Investimento Inicial'!$C$4</f>
        <v>-5000</v>
      </c>
      <c r="FU18" s="63"/>
      <c r="FV18" s="63"/>
      <c r="FW18" s="107" t="s">
        <v>200</v>
      </c>
      <c r="FX18" s="108">
        <f>-'Investimento Inicial'!$C$4</f>
        <v>-5000</v>
      </c>
      <c r="FY18" s="63"/>
      <c r="FZ18" s="63"/>
      <c r="GA18" s="107" t="s">
        <v>200</v>
      </c>
      <c r="GB18" s="108">
        <f>-'Investimento Inicial'!$C$4</f>
        <v>-5000</v>
      </c>
      <c r="GC18" s="63"/>
      <c r="GD18" s="63"/>
      <c r="GE18" s="107" t="s">
        <v>200</v>
      </c>
      <c r="GF18" s="108">
        <f>-'Investimento Inicial'!$C$4</f>
        <v>-5000</v>
      </c>
      <c r="GG18" s="63"/>
      <c r="GH18" s="63"/>
      <c r="GI18" s="107" t="s">
        <v>200</v>
      </c>
      <c r="GJ18" s="108">
        <f>-'Investimento Inicial'!$C$4</f>
        <v>-5000</v>
      </c>
      <c r="GK18" s="63"/>
      <c r="GL18" s="63"/>
      <c r="GM18" s="107" t="s">
        <v>200</v>
      </c>
      <c r="GN18" s="108">
        <f>-'Investimento Inicial'!$C$4</f>
        <v>-5000</v>
      </c>
      <c r="GO18" s="63"/>
      <c r="GP18" s="63"/>
      <c r="GQ18" s="107" t="s">
        <v>200</v>
      </c>
      <c r="GR18" s="108">
        <f>-'Investimento Inicial'!$C$4</f>
        <v>-5000</v>
      </c>
      <c r="GS18" s="63"/>
      <c r="GT18" s="63"/>
      <c r="GU18" s="107" t="s">
        <v>200</v>
      </c>
      <c r="GV18" s="108">
        <f>-'Investimento Inicial'!$C$4</f>
        <v>-5000</v>
      </c>
      <c r="GW18" s="63"/>
      <c r="GX18" s="63"/>
      <c r="GY18" s="107" t="s">
        <v>200</v>
      </c>
      <c r="GZ18" s="108">
        <f>-'Investimento Inicial'!$C$4</f>
        <v>-5000</v>
      </c>
      <c r="HA18" s="63"/>
      <c r="HB18" s="63"/>
      <c r="HC18" s="107" t="s">
        <v>200</v>
      </c>
      <c r="HD18" s="108">
        <f>-'Investimento Inicial'!$C$4</f>
        <v>-5000</v>
      </c>
      <c r="HE18" s="63"/>
      <c r="HF18" s="63"/>
      <c r="HG18" s="107" t="s">
        <v>200</v>
      </c>
      <c r="HH18" s="108">
        <f>-'Investimento Inicial'!$C$4</f>
        <v>-5000</v>
      </c>
      <c r="HI18" s="63"/>
      <c r="HJ18" s="63"/>
      <c r="HK18" s="107" t="s">
        <v>200</v>
      </c>
      <c r="HL18" s="108">
        <f>-'Investimento Inicial'!$C$4</f>
        <v>-5000</v>
      </c>
      <c r="HM18" s="63"/>
      <c r="HN18" s="63"/>
      <c r="HO18" s="107" t="s">
        <v>200</v>
      </c>
      <c r="HP18" s="108">
        <f>-'Investimento Inicial'!$C$4</f>
        <v>-5000</v>
      </c>
      <c r="HQ18" s="63"/>
      <c r="HR18" s="63"/>
      <c r="HS18" s="107" t="s">
        <v>200</v>
      </c>
      <c r="HT18" s="108">
        <f>-'Investimento Inicial'!$C$4</f>
        <v>-5000</v>
      </c>
      <c r="HU18" s="63"/>
      <c r="HV18" s="63"/>
      <c r="HW18" s="107" t="s">
        <v>200</v>
      </c>
      <c r="HX18" s="108">
        <f>-'Investimento Inicial'!$C$4</f>
        <v>-5000</v>
      </c>
      <c r="HY18" s="63"/>
      <c r="HZ18" s="63"/>
      <c r="IA18" s="107" t="s">
        <v>200</v>
      </c>
      <c r="IB18" s="108">
        <f>-'Investimento Inicial'!$C$4</f>
        <v>-5000</v>
      </c>
      <c r="IC18" s="63"/>
      <c r="ID18" s="63"/>
      <c r="IE18" s="107" t="s">
        <v>200</v>
      </c>
      <c r="IF18" s="108">
        <f>-'Investimento Inicial'!$C$4</f>
        <v>-5000</v>
      </c>
      <c r="IG18" s="63"/>
      <c r="IH18" s="63"/>
      <c r="II18" s="107" t="s">
        <v>200</v>
      </c>
      <c r="IJ18" s="108">
        <f>-'Investimento Inicial'!$C$4</f>
        <v>-5000</v>
      </c>
      <c r="IK18" s="63"/>
      <c r="IL18" s="63"/>
      <c r="IM18" s="107" t="s">
        <v>200</v>
      </c>
      <c r="IN18" s="108">
        <f>-'Investimento Inicial'!$C$4</f>
        <v>-5000</v>
      </c>
      <c r="IO18" s="63"/>
      <c r="IP18" s="63"/>
      <c r="IQ18" s="107" t="s">
        <v>200</v>
      </c>
      <c r="IR18" s="108">
        <f>-'Investimento Inicial'!$C$4</f>
        <v>-5000</v>
      </c>
      <c r="IS18" s="63"/>
      <c r="IT18" s="63"/>
      <c r="IU18" s="107" t="s">
        <v>200</v>
      </c>
      <c r="IV18" s="108">
        <f>-'Investimento Inicial'!$C$4</f>
        <v>-5000</v>
      </c>
      <c r="IW18" s="63"/>
      <c r="IX18" s="63"/>
      <c r="IY18" s="107" t="s">
        <v>200</v>
      </c>
      <c r="IZ18" s="108">
        <f>-'Investimento Inicial'!$C$4</f>
        <v>-5000</v>
      </c>
      <c r="JA18" s="63"/>
      <c r="JB18" s="63"/>
      <c r="JC18" s="107" t="s">
        <v>200</v>
      </c>
      <c r="JD18" s="108">
        <f>-'Investimento Inicial'!$C$4</f>
        <v>-5000</v>
      </c>
      <c r="JE18" s="63"/>
      <c r="JF18" s="63"/>
      <c r="JG18" s="107" t="s">
        <v>200</v>
      </c>
      <c r="JH18" s="108">
        <f>-'Investimento Inicial'!$C$4</f>
        <v>-5000</v>
      </c>
      <c r="JI18" s="63"/>
      <c r="JJ18" s="63"/>
      <c r="JK18" s="107" t="s">
        <v>200</v>
      </c>
      <c r="JL18" s="108">
        <f>-'Investimento Inicial'!$C$4</f>
        <v>-5000</v>
      </c>
      <c r="JM18" s="63"/>
      <c r="JN18" s="63"/>
      <c r="JO18" s="107" t="s">
        <v>200</v>
      </c>
      <c r="JP18" s="108">
        <f>-'Investimento Inicial'!$C$4</f>
        <v>-5000</v>
      </c>
      <c r="JQ18" s="63"/>
      <c r="JR18" s="63"/>
      <c r="JS18" s="107" t="s">
        <v>200</v>
      </c>
      <c r="JT18" s="108">
        <f>-'Investimento Inicial'!$C$4</f>
        <v>-5000</v>
      </c>
      <c r="JU18" s="63"/>
      <c r="JV18" s="63"/>
      <c r="JW18" s="107" t="s">
        <v>200</v>
      </c>
      <c r="JX18" s="108">
        <f>-'Investimento Inicial'!$C$4</f>
        <v>-5000</v>
      </c>
      <c r="JY18" s="63"/>
      <c r="JZ18" s="63"/>
      <c r="KA18" s="107" t="s">
        <v>200</v>
      </c>
      <c r="KB18" s="108">
        <f>-'Investimento Inicial'!$C$4</f>
        <v>-5000</v>
      </c>
      <c r="KC18" s="63"/>
      <c r="KD18" s="63"/>
      <c r="KE18" s="107" t="s">
        <v>200</v>
      </c>
      <c r="KF18" s="108">
        <f>-'Investimento Inicial'!$C$4</f>
        <v>-5000</v>
      </c>
      <c r="KG18" s="63"/>
      <c r="KH18" s="63"/>
    </row>
    <row r="19" spans="1:294" x14ac:dyDescent="0.25">
      <c r="A19" s="96"/>
      <c r="C19" s="107" t="s">
        <v>201</v>
      </c>
      <c r="D19" s="108">
        <f>-'Investimento Inicial'!$C$10</f>
        <v>-1000</v>
      </c>
      <c r="E19" s="63"/>
      <c r="F19" s="63"/>
      <c r="G19" s="107" t="s">
        <v>201</v>
      </c>
      <c r="H19" s="108">
        <f>-'Investimento Inicial'!$C$10</f>
        <v>-1000</v>
      </c>
      <c r="I19" s="63"/>
      <c r="J19" s="63"/>
      <c r="K19" s="107" t="s">
        <v>201</v>
      </c>
      <c r="L19" s="108">
        <f>-'Investimento Inicial'!$C$10</f>
        <v>-1000</v>
      </c>
      <c r="M19" s="63"/>
      <c r="N19" s="63"/>
      <c r="O19" s="107" t="s">
        <v>201</v>
      </c>
      <c r="P19" s="108">
        <f>-'Investimento Inicial'!$C$10</f>
        <v>-1000</v>
      </c>
      <c r="Q19" s="63"/>
      <c r="R19" s="63"/>
      <c r="S19" s="107" t="s">
        <v>201</v>
      </c>
      <c r="T19" s="108">
        <f>-'Investimento Inicial'!$C$10</f>
        <v>-1000</v>
      </c>
      <c r="U19" s="63"/>
      <c r="V19" s="63"/>
      <c r="W19" s="107" t="s">
        <v>201</v>
      </c>
      <c r="X19" s="108">
        <f>-'Investimento Inicial'!$C$10</f>
        <v>-1000</v>
      </c>
      <c r="Y19" s="63"/>
      <c r="Z19" s="63"/>
      <c r="AA19" s="107" t="s">
        <v>201</v>
      </c>
      <c r="AB19" s="108">
        <f>-'Investimento Inicial'!$C$10</f>
        <v>-1000</v>
      </c>
      <c r="AC19" s="63"/>
      <c r="AD19" s="63"/>
      <c r="AE19" s="107" t="s">
        <v>201</v>
      </c>
      <c r="AF19" s="108">
        <f>-'Investimento Inicial'!$C$10</f>
        <v>-1000</v>
      </c>
      <c r="AG19" s="63"/>
      <c r="AH19" s="63"/>
      <c r="AI19" s="107" t="s">
        <v>201</v>
      </c>
      <c r="AJ19" s="108">
        <f>-'Investimento Inicial'!$C$10</f>
        <v>-1000</v>
      </c>
      <c r="AK19" s="63"/>
      <c r="AL19" s="63"/>
      <c r="AM19" s="107" t="s">
        <v>201</v>
      </c>
      <c r="AN19" s="108">
        <f>-'Investimento Inicial'!$C$10</f>
        <v>-1000</v>
      </c>
      <c r="AO19" s="63"/>
      <c r="AP19" s="63"/>
      <c r="AQ19" s="107" t="s">
        <v>201</v>
      </c>
      <c r="AR19" s="108">
        <f>-'Investimento Inicial'!$C$10</f>
        <v>-1000</v>
      </c>
      <c r="AS19" s="63"/>
      <c r="AT19" s="63"/>
      <c r="AU19" s="107" t="s">
        <v>201</v>
      </c>
      <c r="AV19" s="108">
        <f>-'Investimento Inicial'!$C$10</f>
        <v>-1000</v>
      </c>
      <c r="AW19" s="63"/>
      <c r="AX19" s="63"/>
      <c r="AY19" s="107" t="s">
        <v>201</v>
      </c>
      <c r="AZ19" s="108">
        <f>-'Investimento Inicial'!$C$10</f>
        <v>-1000</v>
      </c>
      <c r="BA19" s="63"/>
      <c r="BB19" s="63"/>
      <c r="BC19" s="107" t="s">
        <v>201</v>
      </c>
      <c r="BD19" s="108">
        <f>-'Investimento Inicial'!$C$10</f>
        <v>-1000</v>
      </c>
      <c r="BE19" s="63"/>
      <c r="BF19" s="63"/>
      <c r="BG19" s="107" t="s">
        <v>201</v>
      </c>
      <c r="BH19" s="108">
        <f>-'Investimento Inicial'!$C$10</f>
        <v>-1000</v>
      </c>
      <c r="BI19" s="63"/>
      <c r="BJ19" s="63"/>
      <c r="BK19" s="107" t="s">
        <v>201</v>
      </c>
      <c r="BL19" s="108">
        <f>-'Investimento Inicial'!$C$10</f>
        <v>-1000</v>
      </c>
      <c r="BM19" s="63"/>
      <c r="BN19" s="63"/>
      <c r="BO19" s="107" t="s">
        <v>201</v>
      </c>
      <c r="BP19" s="108">
        <f>-'Investimento Inicial'!$C$10</f>
        <v>-1000</v>
      </c>
      <c r="BQ19" s="63"/>
      <c r="BR19" s="63"/>
      <c r="BS19" s="107" t="s">
        <v>201</v>
      </c>
      <c r="BT19" s="108">
        <f>-'Investimento Inicial'!$C$10</f>
        <v>-1000</v>
      </c>
      <c r="BU19" s="63"/>
      <c r="BV19" s="63"/>
      <c r="BW19" s="107" t="s">
        <v>201</v>
      </c>
      <c r="BX19" s="108">
        <f>-'Investimento Inicial'!$C$10</f>
        <v>-1000</v>
      </c>
      <c r="BY19" s="63"/>
      <c r="BZ19" s="63"/>
      <c r="CA19" s="107" t="s">
        <v>201</v>
      </c>
      <c r="CB19" s="108">
        <f>-'Investimento Inicial'!$C$10</f>
        <v>-1000</v>
      </c>
      <c r="CC19" s="63"/>
      <c r="CD19" s="63"/>
      <c r="CE19" s="107" t="s">
        <v>201</v>
      </c>
      <c r="CF19" s="108">
        <f>-'Investimento Inicial'!$C$10</f>
        <v>-1000</v>
      </c>
      <c r="CG19" s="63"/>
      <c r="CH19" s="63"/>
      <c r="CI19" s="107" t="s">
        <v>201</v>
      </c>
      <c r="CJ19" s="108">
        <f>-'Investimento Inicial'!$C$10</f>
        <v>-1000</v>
      </c>
      <c r="CK19" s="63"/>
      <c r="CL19" s="63"/>
      <c r="CM19" s="107" t="s">
        <v>201</v>
      </c>
      <c r="CN19" s="108">
        <f>-'Investimento Inicial'!$C$10</f>
        <v>-1000</v>
      </c>
      <c r="CO19" s="63"/>
      <c r="CP19" s="63"/>
      <c r="CQ19" s="107" t="s">
        <v>201</v>
      </c>
      <c r="CR19" s="108">
        <f>-'Investimento Inicial'!$C$10</f>
        <v>-1000</v>
      </c>
      <c r="CS19" s="63"/>
      <c r="CT19" s="63"/>
      <c r="CU19" s="107" t="s">
        <v>201</v>
      </c>
      <c r="CV19" s="108">
        <f>-'Investimento Inicial'!$C$10</f>
        <v>-1000</v>
      </c>
      <c r="CW19" s="63"/>
      <c r="CX19" s="63"/>
      <c r="CY19" s="107" t="s">
        <v>201</v>
      </c>
      <c r="CZ19" s="108">
        <f>-'Investimento Inicial'!$C$10</f>
        <v>-1000</v>
      </c>
      <c r="DA19" s="63"/>
      <c r="DB19" s="63"/>
      <c r="DC19" s="107" t="s">
        <v>201</v>
      </c>
      <c r="DD19" s="108">
        <f>-'Investimento Inicial'!$C$10</f>
        <v>-1000</v>
      </c>
      <c r="DE19" s="63"/>
      <c r="DF19" s="63"/>
      <c r="DG19" s="107" t="s">
        <v>201</v>
      </c>
      <c r="DH19" s="108">
        <f>-'Investimento Inicial'!$C$10</f>
        <v>-1000</v>
      </c>
      <c r="DI19" s="63"/>
      <c r="DJ19" s="63"/>
      <c r="DK19" s="107" t="s">
        <v>201</v>
      </c>
      <c r="DL19" s="108">
        <f>-'Investimento Inicial'!$C$10</f>
        <v>-1000</v>
      </c>
      <c r="DM19" s="63"/>
      <c r="DN19" s="63"/>
      <c r="DO19" s="107" t="s">
        <v>201</v>
      </c>
      <c r="DP19" s="108">
        <f>-'Investimento Inicial'!$C$10</f>
        <v>-1000</v>
      </c>
      <c r="DQ19" s="63"/>
      <c r="DR19" s="63"/>
      <c r="DS19" s="107" t="s">
        <v>201</v>
      </c>
      <c r="DT19" s="108">
        <f>-'Investimento Inicial'!$C$10</f>
        <v>-1000</v>
      </c>
      <c r="DU19" s="63"/>
      <c r="DV19" s="63"/>
      <c r="DW19" s="107" t="s">
        <v>201</v>
      </c>
      <c r="DX19" s="108">
        <f>-'Investimento Inicial'!$C$10</f>
        <v>-1000</v>
      </c>
      <c r="DY19" s="63"/>
      <c r="DZ19" s="63"/>
      <c r="EA19" s="107" t="s">
        <v>201</v>
      </c>
      <c r="EB19" s="108">
        <f>-'Investimento Inicial'!$C$10</f>
        <v>-1000</v>
      </c>
      <c r="EC19" s="63"/>
      <c r="ED19" s="63"/>
      <c r="EE19" s="107" t="s">
        <v>201</v>
      </c>
      <c r="EF19" s="108">
        <f>-'Investimento Inicial'!$C$10</f>
        <v>-1000</v>
      </c>
      <c r="EG19" s="63"/>
      <c r="EH19" s="63"/>
      <c r="EI19" s="107" t="s">
        <v>201</v>
      </c>
      <c r="EJ19" s="108">
        <f>-'Investimento Inicial'!$C$10</f>
        <v>-1000</v>
      </c>
      <c r="EK19" s="63"/>
      <c r="EL19" s="63"/>
      <c r="EM19" s="107" t="s">
        <v>201</v>
      </c>
      <c r="EN19" s="108">
        <f>-'Investimento Inicial'!$C$10</f>
        <v>-1000</v>
      </c>
      <c r="EO19" s="63"/>
      <c r="EP19" s="63"/>
      <c r="EQ19" s="107" t="s">
        <v>201</v>
      </c>
      <c r="ER19" s="108">
        <f>-'Investimento Inicial'!$C$10</f>
        <v>-1000</v>
      </c>
      <c r="ES19" s="63"/>
      <c r="ET19" s="63"/>
      <c r="EU19" s="107" t="s">
        <v>201</v>
      </c>
      <c r="EV19" s="108">
        <f>-'Investimento Inicial'!$C$10</f>
        <v>-1000</v>
      </c>
      <c r="EW19" s="63"/>
      <c r="EX19" s="63"/>
      <c r="EY19" s="107" t="s">
        <v>201</v>
      </c>
      <c r="EZ19" s="108">
        <f>-'Investimento Inicial'!$C$10</f>
        <v>-1000</v>
      </c>
      <c r="FA19" s="63"/>
      <c r="FB19" s="63"/>
      <c r="FC19" s="107" t="s">
        <v>201</v>
      </c>
      <c r="FD19" s="108">
        <f>-'Investimento Inicial'!$C$10</f>
        <v>-1000</v>
      </c>
      <c r="FE19" s="63"/>
      <c r="FF19" s="63"/>
      <c r="FG19" s="107" t="s">
        <v>201</v>
      </c>
      <c r="FH19" s="108">
        <f>-'Investimento Inicial'!$C$10</f>
        <v>-1000</v>
      </c>
      <c r="FI19" s="63"/>
      <c r="FJ19" s="63"/>
      <c r="FK19" s="107" t="s">
        <v>201</v>
      </c>
      <c r="FL19" s="108">
        <f>-'Investimento Inicial'!$C$10</f>
        <v>-1000</v>
      </c>
      <c r="FM19" s="63"/>
      <c r="FN19" s="63"/>
      <c r="FO19" s="107" t="s">
        <v>201</v>
      </c>
      <c r="FP19" s="108">
        <f>-'Investimento Inicial'!$C$10</f>
        <v>-1000</v>
      </c>
      <c r="FQ19" s="63"/>
      <c r="FR19" s="63"/>
      <c r="FS19" s="107" t="s">
        <v>201</v>
      </c>
      <c r="FT19" s="108">
        <f>-'Investimento Inicial'!$C$10</f>
        <v>-1000</v>
      </c>
      <c r="FU19" s="63"/>
      <c r="FV19" s="63"/>
      <c r="FW19" s="107" t="s">
        <v>201</v>
      </c>
      <c r="FX19" s="108">
        <f>-'Investimento Inicial'!$C$10</f>
        <v>-1000</v>
      </c>
      <c r="FY19" s="63"/>
      <c r="FZ19" s="63"/>
      <c r="GA19" s="107" t="s">
        <v>201</v>
      </c>
      <c r="GB19" s="108">
        <f>-'Investimento Inicial'!$C$10</f>
        <v>-1000</v>
      </c>
      <c r="GC19" s="63"/>
      <c r="GD19" s="63"/>
      <c r="GE19" s="107" t="s">
        <v>201</v>
      </c>
      <c r="GF19" s="108">
        <f>-'Investimento Inicial'!$C$10</f>
        <v>-1000</v>
      </c>
      <c r="GG19" s="63"/>
      <c r="GH19" s="63"/>
      <c r="GI19" s="107" t="s">
        <v>201</v>
      </c>
      <c r="GJ19" s="108">
        <f>-'Investimento Inicial'!$C$10</f>
        <v>-1000</v>
      </c>
      <c r="GK19" s="63"/>
      <c r="GL19" s="63"/>
      <c r="GM19" s="107" t="s">
        <v>201</v>
      </c>
      <c r="GN19" s="108">
        <f>-'Investimento Inicial'!$C$10</f>
        <v>-1000</v>
      </c>
      <c r="GO19" s="63"/>
      <c r="GP19" s="63"/>
      <c r="GQ19" s="107" t="s">
        <v>201</v>
      </c>
      <c r="GR19" s="108">
        <f>-'Investimento Inicial'!$C$10</f>
        <v>-1000</v>
      </c>
      <c r="GS19" s="63"/>
      <c r="GT19" s="63"/>
      <c r="GU19" s="107" t="s">
        <v>201</v>
      </c>
      <c r="GV19" s="108">
        <f>-'Investimento Inicial'!$C$10</f>
        <v>-1000</v>
      </c>
      <c r="GW19" s="63"/>
      <c r="GX19" s="63"/>
      <c r="GY19" s="107" t="s">
        <v>201</v>
      </c>
      <c r="GZ19" s="108">
        <f>-'Investimento Inicial'!$C$10</f>
        <v>-1000</v>
      </c>
      <c r="HA19" s="63"/>
      <c r="HB19" s="63"/>
      <c r="HC19" s="107" t="s">
        <v>201</v>
      </c>
      <c r="HD19" s="108">
        <f>-'Investimento Inicial'!$C$10</f>
        <v>-1000</v>
      </c>
      <c r="HE19" s="63"/>
      <c r="HF19" s="63"/>
      <c r="HG19" s="107" t="s">
        <v>201</v>
      </c>
      <c r="HH19" s="108">
        <f>-'Investimento Inicial'!$C$10</f>
        <v>-1000</v>
      </c>
      <c r="HI19" s="63"/>
      <c r="HJ19" s="63"/>
      <c r="HK19" s="107" t="s">
        <v>201</v>
      </c>
      <c r="HL19" s="108">
        <f>-'Investimento Inicial'!$C$10</f>
        <v>-1000</v>
      </c>
      <c r="HM19" s="63"/>
      <c r="HN19" s="63"/>
      <c r="HO19" s="107" t="s">
        <v>201</v>
      </c>
      <c r="HP19" s="108">
        <f>-'Investimento Inicial'!$C$10</f>
        <v>-1000</v>
      </c>
      <c r="HQ19" s="63"/>
      <c r="HR19" s="63"/>
      <c r="HS19" s="107" t="s">
        <v>201</v>
      </c>
      <c r="HT19" s="108">
        <f>-'Investimento Inicial'!$C$10</f>
        <v>-1000</v>
      </c>
      <c r="HU19" s="63"/>
      <c r="HV19" s="63"/>
      <c r="HW19" s="107" t="s">
        <v>201</v>
      </c>
      <c r="HX19" s="108">
        <f>-'Investimento Inicial'!$C$10</f>
        <v>-1000</v>
      </c>
      <c r="HY19" s="63"/>
      <c r="HZ19" s="63"/>
      <c r="IA19" s="107" t="s">
        <v>201</v>
      </c>
      <c r="IB19" s="108">
        <f>-'Investimento Inicial'!$C$10</f>
        <v>-1000</v>
      </c>
      <c r="IC19" s="63"/>
      <c r="ID19" s="63"/>
      <c r="IE19" s="107" t="s">
        <v>201</v>
      </c>
      <c r="IF19" s="108">
        <f>-'Investimento Inicial'!$C$10</f>
        <v>-1000</v>
      </c>
      <c r="IG19" s="63"/>
      <c r="IH19" s="63"/>
      <c r="II19" s="107" t="s">
        <v>201</v>
      </c>
      <c r="IJ19" s="108">
        <f>-'Investimento Inicial'!$C$10</f>
        <v>-1000</v>
      </c>
      <c r="IK19" s="63"/>
      <c r="IL19" s="63"/>
      <c r="IM19" s="107" t="s">
        <v>201</v>
      </c>
      <c r="IN19" s="108">
        <f>-'Investimento Inicial'!$C$10</f>
        <v>-1000</v>
      </c>
      <c r="IO19" s="63"/>
      <c r="IP19" s="63"/>
      <c r="IQ19" s="107" t="s">
        <v>201</v>
      </c>
      <c r="IR19" s="108">
        <f>-'Investimento Inicial'!$C$10</f>
        <v>-1000</v>
      </c>
      <c r="IS19" s="63"/>
      <c r="IT19" s="63"/>
      <c r="IU19" s="107" t="s">
        <v>201</v>
      </c>
      <c r="IV19" s="108">
        <f>-'Investimento Inicial'!$C$10</f>
        <v>-1000</v>
      </c>
      <c r="IW19" s="63"/>
      <c r="IX19" s="63"/>
      <c r="IY19" s="107" t="s">
        <v>201</v>
      </c>
      <c r="IZ19" s="108">
        <f>-'Investimento Inicial'!$C$10</f>
        <v>-1000</v>
      </c>
      <c r="JA19" s="63"/>
      <c r="JB19" s="63"/>
      <c r="JC19" s="107" t="s">
        <v>201</v>
      </c>
      <c r="JD19" s="108">
        <f>-'Investimento Inicial'!$C$10</f>
        <v>-1000</v>
      </c>
      <c r="JE19" s="63"/>
      <c r="JF19" s="63"/>
      <c r="JG19" s="107" t="s">
        <v>201</v>
      </c>
      <c r="JH19" s="108">
        <f>-'Investimento Inicial'!$C$10</f>
        <v>-1000</v>
      </c>
      <c r="JI19" s="63"/>
      <c r="JJ19" s="63"/>
      <c r="JK19" s="107" t="s">
        <v>201</v>
      </c>
      <c r="JL19" s="108">
        <f>-'Investimento Inicial'!$C$10</f>
        <v>-1000</v>
      </c>
      <c r="JM19" s="63"/>
      <c r="JN19" s="63"/>
      <c r="JO19" s="107" t="s">
        <v>201</v>
      </c>
      <c r="JP19" s="108">
        <f>-'Investimento Inicial'!$C$10</f>
        <v>-1000</v>
      </c>
      <c r="JQ19" s="63"/>
      <c r="JR19" s="63"/>
      <c r="JS19" s="107" t="s">
        <v>201</v>
      </c>
      <c r="JT19" s="108">
        <f>-'Investimento Inicial'!$C$10</f>
        <v>-1000</v>
      </c>
      <c r="JU19" s="63"/>
      <c r="JV19" s="63"/>
      <c r="JW19" s="107" t="s">
        <v>201</v>
      </c>
      <c r="JX19" s="108">
        <f>-'Investimento Inicial'!$C$10</f>
        <v>-1000</v>
      </c>
      <c r="JY19" s="63"/>
      <c r="JZ19" s="63"/>
      <c r="KA19" s="107" t="s">
        <v>201</v>
      </c>
      <c r="KB19" s="108">
        <f>-'Investimento Inicial'!$C$10</f>
        <v>-1000</v>
      </c>
      <c r="KC19" s="63"/>
      <c r="KD19" s="63"/>
      <c r="KE19" s="107" t="s">
        <v>201</v>
      </c>
      <c r="KF19" s="108">
        <f>-'Investimento Inicial'!$C$10</f>
        <v>-1000</v>
      </c>
      <c r="KG19" s="63"/>
      <c r="KH19" s="63"/>
    </row>
    <row r="20" spans="1:294" x14ac:dyDescent="0.25">
      <c r="C20" s="107" t="s">
        <v>216</v>
      </c>
      <c r="D20" s="108">
        <v>-300</v>
      </c>
      <c r="F20" s="63"/>
      <c r="G20" s="107" t="s">
        <v>216</v>
      </c>
      <c r="H20" s="108">
        <v>-300</v>
      </c>
      <c r="I20" s="44"/>
      <c r="J20" s="63"/>
      <c r="K20" s="107" t="s">
        <v>216</v>
      </c>
      <c r="L20" s="108">
        <v>-300</v>
      </c>
      <c r="M20" s="44"/>
      <c r="N20" s="63"/>
      <c r="O20" s="107" t="s">
        <v>216</v>
      </c>
      <c r="P20" s="108">
        <v>-300</v>
      </c>
      <c r="Q20" s="44"/>
      <c r="R20" s="63"/>
      <c r="S20" s="107" t="s">
        <v>216</v>
      </c>
      <c r="T20" s="108">
        <v>-300</v>
      </c>
      <c r="U20" s="44"/>
      <c r="V20" s="63"/>
      <c r="W20" s="107" t="s">
        <v>216</v>
      </c>
      <c r="X20" s="108">
        <v>-300</v>
      </c>
      <c r="Y20" s="44"/>
      <c r="Z20" s="63"/>
      <c r="AA20" s="107" t="s">
        <v>216</v>
      </c>
      <c r="AB20" s="108">
        <v>-300</v>
      </c>
      <c r="AC20" s="44"/>
      <c r="AD20" s="63"/>
      <c r="AE20" s="107" t="s">
        <v>216</v>
      </c>
      <c r="AF20" s="108">
        <v>-300</v>
      </c>
      <c r="AG20" s="44"/>
      <c r="AH20" s="63"/>
      <c r="AI20" s="107" t="s">
        <v>216</v>
      </c>
      <c r="AJ20" s="108">
        <v>-300</v>
      </c>
      <c r="AK20" s="44"/>
      <c r="AL20" s="63"/>
      <c r="AM20" s="107" t="s">
        <v>216</v>
      </c>
      <c r="AN20" s="108">
        <v>-300</v>
      </c>
      <c r="AO20" s="44"/>
      <c r="AP20" s="63"/>
      <c r="AQ20" s="107" t="s">
        <v>216</v>
      </c>
      <c r="AR20" s="108">
        <v>-300</v>
      </c>
      <c r="AS20" s="44"/>
      <c r="AT20" s="63"/>
      <c r="AU20" s="107" t="s">
        <v>216</v>
      </c>
      <c r="AV20" s="108">
        <v>-300</v>
      </c>
      <c r="AW20" s="44"/>
      <c r="AX20" s="63"/>
      <c r="AY20" s="107" t="s">
        <v>216</v>
      </c>
      <c r="AZ20" s="108">
        <v>-300</v>
      </c>
      <c r="BA20" s="44"/>
      <c r="BB20" s="63"/>
      <c r="BC20" s="107" t="s">
        <v>216</v>
      </c>
      <c r="BD20" s="108">
        <v>-300</v>
      </c>
      <c r="BE20" s="44"/>
      <c r="BF20" s="63"/>
      <c r="BG20" s="107" t="s">
        <v>216</v>
      </c>
      <c r="BH20" s="108">
        <v>-300</v>
      </c>
      <c r="BI20" s="44"/>
      <c r="BJ20" s="63"/>
      <c r="BK20" s="107" t="s">
        <v>216</v>
      </c>
      <c r="BL20" s="108">
        <v>-300</v>
      </c>
      <c r="BM20" s="44"/>
      <c r="BN20" s="63"/>
      <c r="BO20" s="107" t="s">
        <v>216</v>
      </c>
      <c r="BP20" s="108">
        <v>-300</v>
      </c>
      <c r="BQ20" s="44"/>
      <c r="BR20" s="63"/>
      <c r="BS20" s="107" t="s">
        <v>216</v>
      </c>
      <c r="BT20" s="108">
        <v>-300</v>
      </c>
      <c r="BU20" s="44"/>
      <c r="BV20" s="63"/>
      <c r="BW20" s="107" t="s">
        <v>216</v>
      </c>
      <c r="BX20" s="108">
        <v>-300</v>
      </c>
      <c r="BY20" s="44"/>
      <c r="BZ20" s="63"/>
      <c r="CA20" s="107" t="s">
        <v>216</v>
      </c>
      <c r="CB20" s="108">
        <v>-300</v>
      </c>
      <c r="CC20" s="44"/>
      <c r="CD20" s="63"/>
      <c r="CE20" s="107" t="s">
        <v>216</v>
      </c>
      <c r="CF20" s="108">
        <v>-300</v>
      </c>
      <c r="CG20" s="44"/>
      <c r="CH20" s="63"/>
      <c r="CI20" s="107" t="s">
        <v>216</v>
      </c>
      <c r="CJ20" s="108">
        <v>-300</v>
      </c>
      <c r="CK20" s="44"/>
      <c r="CL20" s="63"/>
      <c r="CM20" s="107" t="s">
        <v>216</v>
      </c>
      <c r="CN20" s="108">
        <v>-300</v>
      </c>
      <c r="CO20" s="44"/>
      <c r="CP20" s="63"/>
      <c r="CQ20" s="107" t="s">
        <v>216</v>
      </c>
      <c r="CR20" s="108">
        <v>-300</v>
      </c>
      <c r="CS20" s="44"/>
      <c r="CT20" s="63"/>
      <c r="CU20" s="107" t="s">
        <v>216</v>
      </c>
      <c r="CV20" s="108">
        <v>-300</v>
      </c>
      <c r="CW20" s="44"/>
      <c r="CX20" s="63"/>
      <c r="CY20" s="107" t="s">
        <v>216</v>
      </c>
      <c r="CZ20" s="108">
        <v>-300</v>
      </c>
      <c r="DA20" s="44"/>
      <c r="DB20" s="63"/>
      <c r="DC20" s="107" t="s">
        <v>216</v>
      </c>
      <c r="DD20" s="108">
        <v>-300</v>
      </c>
      <c r="DE20" s="44"/>
      <c r="DF20" s="63"/>
      <c r="DG20" s="107" t="s">
        <v>216</v>
      </c>
      <c r="DH20" s="108">
        <v>-300</v>
      </c>
      <c r="DI20" s="44"/>
      <c r="DJ20" s="63"/>
      <c r="DK20" s="107" t="s">
        <v>216</v>
      </c>
      <c r="DL20" s="108">
        <v>-300</v>
      </c>
      <c r="DM20" s="44"/>
      <c r="DN20" s="63"/>
      <c r="DO20" s="107" t="s">
        <v>216</v>
      </c>
      <c r="DP20" s="108">
        <v>-300</v>
      </c>
      <c r="DQ20" s="44"/>
      <c r="DR20" s="63"/>
      <c r="DS20" s="107" t="s">
        <v>216</v>
      </c>
      <c r="DT20" s="108">
        <v>-300</v>
      </c>
      <c r="DU20" s="44"/>
      <c r="DV20" s="63"/>
      <c r="DW20" s="107" t="s">
        <v>216</v>
      </c>
      <c r="DX20" s="108">
        <v>-300</v>
      </c>
      <c r="DY20" s="44"/>
      <c r="DZ20" s="63"/>
      <c r="EA20" s="107" t="s">
        <v>216</v>
      </c>
      <c r="EB20" s="108">
        <v>-300</v>
      </c>
      <c r="EC20" s="44"/>
      <c r="ED20" s="63"/>
      <c r="EE20" s="107" t="s">
        <v>216</v>
      </c>
      <c r="EF20" s="108">
        <v>-300</v>
      </c>
      <c r="EG20" s="44"/>
      <c r="EH20" s="63"/>
      <c r="EI20" s="107" t="s">
        <v>216</v>
      </c>
      <c r="EJ20" s="108">
        <v>-300</v>
      </c>
      <c r="EK20" s="44"/>
      <c r="EL20" s="63"/>
      <c r="EM20" s="107" t="s">
        <v>216</v>
      </c>
      <c r="EN20" s="108">
        <v>-300</v>
      </c>
      <c r="EO20" s="44"/>
      <c r="EP20" s="63"/>
      <c r="EQ20" s="107" t="s">
        <v>216</v>
      </c>
      <c r="ER20" s="108">
        <v>-300</v>
      </c>
      <c r="ES20" s="44"/>
      <c r="ET20" s="63"/>
      <c r="EU20" s="107" t="s">
        <v>216</v>
      </c>
      <c r="EV20" s="108">
        <v>-300</v>
      </c>
      <c r="EW20" s="44"/>
      <c r="EX20" s="63"/>
      <c r="EY20" s="107" t="s">
        <v>216</v>
      </c>
      <c r="EZ20" s="108">
        <v>-300</v>
      </c>
      <c r="FA20" s="44"/>
      <c r="FB20" s="63"/>
      <c r="FC20" s="107" t="s">
        <v>216</v>
      </c>
      <c r="FD20" s="108">
        <v>-300</v>
      </c>
      <c r="FE20" s="44"/>
      <c r="FF20" s="63"/>
      <c r="FG20" s="107" t="s">
        <v>216</v>
      </c>
      <c r="FH20" s="108">
        <v>-300</v>
      </c>
      <c r="FI20" s="44"/>
      <c r="FJ20" s="63"/>
      <c r="FK20" s="107" t="s">
        <v>216</v>
      </c>
      <c r="FL20" s="108">
        <v>-300</v>
      </c>
      <c r="FM20" s="44"/>
      <c r="FN20" s="63"/>
      <c r="FO20" s="107" t="s">
        <v>216</v>
      </c>
      <c r="FP20" s="108">
        <v>-300</v>
      </c>
      <c r="FQ20" s="44"/>
      <c r="FR20" s="63"/>
      <c r="FS20" s="107" t="s">
        <v>216</v>
      </c>
      <c r="FT20" s="108">
        <v>-300</v>
      </c>
      <c r="FU20" s="44"/>
      <c r="FV20" s="63"/>
      <c r="FW20" s="107" t="s">
        <v>216</v>
      </c>
      <c r="FX20" s="108">
        <v>-300</v>
      </c>
      <c r="FY20" s="44"/>
      <c r="FZ20" s="63"/>
      <c r="GA20" s="107" t="s">
        <v>216</v>
      </c>
      <c r="GB20" s="108">
        <v>-300</v>
      </c>
      <c r="GC20" s="44"/>
      <c r="GD20" s="63"/>
      <c r="GE20" s="107" t="s">
        <v>216</v>
      </c>
      <c r="GF20" s="108">
        <v>-300</v>
      </c>
      <c r="GG20" s="44"/>
      <c r="GH20" s="63"/>
      <c r="GI20" s="107" t="s">
        <v>216</v>
      </c>
      <c r="GJ20" s="108">
        <v>-300</v>
      </c>
      <c r="GK20" s="44"/>
      <c r="GL20" s="63"/>
      <c r="GM20" s="107" t="s">
        <v>216</v>
      </c>
      <c r="GN20" s="108">
        <v>-300</v>
      </c>
      <c r="GO20" s="44"/>
      <c r="GP20" s="63"/>
      <c r="GQ20" s="107" t="s">
        <v>216</v>
      </c>
      <c r="GR20" s="108">
        <v>-300</v>
      </c>
      <c r="GS20" s="44"/>
      <c r="GT20" s="63"/>
      <c r="GU20" s="107" t="s">
        <v>216</v>
      </c>
      <c r="GV20" s="108">
        <v>-300</v>
      </c>
      <c r="GW20" s="44"/>
      <c r="GX20" s="63"/>
      <c r="GY20" s="107" t="s">
        <v>216</v>
      </c>
      <c r="GZ20" s="108">
        <v>-300</v>
      </c>
      <c r="HA20" s="44"/>
      <c r="HB20" s="63"/>
      <c r="HC20" s="107" t="s">
        <v>216</v>
      </c>
      <c r="HD20" s="108">
        <v>-300</v>
      </c>
      <c r="HE20" s="44"/>
      <c r="HF20" s="63"/>
      <c r="HG20" s="107" t="s">
        <v>216</v>
      </c>
      <c r="HH20" s="108">
        <v>-300</v>
      </c>
      <c r="HI20" s="44"/>
      <c r="HJ20" s="63"/>
      <c r="HK20" s="107" t="s">
        <v>216</v>
      </c>
      <c r="HL20" s="108">
        <v>-300</v>
      </c>
      <c r="HM20" s="44"/>
      <c r="HN20" s="63"/>
      <c r="HO20" s="107" t="s">
        <v>216</v>
      </c>
      <c r="HP20" s="108">
        <v>-300</v>
      </c>
      <c r="HQ20" s="44"/>
      <c r="HR20" s="63"/>
      <c r="HS20" s="107" t="s">
        <v>216</v>
      </c>
      <c r="HT20" s="108">
        <v>-300</v>
      </c>
      <c r="HU20" s="44"/>
      <c r="HV20" s="63"/>
      <c r="HW20" s="107" t="s">
        <v>216</v>
      </c>
      <c r="HX20" s="108">
        <v>-300</v>
      </c>
      <c r="HY20" s="44"/>
      <c r="HZ20" s="63"/>
      <c r="IA20" s="107" t="s">
        <v>216</v>
      </c>
      <c r="IB20" s="108">
        <v>-300</v>
      </c>
      <c r="IC20" s="44"/>
      <c r="ID20" s="63"/>
      <c r="IE20" s="107" t="s">
        <v>216</v>
      </c>
      <c r="IF20" s="108">
        <v>-300</v>
      </c>
      <c r="IG20" s="44"/>
      <c r="IH20" s="63"/>
      <c r="II20" s="107" t="s">
        <v>216</v>
      </c>
      <c r="IJ20" s="108">
        <v>-300</v>
      </c>
      <c r="IK20" s="44"/>
      <c r="IL20" s="63"/>
      <c r="IM20" s="107" t="s">
        <v>216</v>
      </c>
      <c r="IN20" s="108">
        <v>-300</v>
      </c>
      <c r="IO20" s="44"/>
      <c r="IP20" s="63"/>
      <c r="IQ20" s="107" t="s">
        <v>216</v>
      </c>
      <c r="IR20" s="108">
        <v>-300</v>
      </c>
      <c r="IS20" s="44"/>
      <c r="IT20" s="63"/>
      <c r="IU20" s="107" t="s">
        <v>216</v>
      </c>
      <c r="IV20" s="108">
        <v>-300</v>
      </c>
      <c r="IW20" s="44"/>
      <c r="IX20" s="63"/>
      <c r="IY20" s="107" t="s">
        <v>216</v>
      </c>
      <c r="IZ20" s="108">
        <v>-300</v>
      </c>
      <c r="JA20" s="44"/>
      <c r="JB20" s="63"/>
      <c r="JC20" s="107" t="s">
        <v>216</v>
      </c>
      <c r="JD20" s="108">
        <v>-300</v>
      </c>
      <c r="JE20" s="44"/>
      <c r="JF20" s="63"/>
      <c r="JG20" s="107" t="s">
        <v>216</v>
      </c>
      <c r="JH20" s="108">
        <v>-300</v>
      </c>
      <c r="JI20" s="44"/>
      <c r="JJ20" s="63"/>
      <c r="JK20" s="107" t="s">
        <v>216</v>
      </c>
      <c r="JL20" s="108">
        <v>-300</v>
      </c>
      <c r="JM20" s="44"/>
      <c r="JN20" s="63"/>
      <c r="JO20" s="107" t="s">
        <v>216</v>
      </c>
      <c r="JP20" s="108">
        <v>-300</v>
      </c>
      <c r="JQ20" s="44"/>
      <c r="JR20" s="63"/>
      <c r="JS20" s="107" t="s">
        <v>216</v>
      </c>
      <c r="JT20" s="108">
        <v>-300</v>
      </c>
      <c r="JU20" s="44"/>
      <c r="JV20" s="63"/>
      <c r="JW20" s="107" t="s">
        <v>216</v>
      </c>
      <c r="JX20" s="108">
        <v>-300</v>
      </c>
      <c r="JY20" s="44"/>
      <c r="JZ20" s="63"/>
      <c r="KA20" s="107" t="s">
        <v>216</v>
      </c>
      <c r="KB20" s="108">
        <v>-300</v>
      </c>
      <c r="KC20" s="44"/>
      <c r="KD20" s="63"/>
      <c r="KE20" s="107" t="s">
        <v>216</v>
      </c>
      <c r="KF20" s="108">
        <v>-300</v>
      </c>
      <c r="KG20" s="44"/>
      <c r="KH20" s="63"/>
    </row>
    <row r="21" spans="1:294" x14ac:dyDescent="0.25">
      <c r="C21" s="110" t="s">
        <v>93</v>
      </c>
      <c r="D21" s="111">
        <f>-AVERAGE('Simulação Empréstimo'!$K$6:$K$11)/12</f>
        <v>-1714.1957365239887</v>
      </c>
      <c r="E21" s="35"/>
      <c r="G21" s="110" t="s">
        <v>93</v>
      </c>
      <c r="H21" s="111">
        <f>-AVERAGE('Simulação Empréstimo'!$K$6:$K$11)/12</f>
        <v>-1714.1957365239887</v>
      </c>
      <c r="K21" s="110" t="s">
        <v>93</v>
      </c>
      <c r="L21" s="111">
        <f>-AVERAGE('Simulação Empréstimo'!$K$6:$K$11)/12</f>
        <v>-1714.1957365239887</v>
      </c>
      <c r="N21" s="44"/>
      <c r="O21" s="110" t="s">
        <v>93</v>
      </c>
      <c r="P21" s="111">
        <f>-AVERAGE('Simulação Empréstimo'!$K$6:$K$11)/12</f>
        <v>-1714.1957365239887</v>
      </c>
      <c r="R21" s="44"/>
      <c r="S21" s="110" t="s">
        <v>93</v>
      </c>
      <c r="T21" s="111">
        <f>-AVERAGE('Simulação Empréstimo'!$K$6:$K$11)/12</f>
        <v>-1714.1957365239887</v>
      </c>
      <c r="V21" s="44"/>
      <c r="W21" s="110" t="s">
        <v>93</v>
      </c>
      <c r="X21" s="111">
        <f>-AVERAGE('Simulação Empréstimo'!$K$6:$K$11)/12</f>
        <v>-1714.1957365239887</v>
      </c>
      <c r="Z21" s="44"/>
      <c r="AA21" s="110" t="s">
        <v>93</v>
      </c>
      <c r="AB21" s="111">
        <f>-AVERAGE('Simulação Empréstimo'!$K$6:$K$11)/12</f>
        <v>-1714.1957365239887</v>
      </c>
      <c r="AD21" s="44"/>
      <c r="AE21" s="110" t="s">
        <v>93</v>
      </c>
      <c r="AF21" s="111">
        <f>-AVERAGE('Simulação Empréstimo'!$K$6:$K$11)/12</f>
        <v>-1714.1957365239887</v>
      </c>
      <c r="AH21" s="44"/>
      <c r="AI21" s="110" t="s">
        <v>93</v>
      </c>
      <c r="AJ21" s="111">
        <f>-AVERAGE('Simulação Empréstimo'!$K$6:$K$11)/12</f>
        <v>-1714.1957365239887</v>
      </c>
      <c r="AL21" s="44"/>
      <c r="AM21" s="110" t="s">
        <v>93</v>
      </c>
      <c r="AN21" s="111">
        <f>-AVERAGE('Simulação Empréstimo'!$K$6:$K$11)/12</f>
        <v>-1714.1957365239887</v>
      </c>
      <c r="AP21" s="44"/>
      <c r="AQ21" s="110" t="s">
        <v>93</v>
      </c>
      <c r="AR21" s="111">
        <f>-AVERAGE('Simulação Empréstimo'!$K$6:$K$11)/12</f>
        <v>-1714.1957365239887</v>
      </c>
      <c r="AT21" s="44"/>
      <c r="AU21" s="110" t="s">
        <v>93</v>
      </c>
      <c r="AV21" s="111">
        <f>-AVERAGE('Simulação Empréstimo'!$K$6:$K$11)/12</f>
        <v>-1714.1957365239887</v>
      </c>
      <c r="AX21" s="44"/>
      <c r="AY21" s="110" t="s">
        <v>93</v>
      </c>
      <c r="AZ21" s="111">
        <f>-AVERAGE('Simulação Empréstimo'!$K$6:$K$11)/12</f>
        <v>-1714.1957365239887</v>
      </c>
      <c r="BB21" s="44"/>
      <c r="BC21" s="110" t="s">
        <v>93</v>
      </c>
      <c r="BD21" s="111">
        <f>-AVERAGE('Simulação Empréstimo'!$K$6:$K$11)/12</f>
        <v>-1714.1957365239887</v>
      </c>
      <c r="BF21" s="44"/>
      <c r="BG21" s="110" t="s">
        <v>93</v>
      </c>
      <c r="BH21" s="111">
        <f>-AVERAGE('Simulação Empréstimo'!$K$6:$K$11)/12</f>
        <v>-1714.1957365239887</v>
      </c>
      <c r="BJ21" s="44"/>
      <c r="BK21" s="110" t="s">
        <v>93</v>
      </c>
      <c r="BL21" s="111">
        <f>-AVERAGE('Simulação Empréstimo'!$K$6:$K$11)/12</f>
        <v>-1714.1957365239887</v>
      </c>
      <c r="BN21" s="44"/>
      <c r="BO21" s="110" t="s">
        <v>93</v>
      </c>
      <c r="BP21" s="111">
        <f>-AVERAGE('Simulação Empréstimo'!$K$6:$K$11)/12</f>
        <v>-1714.1957365239887</v>
      </c>
      <c r="BR21" s="44"/>
      <c r="BS21" s="110" t="s">
        <v>93</v>
      </c>
      <c r="BT21" s="111">
        <f>-AVERAGE('Simulação Empréstimo'!$K$6:$K$11)/12</f>
        <v>-1714.1957365239887</v>
      </c>
      <c r="BV21" s="44"/>
      <c r="BW21" s="110" t="s">
        <v>93</v>
      </c>
      <c r="BX21" s="111">
        <f>-AVERAGE('Simulação Empréstimo'!$K$6:$K$11)/12</f>
        <v>-1714.1957365239887</v>
      </c>
      <c r="BZ21" s="44"/>
      <c r="CA21" s="110" t="s">
        <v>93</v>
      </c>
      <c r="CB21" s="111">
        <f>-AVERAGE('Simulação Empréstimo'!$K$6:$K$11)/12</f>
        <v>-1714.1957365239887</v>
      </c>
      <c r="CD21" s="44"/>
      <c r="CE21" s="110" t="s">
        <v>93</v>
      </c>
      <c r="CF21" s="111">
        <f>-AVERAGE('Simulação Empréstimo'!$K$6:$K$11)/12</f>
        <v>-1714.1957365239887</v>
      </c>
      <c r="CH21" s="44"/>
      <c r="CI21" s="110" t="s">
        <v>93</v>
      </c>
      <c r="CJ21" s="111">
        <f>-AVERAGE('Simulação Empréstimo'!$K$6:$K$11)/12</f>
        <v>-1714.1957365239887</v>
      </c>
      <c r="CL21" s="44"/>
      <c r="CM21" s="110" t="s">
        <v>93</v>
      </c>
      <c r="CN21" s="111">
        <f>-AVERAGE('Simulação Empréstimo'!$K$6:$K$11)/12</f>
        <v>-1714.1957365239887</v>
      </c>
      <c r="CP21" s="44"/>
      <c r="CQ21" s="110" t="s">
        <v>93</v>
      </c>
      <c r="CR21" s="111">
        <f>-AVERAGE('Simulação Empréstimo'!$K$6:$K$11)/12</f>
        <v>-1714.1957365239887</v>
      </c>
      <c r="CT21" s="44"/>
      <c r="CU21" s="110" t="s">
        <v>93</v>
      </c>
      <c r="CV21" s="111">
        <f>-AVERAGE('Simulação Empréstimo'!$K$6:$K$11)/12</f>
        <v>-1714.1957365239887</v>
      </c>
      <c r="CX21" s="44"/>
      <c r="CY21" s="110" t="s">
        <v>93</v>
      </c>
      <c r="CZ21" s="111">
        <f>-AVERAGE('Simulação Empréstimo'!$K$6:$K$11)/12</f>
        <v>-1714.1957365239887</v>
      </c>
      <c r="DB21" s="44"/>
      <c r="DC21" s="110" t="s">
        <v>93</v>
      </c>
      <c r="DD21" s="111">
        <f>-AVERAGE('Simulação Empréstimo'!$K$6:$K$11)/12</f>
        <v>-1714.1957365239887</v>
      </c>
      <c r="DF21" s="44"/>
      <c r="DG21" s="110" t="s">
        <v>93</v>
      </c>
      <c r="DH21" s="111">
        <f>-AVERAGE('Simulação Empréstimo'!$K$6:$K$11)/12</f>
        <v>-1714.1957365239887</v>
      </c>
      <c r="DJ21" s="44"/>
      <c r="DK21" s="110" t="s">
        <v>93</v>
      </c>
      <c r="DL21" s="111">
        <f>-AVERAGE('Simulação Empréstimo'!$K$6:$K$11)/12</f>
        <v>-1714.1957365239887</v>
      </c>
      <c r="DN21" s="44"/>
      <c r="DO21" s="110" t="s">
        <v>93</v>
      </c>
      <c r="DP21" s="111">
        <f>-AVERAGE('Simulação Empréstimo'!$K$6:$K$11)/12</f>
        <v>-1714.1957365239887</v>
      </c>
      <c r="DR21" s="44"/>
      <c r="DS21" s="110" t="s">
        <v>93</v>
      </c>
      <c r="DT21" s="111">
        <f>-AVERAGE('Simulação Empréstimo'!$K$6:$K$11)/12</f>
        <v>-1714.1957365239887</v>
      </c>
      <c r="DV21" s="44"/>
      <c r="DW21" s="110" t="s">
        <v>93</v>
      </c>
      <c r="DX21" s="111">
        <f>-AVERAGE('Simulação Empréstimo'!$K$6:$K$11)/12</f>
        <v>-1714.1957365239887</v>
      </c>
      <c r="DZ21" s="44"/>
      <c r="EA21" s="110" t="s">
        <v>93</v>
      </c>
      <c r="EB21" s="111">
        <f>-AVERAGE('Simulação Empréstimo'!$K$6:$K$11)/12</f>
        <v>-1714.1957365239887</v>
      </c>
      <c r="ED21" s="44"/>
      <c r="EE21" s="110" t="s">
        <v>93</v>
      </c>
      <c r="EF21" s="111">
        <f>-AVERAGE('Simulação Empréstimo'!$K$6:$K$11)/12</f>
        <v>-1714.1957365239887</v>
      </c>
      <c r="EH21" s="44"/>
      <c r="EI21" s="110" t="s">
        <v>93</v>
      </c>
      <c r="EJ21" s="111">
        <f>-AVERAGE('Simulação Empréstimo'!$K$6:$K$11)/12</f>
        <v>-1714.1957365239887</v>
      </c>
      <c r="EL21" s="44"/>
      <c r="EM21" s="110" t="s">
        <v>93</v>
      </c>
      <c r="EN21" s="111">
        <f>-AVERAGE('Simulação Empréstimo'!$K$6:$K$11)/12</f>
        <v>-1714.1957365239887</v>
      </c>
      <c r="EP21" s="44"/>
      <c r="EQ21" s="110" t="s">
        <v>93</v>
      </c>
      <c r="ER21" s="111">
        <f>-AVERAGE('Simulação Empréstimo'!$K$6:$K$11)/12</f>
        <v>-1714.1957365239887</v>
      </c>
      <c r="ET21" s="44"/>
      <c r="EU21" s="110" t="s">
        <v>93</v>
      </c>
      <c r="EV21" s="111">
        <f>-AVERAGE('Simulação Empréstimo'!$K$6:$K$11)/12</f>
        <v>-1714.1957365239887</v>
      </c>
      <c r="EX21" s="44"/>
      <c r="EY21" s="110" t="s">
        <v>93</v>
      </c>
      <c r="EZ21" s="111">
        <f>-AVERAGE('Simulação Empréstimo'!$K$6:$K$11)/12</f>
        <v>-1714.1957365239887</v>
      </c>
      <c r="FB21" s="44"/>
      <c r="FC21" s="110" t="s">
        <v>93</v>
      </c>
      <c r="FD21" s="111">
        <f>-AVERAGE('Simulação Empréstimo'!$K$6:$K$11)/12</f>
        <v>-1714.1957365239887</v>
      </c>
      <c r="FF21" s="44"/>
      <c r="FG21" s="110" t="s">
        <v>93</v>
      </c>
      <c r="FH21" s="111">
        <f>-AVERAGE('Simulação Empréstimo'!$K$6:$K$11)/12</f>
        <v>-1714.1957365239887</v>
      </c>
      <c r="FJ21" s="44"/>
      <c r="FK21" s="110" t="s">
        <v>93</v>
      </c>
      <c r="FL21" s="111">
        <f>-AVERAGE('Simulação Empréstimo'!$K$6:$K$11)/12</f>
        <v>-1714.1957365239887</v>
      </c>
      <c r="FN21" s="44"/>
      <c r="FO21" s="110" t="s">
        <v>93</v>
      </c>
      <c r="FP21" s="111">
        <f>-AVERAGE('Simulação Empréstimo'!$K$6:$K$11)/12</f>
        <v>-1714.1957365239887</v>
      </c>
      <c r="FR21" s="44"/>
      <c r="FS21" s="110" t="s">
        <v>93</v>
      </c>
      <c r="FT21" s="111">
        <f>-AVERAGE('Simulação Empréstimo'!$K$6:$K$11)/12</f>
        <v>-1714.1957365239887</v>
      </c>
      <c r="FV21" s="44"/>
      <c r="FW21" s="110" t="s">
        <v>93</v>
      </c>
      <c r="FX21" s="111">
        <f>-AVERAGE('Simulação Empréstimo'!$K$6:$K$11)/12</f>
        <v>-1714.1957365239887</v>
      </c>
      <c r="FZ21" s="44"/>
      <c r="GA21" s="110" t="s">
        <v>93</v>
      </c>
      <c r="GB21" s="111">
        <f>-AVERAGE('Simulação Empréstimo'!$K$6:$K$11)/12</f>
        <v>-1714.1957365239887</v>
      </c>
      <c r="GD21" s="44"/>
      <c r="GE21" s="110" t="s">
        <v>93</v>
      </c>
      <c r="GF21" s="111">
        <f>-AVERAGE('Simulação Empréstimo'!$K$6:$K$11)/12</f>
        <v>-1714.1957365239887</v>
      </c>
      <c r="GH21" s="44"/>
      <c r="GI21" s="110" t="s">
        <v>93</v>
      </c>
      <c r="GJ21" s="111">
        <f>-AVERAGE('Simulação Empréstimo'!$K$6:$K$11)/12</f>
        <v>-1714.1957365239887</v>
      </c>
      <c r="GL21" s="44"/>
      <c r="GM21" s="110" t="s">
        <v>93</v>
      </c>
      <c r="GN21" s="111">
        <f>-AVERAGE('Simulação Empréstimo'!$K$6:$K$11)/12</f>
        <v>-1714.1957365239887</v>
      </c>
      <c r="GP21" s="44"/>
      <c r="GQ21" s="110" t="s">
        <v>93</v>
      </c>
      <c r="GR21" s="111">
        <f>-AVERAGE('Simulação Empréstimo'!$K$6:$K$11)/12</f>
        <v>-1714.1957365239887</v>
      </c>
      <c r="GT21" s="44"/>
      <c r="GU21" s="110" t="s">
        <v>93</v>
      </c>
      <c r="GV21" s="111">
        <f>-AVERAGE('Simulação Empréstimo'!$K$6:$K$11)/12</f>
        <v>-1714.1957365239887</v>
      </c>
      <c r="GX21" s="44"/>
      <c r="GY21" s="110" t="s">
        <v>93</v>
      </c>
      <c r="GZ21" s="111">
        <f>-AVERAGE('Simulação Empréstimo'!$K$6:$K$11)/12</f>
        <v>-1714.1957365239887</v>
      </c>
      <c r="HB21" s="44"/>
      <c r="HC21" s="110" t="s">
        <v>93</v>
      </c>
      <c r="HD21" s="111">
        <f>-AVERAGE('Simulação Empréstimo'!$K$6:$K$11)/12</f>
        <v>-1714.1957365239887</v>
      </c>
      <c r="HF21" s="44"/>
      <c r="HG21" s="110" t="s">
        <v>93</v>
      </c>
      <c r="HH21" s="111">
        <f>-AVERAGE('Simulação Empréstimo'!$K$6:$K$11)/12</f>
        <v>-1714.1957365239887</v>
      </c>
      <c r="HJ21" s="44"/>
      <c r="HK21" s="110" t="s">
        <v>93</v>
      </c>
      <c r="HL21" s="111">
        <f>-AVERAGE('Simulação Empréstimo'!$K$6:$K$11)/12</f>
        <v>-1714.1957365239887</v>
      </c>
      <c r="HN21" s="44"/>
      <c r="HO21" s="110" t="s">
        <v>93</v>
      </c>
      <c r="HP21" s="111">
        <f>-AVERAGE('Simulação Empréstimo'!$K$6:$K$11)/12</f>
        <v>-1714.1957365239887</v>
      </c>
      <c r="HR21" s="44"/>
      <c r="HS21" s="110" t="s">
        <v>93</v>
      </c>
      <c r="HT21" s="111">
        <f>-AVERAGE('Simulação Empréstimo'!$K$6:$K$11)/12</f>
        <v>-1714.1957365239887</v>
      </c>
      <c r="HV21" s="44"/>
      <c r="HW21" s="110" t="s">
        <v>93</v>
      </c>
      <c r="HX21" s="111">
        <f>-AVERAGE('Simulação Empréstimo'!$K$6:$K$11)/12</f>
        <v>-1714.1957365239887</v>
      </c>
      <c r="HZ21" s="44"/>
      <c r="IA21" s="110" t="s">
        <v>93</v>
      </c>
      <c r="IB21" s="111">
        <f>-AVERAGE('Simulação Empréstimo'!$K$6:$K$11)/12</f>
        <v>-1714.1957365239887</v>
      </c>
      <c r="ID21" s="44"/>
      <c r="IE21" s="110" t="s">
        <v>93</v>
      </c>
      <c r="IF21" s="111">
        <f>-AVERAGE('Simulação Empréstimo'!$K$6:$K$11)/12</f>
        <v>-1714.1957365239887</v>
      </c>
      <c r="IH21" s="44"/>
      <c r="II21" s="110" t="s">
        <v>93</v>
      </c>
      <c r="IJ21" s="111">
        <f>-AVERAGE('Simulação Empréstimo'!$K$6:$K$11)/12</f>
        <v>-1714.1957365239887</v>
      </c>
      <c r="IL21" s="44"/>
      <c r="IM21" s="110" t="s">
        <v>93</v>
      </c>
      <c r="IN21" s="111">
        <f>-AVERAGE('Simulação Empréstimo'!$K$6:$K$11)/12</f>
        <v>-1714.1957365239887</v>
      </c>
      <c r="IP21" s="44"/>
      <c r="IQ21" s="110" t="s">
        <v>93</v>
      </c>
      <c r="IR21" s="111">
        <f>-AVERAGE('Simulação Empréstimo'!$K$6:$K$11)/12</f>
        <v>-1714.1957365239887</v>
      </c>
      <c r="IT21" s="44"/>
      <c r="IU21" s="110" t="s">
        <v>93</v>
      </c>
      <c r="IV21" s="111">
        <f>-AVERAGE('Simulação Empréstimo'!$K$6:$K$11)/12</f>
        <v>-1714.1957365239887</v>
      </c>
      <c r="IX21" s="44"/>
      <c r="IY21" s="110" t="s">
        <v>93</v>
      </c>
      <c r="IZ21" s="111">
        <f>-AVERAGE('Simulação Empréstimo'!$K$6:$K$11)/12</f>
        <v>-1714.1957365239887</v>
      </c>
      <c r="JB21" s="44"/>
      <c r="JC21" s="110" t="s">
        <v>93</v>
      </c>
      <c r="JD21" s="111">
        <f>-AVERAGE('Simulação Empréstimo'!$K$6:$K$11)/12</f>
        <v>-1714.1957365239887</v>
      </c>
      <c r="JF21" s="44"/>
      <c r="JG21" s="110" t="s">
        <v>93</v>
      </c>
      <c r="JH21" s="111">
        <f>-AVERAGE('Simulação Empréstimo'!$K$6:$K$11)/12</f>
        <v>-1714.1957365239887</v>
      </c>
      <c r="JJ21" s="44"/>
      <c r="JK21" s="110" t="s">
        <v>93</v>
      </c>
      <c r="JL21" s="111">
        <f>-AVERAGE('Simulação Empréstimo'!$K$6:$K$11)/12</f>
        <v>-1714.1957365239887</v>
      </c>
      <c r="JN21" s="44"/>
      <c r="JO21" s="110" t="s">
        <v>93</v>
      </c>
      <c r="JP21" s="111">
        <f>-AVERAGE('Simulação Empréstimo'!$K$6:$K$11)/12</f>
        <v>-1714.1957365239887</v>
      </c>
      <c r="JR21" s="44"/>
      <c r="JS21" s="110" t="s">
        <v>93</v>
      </c>
      <c r="JT21" s="111">
        <f>-AVERAGE('Simulação Empréstimo'!$K$6:$K$11)/12</f>
        <v>-1714.1957365239887</v>
      </c>
      <c r="JV21" s="44"/>
      <c r="JW21" s="110" t="s">
        <v>93</v>
      </c>
      <c r="JX21" s="111">
        <f>-AVERAGE('Simulação Empréstimo'!$K$6:$K$11)/12</f>
        <v>-1714.1957365239887</v>
      </c>
      <c r="JZ21" s="44"/>
      <c r="KA21" s="110" t="s">
        <v>93</v>
      </c>
      <c r="KB21" s="111">
        <f>-AVERAGE('Simulação Empréstimo'!$K$6:$K$11)/12</f>
        <v>-1714.1957365239887</v>
      </c>
      <c r="KD21" s="44"/>
      <c r="KE21" s="110" t="s">
        <v>93</v>
      </c>
      <c r="KF21" s="111">
        <f>-AVERAGE('Simulação Empréstimo'!$K$6:$K$11)/12</f>
        <v>-1714.1957365239887</v>
      </c>
      <c r="KH21" s="44"/>
    </row>
    <row r="22" spans="1:294" x14ac:dyDescent="0.25">
      <c r="C22" s="110" t="s">
        <v>206</v>
      </c>
      <c r="D22" s="111">
        <f ca="1">-E22*D$3</f>
        <v>-1296</v>
      </c>
      <c r="E22" s="112">
        <f ca="1">VLOOKUP(SUM(OFFSET(D7, 0, -(MIN(12*4-1, COLUMN(D7)-1)), 1, MIN(12*4, COLUMN(D7)))), 'Tabela Simples'!$B$2:$C$7, 2, TRUE)</f>
        <v>4.4999999999999998E-2</v>
      </c>
      <c r="F22" s="19"/>
      <c r="G22" s="110" t="s">
        <v>206</v>
      </c>
      <c r="H22" s="111">
        <f ca="1">-I$22*H$3</f>
        <v>-1296</v>
      </c>
      <c r="I22" s="112">
        <f ca="1">VLOOKUP(SUM(OFFSET(H7, 0, -(MIN(12*4-1, COLUMN(H7)-1)), 1, MIN(12*4, COLUMN(H7)))), 'Tabela Simples'!$B$2:$C$7, 2, TRUE)</f>
        <v>4.4999999999999998E-2</v>
      </c>
      <c r="J22" s="19"/>
      <c r="K22" s="110" t="s">
        <v>206</v>
      </c>
      <c r="L22" s="111">
        <f t="shared" ref="L22" ca="1" si="858">-M$22*L$3</f>
        <v>-1296</v>
      </c>
      <c r="M22" s="112">
        <f ca="1">VLOOKUP(SUM(OFFSET(L7, 0, -(MIN(12*4-1, COLUMN(L7)-1)), 1, MIN(12*4, COLUMN(L7)))), 'Tabela Simples'!$B$2:$C$7, 2, TRUE)</f>
        <v>4.4999999999999998E-2</v>
      </c>
      <c r="N22" s="19"/>
      <c r="O22" s="110" t="s">
        <v>206</v>
      </c>
      <c r="P22" s="111">
        <f t="shared" ref="P22" ca="1" si="859">-Q$22*P$3</f>
        <v>-1296</v>
      </c>
      <c r="Q22" s="112">
        <f ca="1">VLOOKUP(SUM(OFFSET(P7, 0, -(MIN(12*4-1, COLUMN(P7)-1)), 1, MIN(12*4, COLUMN(P7)))), 'Tabela Simples'!$B$2:$C$7, 2, TRUE)</f>
        <v>4.4999999999999998E-2</v>
      </c>
      <c r="R22" s="19"/>
      <c r="S22" s="110" t="s">
        <v>206</v>
      </c>
      <c r="T22" s="111">
        <f t="shared" ref="T22" ca="1" si="860">-U$22*T$3</f>
        <v>-1296</v>
      </c>
      <c r="U22" s="112">
        <f ca="1">VLOOKUP(SUM(OFFSET(T7, 0, -(MIN(12*4-1, COLUMN(T7)-1)), 1, MIN(12*4, COLUMN(T7)))), 'Tabela Simples'!$B$2:$C$7, 2, TRUE)</f>
        <v>4.4999999999999998E-2</v>
      </c>
      <c r="V22" s="19"/>
      <c r="W22" s="110" t="s">
        <v>206</v>
      </c>
      <c r="X22" s="111">
        <f t="shared" ref="X22" ca="1" si="861">-Y$22*X$3</f>
        <v>-1296</v>
      </c>
      <c r="Y22" s="112">
        <f ca="1">VLOOKUP(SUM(OFFSET(X7, 0, -(MIN(12*4-1, COLUMN(X7)-1)), 1, MIN(12*4, COLUMN(X7)))), 'Tabela Simples'!$B$2:$C$7, 2, TRUE)</f>
        <v>4.4999999999999998E-2</v>
      </c>
      <c r="Z22" s="19"/>
      <c r="AA22" s="110" t="s">
        <v>206</v>
      </c>
      <c r="AB22" s="111">
        <f t="shared" ref="AB22" ca="1" si="862">-AC$22*AB$3</f>
        <v>-2246.4</v>
      </c>
      <c r="AC22" s="112">
        <f ca="1">VLOOKUP(SUM(OFFSET(AB7, 0, -(MIN(12*4-1, COLUMN(AB7)-1)), 1, MIN(12*4, COLUMN(AB7)))), 'Tabela Simples'!$B$2:$C$7, 2, TRUE)</f>
        <v>7.8E-2</v>
      </c>
      <c r="AD22" s="19"/>
      <c r="AE22" s="110" t="s">
        <v>206</v>
      </c>
      <c r="AF22" s="111">
        <f t="shared" ref="AF22" ca="1" si="863">-AG$22*AF$3</f>
        <v>-2995.2</v>
      </c>
      <c r="AG22" s="112">
        <f ca="1">VLOOKUP(SUM(OFFSET(AF7, 0, -(MIN(12*4-1, COLUMN(AF7)-1)), 1, MIN(12*4, COLUMN(AF7)))), 'Tabela Simples'!$B$2:$C$7, 2, TRUE)</f>
        <v>7.8E-2</v>
      </c>
      <c r="AH22" s="19"/>
      <c r="AI22" s="110" t="s">
        <v>206</v>
      </c>
      <c r="AJ22" s="111">
        <f t="shared" ref="AJ22" ca="1" si="864">-AK$22*AJ$3</f>
        <v>-2995.2</v>
      </c>
      <c r="AK22" s="112">
        <f ca="1">VLOOKUP(SUM(OFFSET(AJ7, 0, -(MIN(12*4-1, COLUMN(AJ7)-1)), 1, MIN(12*4, COLUMN(AJ7)))), 'Tabela Simples'!$B$2:$C$7, 2, TRUE)</f>
        <v>7.8E-2</v>
      </c>
      <c r="AL22" s="19"/>
      <c r="AM22" s="110" t="s">
        <v>206</v>
      </c>
      <c r="AN22" s="111">
        <f t="shared" ref="AN22" ca="1" si="865">-AO$22*AN$3</f>
        <v>-2995.2</v>
      </c>
      <c r="AO22" s="112">
        <f ca="1">VLOOKUP(SUM(OFFSET(AN7, 0, -(MIN(12*4-1, COLUMN(AN7)-1)), 1, MIN(12*4, COLUMN(AN7)))), 'Tabela Simples'!$B$2:$C$7, 2, TRUE)</f>
        <v>7.8E-2</v>
      </c>
      <c r="AP22" s="19"/>
      <c r="AQ22" s="110" t="s">
        <v>206</v>
      </c>
      <c r="AR22" s="111">
        <f t="shared" ref="AR22" ca="1" si="866">-AS$22*AR$3</f>
        <v>-2995.2</v>
      </c>
      <c r="AS22" s="112">
        <f ca="1">VLOOKUP(SUM(OFFSET(AR7, 0, -(MIN(12*4-1, COLUMN(AR7)-1)), 1, MIN(12*4, COLUMN(AR7)))), 'Tabela Simples'!$B$2:$C$7, 2, TRUE)</f>
        <v>7.8E-2</v>
      </c>
      <c r="AT22" s="19"/>
      <c r="AU22" s="110" t="s">
        <v>206</v>
      </c>
      <c r="AV22" s="111">
        <f t="shared" ref="AV22" ca="1" si="867">-AW$22*AV$3</f>
        <v>-3840</v>
      </c>
      <c r="AW22" s="112">
        <f ca="1">VLOOKUP(SUM(OFFSET(AV7, 0, -(MIN(12*4-1, COLUMN(AV7)-1)), 1, MIN(12*4, COLUMN(AV7)))), 'Tabela Simples'!$B$2:$C$7, 2, TRUE)</f>
        <v>0.1</v>
      </c>
      <c r="AX22" s="19"/>
      <c r="AY22" s="110" t="s">
        <v>206</v>
      </c>
      <c r="AZ22" s="111">
        <f t="shared" ref="AZ22" ca="1" si="868">-BA$22*AZ$3</f>
        <v>-3840</v>
      </c>
      <c r="BA22" s="112">
        <f ca="1">VLOOKUP(SUM(OFFSET(AZ7, 0, -(MIN(12*4-1, COLUMN(AZ7)-1)), 1, MIN(12*4, COLUMN(AZ7)))), 'Tabela Simples'!$B$2:$C$7, 2, TRUE)</f>
        <v>0.1</v>
      </c>
      <c r="BB22" s="19"/>
      <c r="BC22" s="110" t="s">
        <v>206</v>
      </c>
      <c r="BD22" s="111">
        <f t="shared" ref="BD22" ca="1" si="869">-BE$22*BD$3</f>
        <v>-3840</v>
      </c>
      <c r="BE22" s="112">
        <f ca="1">VLOOKUP(SUM(OFFSET(BD7, 0, -(MIN(12*4-1, COLUMN(BD7)-1)), 1, MIN(12*4, COLUMN(BD7)))), 'Tabela Simples'!$B$2:$C$7, 2, TRUE)</f>
        <v>0.1</v>
      </c>
      <c r="BF22" s="19"/>
      <c r="BG22" s="110" t="s">
        <v>206</v>
      </c>
      <c r="BH22" s="111">
        <f t="shared" ref="BH22" ca="1" si="870">-BI$22*BH$3</f>
        <v>-4800</v>
      </c>
      <c r="BI22" s="112">
        <f ca="1">VLOOKUP(SUM(OFFSET(BH7, 0, -(MIN(12*4-1, COLUMN(BH7)-1)), 1, MIN(12*4, COLUMN(BH7)))), 'Tabela Simples'!$B$2:$C$7, 2, TRUE)</f>
        <v>0.1</v>
      </c>
      <c r="BJ22" s="19"/>
      <c r="BK22" s="110" t="s">
        <v>206</v>
      </c>
      <c r="BL22" s="111">
        <f t="shared" ref="BL22" ca="1" si="871">-BM$22*BL$3</f>
        <v>-4800</v>
      </c>
      <c r="BM22" s="112">
        <f ca="1">VLOOKUP(SUM(OFFSET(BL7, 0, -(MIN(12*4-1, COLUMN(BL7)-1)), 1, MIN(12*4, COLUMN(BL7)))), 'Tabela Simples'!$B$2:$C$7, 2, TRUE)</f>
        <v>0.1</v>
      </c>
      <c r="BN22" s="19"/>
      <c r="BO22" s="110" t="s">
        <v>206</v>
      </c>
      <c r="BP22" s="111">
        <f t="shared" ref="BP22" ca="1" si="872">-BQ$22*BP$3</f>
        <v>-4800</v>
      </c>
      <c r="BQ22" s="112">
        <f ca="1">VLOOKUP(SUM(OFFSET(BP7, 0, -(MIN(12*4-1, COLUMN(BP7)-1)), 1, MIN(12*4, COLUMN(BP7)))), 'Tabela Simples'!$B$2:$C$7, 2, TRUE)</f>
        <v>0.1</v>
      </c>
      <c r="BR22" s="19"/>
      <c r="BS22" s="110" t="s">
        <v>206</v>
      </c>
      <c r="BT22" s="111">
        <f t="shared" ref="BT22" ca="1" si="873">-BU$22*BT$3</f>
        <v>-4800</v>
      </c>
      <c r="BU22" s="112">
        <f ca="1">VLOOKUP(SUM(OFFSET(BT7, 0, -(MIN(12*4-1, COLUMN(BT7)-1)), 1, MIN(12*4, COLUMN(BT7)))), 'Tabela Simples'!$B$2:$C$7, 2, TRUE)</f>
        <v>0.1</v>
      </c>
      <c r="BV22" s="19"/>
      <c r="BW22" s="110" t="s">
        <v>206</v>
      </c>
      <c r="BX22" s="111">
        <f t="shared" ref="BX22" ca="1" si="874">-BY$22*BX$3</f>
        <v>-4800</v>
      </c>
      <c r="BY22" s="112">
        <f ca="1">VLOOKUP(SUM(OFFSET(BX7, 0, -(MIN(12*4-1, COLUMN(BX7)-1)), 1, MIN(12*4, COLUMN(BX7)))), 'Tabela Simples'!$B$2:$C$7, 2, TRUE)</f>
        <v>0.1</v>
      </c>
      <c r="BZ22" s="19"/>
      <c r="CA22" s="110" t="s">
        <v>206</v>
      </c>
      <c r="CB22" s="111">
        <f t="shared" ref="CB22" ca="1" si="875">-CC$22*CB$3</f>
        <v>-4800</v>
      </c>
      <c r="CC22" s="112">
        <f ca="1">VLOOKUP(SUM(OFFSET(CB7, 0, -(MIN(12*4-1, COLUMN(CB7)-1)), 1, MIN(12*4, COLUMN(CB7)))), 'Tabela Simples'!$B$2:$C$7, 2, TRUE)</f>
        <v>0.1</v>
      </c>
      <c r="CD22" s="19"/>
      <c r="CE22" s="110" t="s">
        <v>206</v>
      </c>
      <c r="CF22" s="111">
        <f t="shared" ref="CF22" ca="1" si="876">-CG$22*CF$3</f>
        <v>-5760</v>
      </c>
      <c r="CG22" s="112">
        <f ca="1">VLOOKUP(SUM(OFFSET(CF7, 0, -(MIN(12*4-1, COLUMN(CF7)-1)), 1, MIN(12*4, COLUMN(CF7)))), 'Tabela Simples'!$B$2:$C$7, 2, TRUE)</f>
        <v>0.1</v>
      </c>
      <c r="CH22" s="19"/>
      <c r="CI22" s="110" t="s">
        <v>206</v>
      </c>
      <c r="CJ22" s="111">
        <f t="shared" ref="CJ22" ca="1" si="877">-CK$22*CJ$3</f>
        <v>-5760</v>
      </c>
      <c r="CK22" s="112">
        <f ca="1">VLOOKUP(SUM(OFFSET(CJ7, 0, -(MIN(12*4-1, COLUMN(CJ7)-1)), 1, MIN(12*4, COLUMN(CJ7)))), 'Tabela Simples'!$B$2:$C$7, 2, TRUE)</f>
        <v>0.1</v>
      </c>
      <c r="CL22" s="19"/>
      <c r="CM22" s="110" t="s">
        <v>206</v>
      </c>
      <c r="CN22" s="111">
        <f t="shared" ref="CN22" ca="1" si="878">-CO$22*CN$3</f>
        <v>-5760</v>
      </c>
      <c r="CO22" s="112">
        <f ca="1">VLOOKUP(SUM(OFFSET(CN7, 0, -(MIN(12*4-1, COLUMN(CN7)-1)), 1, MIN(12*4, COLUMN(CN7)))), 'Tabela Simples'!$B$2:$C$7, 2, TRUE)</f>
        <v>0.1</v>
      </c>
      <c r="CP22" s="19"/>
      <c r="CQ22" s="110" t="s">
        <v>206</v>
      </c>
      <c r="CR22" s="111">
        <f t="shared" ref="CR22" ca="1" si="879">-CS$22*CR$3</f>
        <v>-5760</v>
      </c>
      <c r="CS22" s="112">
        <f ca="1">VLOOKUP(SUM(OFFSET(CR7, 0, -(MIN(12*4-1, COLUMN(CR7)-1)), 1, MIN(12*4, COLUMN(CR7)))), 'Tabela Simples'!$B$2:$C$7, 2, TRUE)</f>
        <v>0.1</v>
      </c>
      <c r="CT22" s="19"/>
      <c r="CU22" s="110" t="s">
        <v>206</v>
      </c>
      <c r="CV22" s="111">
        <f t="shared" ref="CV22" ca="1" si="880">-CW$22*CV$3</f>
        <v>-5760</v>
      </c>
      <c r="CW22" s="112">
        <f ca="1">VLOOKUP(SUM(OFFSET(CV7, 0, -(MIN(12*4-1, COLUMN(CV7)-1)), 1, MIN(12*4, COLUMN(CV7)))), 'Tabela Simples'!$B$2:$C$7, 2, TRUE)</f>
        <v>0.1</v>
      </c>
      <c r="CX22" s="19"/>
      <c r="CY22" s="110" t="s">
        <v>206</v>
      </c>
      <c r="CZ22" s="111">
        <f t="shared" ref="CZ22" ca="1" si="881">-DA$22*CZ$3</f>
        <v>-5760</v>
      </c>
      <c r="DA22" s="112">
        <f ca="1">VLOOKUP(SUM(OFFSET(CZ7, 0, -(MIN(12*4-1, COLUMN(CZ7)-1)), 1, MIN(12*4, COLUMN(CZ7)))), 'Tabela Simples'!$B$2:$C$7, 2, TRUE)</f>
        <v>0.1</v>
      </c>
      <c r="DB22" s="19"/>
      <c r="DC22" s="110" t="s">
        <v>206</v>
      </c>
      <c r="DD22" s="111">
        <f t="shared" ref="DD22" ca="1" si="882">-DE$22*DD$3</f>
        <v>-5760</v>
      </c>
      <c r="DE22" s="112">
        <f ca="1">VLOOKUP(SUM(OFFSET(DD7, 0, -(MIN(12*4-1, COLUMN(DD7)-1)), 1, MIN(12*4, COLUMN(DD7)))), 'Tabela Simples'!$B$2:$C$7, 2, TRUE)</f>
        <v>0.1</v>
      </c>
      <c r="DF22" s="19"/>
      <c r="DG22" s="110" t="s">
        <v>206</v>
      </c>
      <c r="DH22" s="111">
        <f t="shared" ref="DH22" ca="1" si="883">-DI$22*DH$3</f>
        <v>-6720</v>
      </c>
      <c r="DI22" s="112">
        <f ca="1">VLOOKUP(SUM(OFFSET(DH7, 0, -(MIN(12*4-1, COLUMN(DH7)-1)), 1, MIN(12*4, COLUMN(DH7)))), 'Tabela Simples'!$B$2:$C$7, 2, TRUE)</f>
        <v>0.1</v>
      </c>
      <c r="DJ22" s="19"/>
      <c r="DK22" s="110" t="s">
        <v>206</v>
      </c>
      <c r="DL22" s="111">
        <f t="shared" ref="DL22" ca="1" si="884">-DM$22*DL$3</f>
        <v>-6720</v>
      </c>
      <c r="DM22" s="112">
        <f ca="1">VLOOKUP(SUM(OFFSET(DL7, 0, -(MIN(12*4-1, COLUMN(DL7)-1)), 1, MIN(12*4, COLUMN(DL7)))), 'Tabela Simples'!$B$2:$C$7, 2, TRUE)</f>
        <v>0.1</v>
      </c>
      <c r="DN22" s="19"/>
      <c r="DO22" s="110" t="s">
        <v>206</v>
      </c>
      <c r="DP22" s="111">
        <f t="shared" ref="DP22" ca="1" si="885">-DQ$22*DP$3</f>
        <v>-6720</v>
      </c>
      <c r="DQ22" s="112">
        <f ca="1">VLOOKUP(SUM(OFFSET(DP7, 0, -(MIN(12*4-1, COLUMN(DP7)-1)), 1, MIN(12*4, COLUMN(DP7)))), 'Tabela Simples'!$B$2:$C$7, 2, TRUE)</f>
        <v>0.1</v>
      </c>
      <c r="DR22" s="19"/>
      <c r="DS22" s="110" t="s">
        <v>206</v>
      </c>
      <c r="DT22" s="111">
        <f t="shared" ref="DT22" ca="1" si="886">-DU$22*DT$3</f>
        <v>-6720</v>
      </c>
      <c r="DU22" s="112">
        <f ca="1">VLOOKUP(SUM(OFFSET(DT7, 0, -(MIN(12*4-1, COLUMN(DT7)-1)), 1, MIN(12*4, COLUMN(DT7)))), 'Tabela Simples'!$B$2:$C$7, 2, TRUE)</f>
        <v>0.1</v>
      </c>
      <c r="DV22" s="19"/>
      <c r="DW22" s="110" t="s">
        <v>206</v>
      </c>
      <c r="DX22" s="111">
        <f t="shared" ref="DX22" ca="1" si="887">-DY$22*DX$3</f>
        <v>-7526.4000000000005</v>
      </c>
      <c r="DY22" s="112">
        <f ca="1">VLOOKUP(SUM(OFFSET(DX7, 0, -(MIN(12*4-1, COLUMN(DX7)-1)), 1, MIN(12*4, COLUMN(DX7)))), 'Tabela Simples'!$B$2:$C$7, 2, TRUE)</f>
        <v>0.112</v>
      </c>
      <c r="DZ22" s="19"/>
      <c r="EA22" s="110" t="s">
        <v>206</v>
      </c>
      <c r="EB22" s="111">
        <f t="shared" ref="EB22" ca="1" si="888">-EC$22*EB$3</f>
        <v>-7526.4000000000005</v>
      </c>
      <c r="EC22" s="112">
        <f ca="1">VLOOKUP(SUM(OFFSET(EB7, 0, -(MIN(12*4-1, COLUMN(EB7)-1)), 1, MIN(12*4, COLUMN(EB7)))), 'Tabela Simples'!$B$2:$C$7, 2, TRUE)</f>
        <v>0.112</v>
      </c>
      <c r="ED22" s="19"/>
      <c r="EE22" s="110" t="s">
        <v>206</v>
      </c>
      <c r="EF22" s="111">
        <f t="shared" ref="EF22" ca="1" si="889">-EG$22*EF$3</f>
        <v>-7526.4000000000005</v>
      </c>
      <c r="EG22" s="112">
        <f ca="1">VLOOKUP(SUM(OFFSET(EF7, 0, -(MIN(12*4-1, COLUMN(EF7)-1)), 1, MIN(12*4, COLUMN(EF7)))), 'Tabela Simples'!$B$2:$C$7, 2, TRUE)</f>
        <v>0.112</v>
      </c>
      <c r="EH22" s="19"/>
      <c r="EI22" s="110" t="s">
        <v>206</v>
      </c>
      <c r="EJ22" s="111">
        <f t="shared" ref="EJ22" ca="1" si="890">-EK$22*EJ$3</f>
        <v>-8601.6</v>
      </c>
      <c r="EK22" s="112">
        <f ca="1">VLOOKUP(SUM(OFFSET(EJ7, 0, -(MIN(12*4-1, COLUMN(EJ7)-1)), 1, MIN(12*4, COLUMN(EJ7)))), 'Tabela Simples'!$B$2:$C$7, 2, TRUE)</f>
        <v>0.112</v>
      </c>
      <c r="EL22" s="19"/>
      <c r="EM22" s="110" t="s">
        <v>206</v>
      </c>
      <c r="EN22" s="111">
        <f t="shared" ref="EN22" ca="1" si="891">-EO$22*EN$3</f>
        <v>-8601.6</v>
      </c>
      <c r="EO22" s="112">
        <f ca="1">VLOOKUP(SUM(OFFSET(EN7, 0, -(MIN(12*4-1, COLUMN(EN7)-1)), 1, MIN(12*4, COLUMN(EN7)))), 'Tabela Simples'!$B$2:$C$7, 2, TRUE)</f>
        <v>0.112</v>
      </c>
      <c r="EP22" s="19"/>
      <c r="EQ22" s="110" t="s">
        <v>206</v>
      </c>
      <c r="ER22" s="111">
        <f t="shared" ref="ER22" ca="1" si="892">-ES$22*ER$3</f>
        <v>-8601.6</v>
      </c>
      <c r="ES22" s="112">
        <f ca="1">VLOOKUP(SUM(OFFSET(ER7, 0, -(MIN(12*4-1, COLUMN(ER7)-1)), 1, MIN(12*4, COLUMN(ER7)))), 'Tabela Simples'!$B$2:$C$7, 2, TRUE)</f>
        <v>0.112</v>
      </c>
      <c r="ET22" s="19"/>
      <c r="EU22" s="110" t="s">
        <v>206</v>
      </c>
      <c r="EV22" s="111">
        <f t="shared" ref="EV22" ca="1" si="893">-EW$22*EV$3</f>
        <v>-8601.6</v>
      </c>
      <c r="EW22" s="112">
        <f ca="1">VLOOKUP(SUM(OFFSET(EV7, 0, -(MIN(12*4-1, COLUMN(EV7)-1)), 1, MIN(12*4, COLUMN(EV7)))), 'Tabela Simples'!$B$2:$C$7, 2, TRUE)</f>
        <v>0.112</v>
      </c>
      <c r="EX22" s="19"/>
      <c r="EY22" s="110" t="s">
        <v>206</v>
      </c>
      <c r="EZ22" s="111">
        <f t="shared" ref="EZ22" ca="1" si="894">-FA$22*EZ$3</f>
        <v>-8601.6</v>
      </c>
      <c r="FA22" s="112">
        <f ca="1">VLOOKUP(SUM(OFFSET(EZ7, 0, -(MIN(12*4-1, COLUMN(EZ7)-1)), 1, MIN(12*4, COLUMN(EZ7)))), 'Tabela Simples'!$B$2:$C$7, 2, TRUE)</f>
        <v>0.112</v>
      </c>
      <c r="FB22" s="19"/>
      <c r="FC22" s="110" t="s">
        <v>206</v>
      </c>
      <c r="FD22" s="111">
        <f t="shared" ref="FD22" ca="1" si="895">-FE$22*FD$3</f>
        <v>-8601.6</v>
      </c>
      <c r="FE22" s="112">
        <f ca="1">VLOOKUP(SUM(OFFSET(FD7, 0, -(MIN(12*4-1, COLUMN(FD7)-1)), 1, MIN(12*4, COLUMN(FD7)))), 'Tabela Simples'!$B$2:$C$7, 2, TRUE)</f>
        <v>0.112</v>
      </c>
      <c r="FF22" s="19"/>
      <c r="FG22" s="110" t="s">
        <v>206</v>
      </c>
      <c r="FH22" s="111">
        <f t="shared" ref="FH22" ca="1" si="896">-FI$22*FH$3</f>
        <v>-9676.8000000000011</v>
      </c>
      <c r="FI22" s="112">
        <f ca="1">VLOOKUP(SUM(OFFSET(FH7, 0, -(MIN(12*4-1, COLUMN(FH7)-1)), 1, MIN(12*4, COLUMN(FH7)))), 'Tabela Simples'!$B$2:$C$7, 2, TRUE)</f>
        <v>0.112</v>
      </c>
      <c r="FJ22" s="19"/>
      <c r="FK22" s="110" t="s">
        <v>206</v>
      </c>
      <c r="FL22" s="111">
        <f t="shared" ref="FL22" ca="1" si="897">-FM$22*FL$3</f>
        <v>-9676.8000000000011</v>
      </c>
      <c r="FM22" s="112">
        <f ca="1">VLOOKUP(SUM(OFFSET(FL7, 0, -(MIN(12*4-1, COLUMN(FL7)-1)), 1, MIN(12*4, COLUMN(FL7)))), 'Tabela Simples'!$B$2:$C$7, 2, TRUE)</f>
        <v>0.112</v>
      </c>
      <c r="FN22" s="19"/>
      <c r="FO22" s="110" t="s">
        <v>206</v>
      </c>
      <c r="FP22" s="111">
        <f t="shared" ref="FP22" ca="1" si="898">-FQ$22*FP$3</f>
        <v>-9676.8000000000011</v>
      </c>
      <c r="FQ22" s="112">
        <f ca="1">VLOOKUP(SUM(OFFSET(FP7, 0, -(MIN(12*4-1, COLUMN(FP7)-1)), 1, MIN(12*4, COLUMN(FP7)))), 'Tabela Simples'!$B$2:$C$7, 2, TRUE)</f>
        <v>0.112</v>
      </c>
      <c r="FR22" s="19"/>
      <c r="FS22" s="110" t="s">
        <v>206</v>
      </c>
      <c r="FT22" s="111">
        <f t="shared" ref="FT22" ca="1" si="899">-FU$22*FT$3</f>
        <v>-9676.8000000000011</v>
      </c>
      <c r="FU22" s="112">
        <f ca="1">VLOOKUP(SUM(OFFSET(FT7, 0, -(MIN(12*4-1, COLUMN(FT7)-1)), 1, MIN(12*4, COLUMN(FT7)))), 'Tabela Simples'!$B$2:$C$7, 2, TRUE)</f>
        <v>0.112</v>
      </c>
      <c r="FV22" s="19"/>
      <c r="FW22" s="110" t="s">
        <v>206</v>
      </c>
      <c r="FX22" s="111">
        <f t="shared" ref="FX22" ca="1" si="900">-FY$22*FX$3</f>
        <v>-9676.8000000000011</v>
      </c>
      <c r="FY22" s="112">
        <f ca="1">VLOOKUP(SUM(OFFSET(FX7, 0, -(MIN(12*4-1, COLUMN(FX7)-1)), 1, MIN(12*4, COLUMN(FX7)))), 'Tabela Simples'!$B$2:$C$7, 2, TRUE)</f>
        <v>0.112</v>
      </c>
      <c r="FZ22" s="19"/>
      <c r="GA22" s="110" t="s">
        <v>206</v>
      </c>
      <c r="GB22" s="111">
        <f t="shared" ref="GB22" ca="1" si="901">-GC$22*GB$3</f>
        <v>-9676.8000000000011</v>
      </c>
      <c r="GC22" s="112">
        <f ca="1">VLOOKUP(SUM(OFFSET(GB7, 0, -(MIN(12*4-1, COLUMN(GB7)-1)), 1, MIN(12*4, COLUMN(GB7)))), 'Tabela Simples'!$B$2:$C$7, 2, TRUE)</f>
        <v>0.112</v>
      </c>
      <c r="GD22" s="19"/>
      <c r="GE22" s="110" t="s">
        <v>206</v>
      </c>
      <c r="GF22" s="111">
        <f t="shared" ref="GF22" ca="1" si="902">-GG$22*GF$3</f>
        <v>-9676.8000000000011</v>
      </c>
      <c r="GG22" s="112">
        <f ca="1">VLOOKUP(SUM(OFFSET(GF7, 0, -(MIN(12*4-1, COLUMN(GF7)-1)), 1, MIN(12*4, COLUMN(GF7)))), 'Tabela Simples'!$B$2:$C$7, 2, TRUE)</f>
        <v>0.112</v>
      </c>
      <c r="GH22" s="19"/>
      <c r="GI22" s="110" t="s">
        <v>206</v>
      </c>
      <c r="GJ22" s="111">
        <f t="shared" ref="GJ22" ca="1" si="903">-GK$22*GJ$3</f>
        <v>-10752</v>
      </c>
      <c r="GK22" s="112">
        <f ca="1">VLOOKUP(SUM(OFFSET(GJ7, 0, -(MIN(12*4-1, COLUMN(GJ7)-1)), 1, MIN(12*4, COLUMN(GJ7)))), 'Tabela Simples'!$B$2:$C$7, 2, TRUE)</f>
        <v>0.112</v>
      </c>
      <c r="GL22" s="19"/>
      <c r="GM22" s="110" t="s">
        <v>206</v>
      </c>
      <c r="GN22" s="111">
        <f t="shared" ref="GN22" ca="1" si="904">-GO$22*GN$3</f>
        <v>-10752</v>
      </c>
      <c r="GO22" s="112">
        <f ca="1">VLOOKUP(SUM(OFFSET(GN7, 0, -(MIN(12*4-1, COLUMN(GN7)-1)), 1, MIN(12*4, COLUMN(GN7)))), 'Tabela Simples'!$B$2:$C$7, 2, TRUE)</f>
        <v>0.112</v>
      </c>
      <c r="GP22" s="19"/>
      <c r="GQ22" s="110" t="s">
        <v>206</v>
      </c>
      <c r="GR22" s="111">
        <f t="shared" ref="GR22" ca="1" si="905">-GS$22*GR$3</f>
        <v>-10752</v>
      </c>
      <c r="GS22" s="112">
        <f ca="1">VLOOKUP(SUM(OFFSET(GR7, 0, -(MIN(12*4-1, COLUMN(GR7)-1)), 1, MIN(12*4, COLUMN(GR7)))), 'Tabela Simples'!$B$2:$C$7, 2, TRUE)</f>
        <v>0.112</v>
      </c>
      <c r="GT22" s="19"/>
      <c r="GU22" s="110" t="s">
        <v>206</v>
      </c>
      <c r="GV22" s="111">
        <f t="shared" ref="GV22" ca="1" si="906">-GW$22*GV$3</f>
        <v>-10752</v>
      </c>
      <c r="GW22" s="112">
        <f ca="1">VLOOKUP(SUM(OFFSET(GV7, 0, -(MIN(12*4-1, COLUMN(GV7)-1)), 1, MIN(12*4, COLUMN(GV7)))), 'Tabela Simples'!$B$2:$C$7, 2, TRUE)</f>
        <v>0.112</v>
      </c>
      <c r="GX22" s="19"/>
      <c r="GY22" s="110" t="s">
        <v>206</v>
      </c>
      <c r="GZ22" s="111">
        <f t="shared" ref="GZ22" ca="1" si="907">-HA$22*GZ$3</f>
        <v>-10752</v>
      </c>
      <c r="HA22" s="112">
        <f ca="1">VLOOKUP(SUM(OFFSET(GZ7, 0, -(MIN(12*4-1, COLUMN(GZ7)-1)), 1, MIN(12*4, COLUMN(GZ7)))), 'Tabela Simples'!$B$2:$C$7, 2, TRUE)</f>
        <v>0.112</v>
      </c>
      <c r="HB22" s="19"/>
      <c r="HC22" s="110" t="s">
        <v>206</v>
      </c>
      <c r="HD22" s="111">
        <f t="shared" ref="HD22" ca="1" si="908">-HE$22*HD$3</f>
        <v>-10752</v>
      </c>
      <c r="HE22" s="112">
        <f ca="1">VLOOKUP(SUM(OFFSET(HD7, 0, -(MIN(12*4-1, COLUMN(HD7)-1)), 1, MIN(12*4, COLUMN(HD7)))), 'Tabela Simples'!$B$2:$C$7, 2, TRUE)</f>
        <v>0.112</v>
      </c>
      <c r="HF22" s="19"/>
      <c r="HG22" s="110" t="s">
        <v>206</v>
      </c>
      <c r="HH22" s="111">
        <f t="shared" ref="HH22" ca="1" si="909">-HI$22*HH$3</f>
        <v>-10752</v>
      </c>
      <c r="HI22" s="112">
        <f ca="1">VLOOKUP(SUM(OFFSET(HH7, 0, -(MIN(12*4-1, COLUMN(HH7)-1)), 1, MIN(12*4, COLUMN(HH7)))), 'Tabela Simples'!$B$2:$C$7, 2, TRUE)</f>
        <v>0.112</v>
      </c>
      <c r="HJ22" s="19"/>
      <c r="HK22" s="110" t="s">
        <v>206</v>
      </c>
      <c r="HL22" s="111">
        <f t="shared" ref="HL22" ca="1" si="910">-HM$22*HL$3</f>
        <v>-11827.2</v>
      </c>
      <c r="HM22" s="112">
        <f ca="1">VLOOKUP(SUM(OFFSET(HL7, 0, -(MIN(12*4-1, COLUMN(HL7)-1)), 1, MIN(12*4, COLUMN(HL7)))), 'Tabela Simples'!$B$2:$C$7, 2, TRUE)</f>
        <v>0.112</v>
      </c>
      <c r="HN22" s="19"/>
      <c r="HO22" s="110" t="s">
        <v>206</v>
      </c>
      <c r="HP22" s="111">
        <f t="shared" ref="HP22" ca="1" si="911">-HQ$22*HP$3</f>
        <v>-11827.2</v>
      </c>
      <c r="HQ22" s="112">
        <f ca="1">VLOOKUP(SUM(OFFSET(HP7, 0, -(MIN(12*4-1, COLUMN(HP7)-1)), 1, MIN(12*4, COLUMN(HP7)))), 'Tabela Simples'!$B$2:$C$7, 2, TRUE)</f>
        <v>0.112</v>
      </c>
      <c r="HR22" s="19"/>
      <c r="HS22" s="110" t="s">
        <v>206</v>
      </c>
      <c r="HT22" s="111">
        <f t="shared" ref="HT22" ca="1" si="912">-HU$22*HT$3</f>
        <v>-11827.2</v>
      </c>
      <c r="HU22" s="112">
        <f ca="1">VLOOKUP(SUM(OFFSET(HT7, 0, -(MIN(12*4-1, COLUMN(HT7)-1)), 1, MIN(12*4, COLUMN(HT7)))), 'Tabela Simples'!$B$2:$C$7, 2, TRUE)</f>
        <v>0.112</v>
      </c>
      <c r="HV22" s="19"/>
      <c r="HW22" s="110" t="s">
        <v>206</v>
      </c>
      <c r="HX22" s="111">
        <f t="shared" ref="HX22" ca="1" si="913">-HY$22*HX$3</f>
        <v>-11827.2</v>
      </c>
      <c r="HY22" s="112">
        <f ca="1">VLOOKUP(SUM(OFFSET(HX7, 0, -(MIN(12*4-1, COLUMN(HX7)-1)), 1, MIN(12*4, COLUMN(HX7)))), 'Tabela Simples'!$B$2:$C$7, 2, TRUE)</f>
        <v>0.112</v>
      </c>
      <c r="HZ22" s="19"/>
      <c r="IA22" s="110" t="s">
        <v>206</v>
      </c>
      <c r="IB22" s="111">
        <f t="shared" ref="IB22" ca="1" si="914">-IC$22*IB$3</f>
        <v>-11827.2</v>
      </c>
      <c r="IC22" s="112">
        <f ca="1">VLOOKUP(SUM(OFFSET(IB7, 0, -(MIN(12*4-1, COLUMN(IB7)-1)), 1, MIN(12*4, COLUMN(IB7)))), 'Tabela Simples'!$B$2:$C$7, 2, TRUE)</f>
        <v>0.112</v>
      </c>
      <c r="ID22" s="19"/>
      <c r="IE22" s="110" t="s">
        <v>206</v>
      </c>
      <c r="IF22" s="111">
        <f t="shared" ref="IF22" ca="1" si="915">-IG$22*IF$3</f>
        <v>-11827.2</v>
      </c>
      <c r="IG22" s="112">
        <f ca="1">VLOOKUP(SUM(OFFSET(IF7, 0, -(MIN(12*4-1, COLUMN(IF7)-1)), 1, MIN(12*4, COLUMN(IF7)))), 'Tabela Simples'!$B$2:$C$7, 2, TRUE)</f>
        <v>0.112</v>
      </c>
      <c r="IH22" s="19"/>
      <c r="II22" s="110" t="s">
        <v>206</v>
      </c>
      <c r="IJ22" s="111">
        <f t="shared" ref="IJ22" ca="1" si="916">-IK$22*IJ$3</f>
        <v>-12902.4</v>
      </c>
      <c r="IK22" s="112">
        <f ca="1">VLOOKUP(SUM(OFFSET(IJ7, 0, -(MIN(12*4-1, COLUMN(IJ7)-1)), 1, MIN(12*4, COLUMN(IJ7)))), 'Tabela Simples'!$B$2:$C$7, 2, TRUE)</f>
        <v>0.112</v>
      </c>
      <c r="IL22" s="19"/>
      <c r="IM22" s="110" t="s">
        <v>206</v>
      </c>
      <c r="IN22" s="111">
        <f t="shared" ref="IN22" ca="1" si="917">-IO$22*IN$3</f>
        <v>-12902.4</v>
      </c>
      <c r="IO22" s="112">
        <f ca="1">VLOOKUP(SUM(OFFSET(IN7, 0, -(MIN(12*4-1, COLUMN(IN7)-1)), 1, MIN(12*4, COLUMN(IN7)))), 'Tabela Simples'!$B$2:$C$7, 2, TRUE)</f>
        <v>0.112</v>
      </c>
      <c r="IP22" s="19"/>
      <c r="IQ22" s="110" t="s">
        <v>206</v>
      </c>
      <c r="IR22" s="111">
        <f t="shared" ref="IR22" ca="1" si="918">-IS$22*IR$3</f>
        <v>-12902.4</v>
      </c>
      <c r="IS22" s="112">
        <f ca="1">VLOOKUP(SUM(OFFSET(IR7, 0, -(MIN(12*4-1, COLUMN(IR7)-1)), 1, MIN(12*4, COLUMN(IR7)))), 'Tabela Simples'!$B$2:$C$7, 2, TRUE)</f>
        <v>0.112</v>
      </c>
      <c r="IT22" s="19"/>
      <c r="IU22" s="110" t="s">
        <v>206</v>
      </c>
      <c r="IV22" s="111">
        <f t="shared" ref="IV22" ca="1" si="919">-IW$22*IV$3</f>
        <v>-12902.4</v>
      </c>
      <c r="IW22" s="112">
        <f ca="1">VLOOKUP(SUM(OFFSET(IV7, 0, -(MIN(12*4-1, COLUMN(IV7)-1)), 1, MIN(12*4, COLUMN(IV7)))), 'Tabela Simples'!$B$2:$C$7, 2, TRUE)</f>
        <v>0.112</v>
      </c>
      <c r="IX22" s="19"/>
      <c r="IY22" s="110" t="s">
        <v>206</v>
      </c>
      <c r="IZ22" s="111">
        <f t="shared" ref="IZ22" ca="1" si="920">-JA$22*IZ$3</f>
        <v>-12902.4</v>
      </c>
      <c r="JA22" s="112">
        <f ca="1">VLOOKUP(SUM(OFFSET(IZ7, 0, -(MIN(12*4-1, COLUMN(IZ7)-1)), 1, MIN(12*4, COLUMN(IZ7)))), 'Tabela Simples'!$B$2:$C$7, 2, TRUE)</f>
        <v>0.112</v>
      </c>
      <c r="JB22" s="19"/>
      <c r="JC22" s="110" t="s">
        <v>206</v>
      </c>
      <c r="JD22" s="111">
        <f t="shared" ref="JD22" ca="1" si="921">-JE$22*JD$3</f>
        <v>-12902.4</v>
      </c>
      <c r="JE22" s="112">
        <f ca="1">VLOOKUP(SUM(OFFSET(JD7, 0, -(MIN(12*4-1, COLUMN(JD7)-1)), 1, MIN(12*4, COLUMN(JD7)))), 'Tabela Simples'!$B$2:$C$7, 2, TRUE)</f>
        <v>0.112</v>
      </c>
      <c r="JF22" s="19"/>
      <c r="JG22" s="110" t="s">
        <v>206</v>
      </c>
      <c r="JH22" s="111">
        <f t="shared" ref="JH22" ca="1" si="922">-JI$22*JH$3</f>
        <v>-12902.4</v>
      </c>
      <c r="JI22" s="112">
        <f ca="1">VLOOKUP(SUM(OFFSET(JH7, 0, -(MIN(12*4-1, COLUMN(JH7)-1)), 1, MIN(12*4, COLUMN(JH7)))), 'Tabela Simples'!$B$2:$C$7, 2, TRUE)</f>
        <v>0.112</v>
      </c>
      <c r="JJ22" s="19"/>
      <c r="JK22" s="110" t="s">
        <v>206</v>
      </c>
      <c r="JL22" s="111">
        <f t="shared" ref="JL22" ca="1" si="923">-JM$22*JL$3</f>
        <v>-13977.6</v>
      </c>
      <c r="JM22" s="112">
        <f ca="1">VLOOKUP(SUM(OFFSET(JL7, 0, -(MIN(12*4-1, COLUMN(JL7)-1)), 1, MIN(12*4, COLUMN(JL7)))), 'Tabela Simples'!$B$2:$C$7, 2, TRUE)</f>
        <v>0.112</v>
      </c>
      <c r="JN22" s="19"/>
      <c r="JO22" s="110" t="s">
        <v>206</v>
      </c>
      <c r="JP22" s="111">
        <f t="shared" ref="JP22" ca="1" si="924">-JQ$22*JP$3</f>
        <v>-13977.6</v>
      </c>
      <c r="JQ22" s="112">
        <f ca="1">VLOOKUP(SUM(OFFSET(JP7, 0, -(MIN(12*4-1, COLUMN(JP7)-1)), 1, MIN(12*4, COLUMN(JP7)))), 'Tabela Simples'!$B$2:$C$7, 2, TRUE)</f>
        <v>0.112</v>
      </c>
      <c r="JR22" s="19"/>
      <c r="JS22" s="110" t="s">
        <v>206</v>
      </c>
      <c r="JT22" s="111">
        <f t="shared" ref="JT22" ca="1" si="925">-JU$22*JT$3</f>
        <v>-13977.6</v>
      </c>
      <c r="JU22" s="112">
        <f ca="1">VLOOKUP(SUM(OFFSET(JT7, 0, -(MIN(12*4-1, COLUMN(JT7)-1)), 1, MIN(12*4, COLUMN(JT7)))), 'Tabela Simples'!$B$2:$C$7, 2, TRUE)</f>
        <v>0.112</v>
      </c>
      <c r="JV22" s="19"/>
      <c r="JW22" s="110" t="s">
        <v>206</v>
      </c>
      <c r="JX22" s="111">
        <f t="shared" ref="JX22" ca="1" si="926">-JY$22*JX$3</f>
        <v>-13977.6</v>
      </c>
      <c r="JY22" s="112">
        <f ca="1">VLOOKUP(SUM(OFFSET(JX7, 0, -(MIN(12*4-1, COLUMN(JX7)-1)), 1, MIN(12*4, COLUMN(JX7)))), 'Tabela Simples'!$B$2:$C$7, 2, TRUE)</f>
        <v>0.112</v>
      </c>
      <c r="JZ22" s="19"/>
      <c r="KA22" s="110" t="s">
        <v>206</v>
      </c>
      <c r="KB22" s="111">
        <f t="shared" ref="KB22" ca="1" si="927">-KC$22*KB$3</f>
        <v>-13977.6</v>
      </c>
      <c r="KC22" s="112">
        <f ca="1">VLOOKUP(SUM(OFFSET(KB7, 0, -(MIN(12*4-1, COLUMN(KB7)-1)), 1, MIN(12*4, COLUMN(KB7)))), 'Tabela Simples'!$B$2:$C$7, 2, TRUE)</f>
        <v>0.112</v>
      </c>
      <c r="KD22" s="19"/>
      <c r="KE22" s="110" t="s">
        <v>206</v>
      </c>
      <c r="KF22" s="111">
        <f t="shared" ref="KF22" ca="1" si="928">-KG$22*KF$3</f>
        <v>-13977.6</v>
      </c>
      <c r="KG22" s="112">
        <f ca="1">VLOOKUP(SUM(OFFSET(KF7, 0, -(MIN(12*4-1, COLUMN(KF7)-1)), 1, MIN(12*4, COLUMN(KF7)))), 'Tabela Simples'!$B$2:$C$7, 2, TRUE)</f>
        <v>0.112</v>
      </c>
      <c r="KH22" s="19"/>
    </row>
    <row r="23" spans="1:294" x14ac:dyDescent="0.25">
      <c r="A23" s="101"/>
      <c r="C23" s="110" t="s">
        <v>210</v>
      </c>
      <c r="D23" s="111">
        <f>-E$23*(D$4*60)/0.25</f>
        <v>-2880</v>
      </c>
      <c r="E23" s="113">
        <v>4</v>
      </c>
      <c r="G23" s="110" t="s">
        <v>210</v>
      </c>
      <c r="H23" s="111">
        <f>-I$23*(H$4*60)/0.25</f>
        <v>-2880</v>
      </c>
      <c r="I23" s="113">
        <v>4</v>
      </c>
      <c r="K23" s="110" t="s">
        <v>210</v>
      </c>
      <c r="L23" s="111">
        <f t="shared" ref="L23" si="929">-M$23*(L$4*60)/0.25</f>
        <v>-2880</v>
      </c>
      <c r="M23" s="113">
        <v>4</v>
      </c>
      <c r="N23" s="44"/>
      <c r="O23" s="110" t="s">
        <v>210</v>
      </c>
      <c r="P23" s="111">
        <f t="shared" ref="P23" si="930">-Q$23*(P$4*60)/0.25</f>
        <v>-2880</v>
      </c>
      <c r="Q23" s="113">
        <v>4</v>
      </c>
      <c r="R23" s="44"/>
      <c r="S23" s="110" t="s">
        <v>210</v>
      </c>
      <c r="T23" s="111">
        <f t="shared" ref="T23" si="931">-U$23*(T$4*60)/0.25</f>
        <v>-2880</v>
      </c>
      <c r="U23" s="113">
        <v>4</v>
      </c>
      <c r="V23" s="44"/>
      <c r="W23" s="110" t="s">
        <v>210</v>
      </c>
      <c r="X23" s="111">
        <f t="shared" ref="X23" si="932">-Y$23*(X$4*60)/0.25</f>
        <v>-2880</v>
      </c>
      <c r="Y23" s="113">
        <v>4</v>
      </c>
      <c r="Z23" s="44"/>
      <c r="AA23" s="110" t="s">
        <v>210</v>
      </c>
      <c r="AB23" s="111">
        <f t="shared" ref="AB23" si="933">-AC$23*(AB$4*60)/0.25</f>
        <v>-2880</v>
      </c>
      <c r="AC23" s="113">
        <v>4</v>
      </c>
      <c r="AD23" s="44"/>
      <c r="AE23" s="110" t="s">
        <v>210</v>
      </c>
      <c r="AF23" s="111">
        <f t="shared" ref="AF23" si="934">-AG$23*(AF$4*60)/0.25</f>
        <v>-3840</v>
      </c>
      <c r="AG23" s="113">
        <v>4</v>
      </c>
      <c r="AH23" s="44"/>
      <c r="AI23" s="110" t="s">
        <v>210</v>
      </c>
      <c r="AJ23" s="111">
        <f t="shared" ref="AJ23" si="935">-AK$23*(AJ$4*60)/0.25</f>
        <v>-3840</v>
      </c>
      <c r="AK23" s="113">
        <v>4</v>
      </c>
      <c r="AL23" s="44"/>
      <c r="AM23" s="110" t="s">
        <v>210</v>
      </c>
      <c r="AN23" s="111">
        <f t="shared" ref="AN23" si="936">-AO$23*(AN$4*60)/0.25</f>
        <v>-3840</v>
      </c>
      <c r="AO23" s="113">
        <v>4</v>
      </c>
      <c r="AP23" s="44"/>
      <c r="AQ23" s="110" t="s">
        <v>210</v>
      </c>
      <c r="AR23" s="111">
        <f t="shared" ref="AR23" si="937">-AS$23*(AR$4*60)/0.25</f>
        <v>-3840</v>
      </c>
      <c r="AS23" s="113">
        <v>4</v>
      </c>
      <c r="AT23" s="44"/>
      <c r="AU23" s="110" t="s">
        <v>210</v>
      </c>
      <c r="AV23" s="111">
        <f t="shared" ref="AV23" si="938">-AW$23*(AV$4*60)/0.25</f>
        <v>-3840</v>
      </c>
      <c r="AW23" s="113">
        <v>4</v>
      </c>
      <c r="AX23" s="44"/>
      <c r="AY23" s="110" t="s">
        <v>210</v>
      </c>
      <c r="AZ23" s="111">
        <f t="shared" ref="AZ23" si="939">-BA$23*(AZ$4*60)/0.25</f>
        <v>-3840</v>
      </c>
      <c r="BA23" s="113">
        <v>4</v>
      </c>
      <c r="BB23" s="44"/>
      <c r="BC23" s="110" t="s">
        <v>210</v>
      </c>
      <c r="BD23" s="111">
        <f t="shared" ref="BD23" si="940">-BE$23*(BD$4*60)/0.25</f>
        <v>-3840</v>
      </c>
      <c r="BE23" s="113">
        <v>4</v>
      </c>
      <c r="BF23" s="44"/>
      <c r="BG23" s="110" t="s">
        <v>210</v>
      </c>
      <c r="BH23" s="111">
        <f t="shared" ref="BH23" si="941">-BI$23*(BH$4*60)/0.25</f>
        <v>-4800</v>
      </c>
      <c r="BI23" s="113">
        <v>4</v>
      </c>
      <c r="BJ23" s="44"/>
      <c r="BK23" s="110" t="s">
        <v>210</v>
      </c>
      <c r="BL23" s="111">
        <f t="shared" ref="BL23" si="942">-BM$23*(BL$4*60)/0.25</f>
        <v>-4800</v>
      </c>
      <c r="BM23" s="113">
        <v>4</v>
      </c>
      <c r="BN23" s="44"/>
      <c r="BO23" s="110" t="s">
        <v>210</v>
      </c>
      <c r="BP23" s="111">
        <f t="shared" ref="BP23" si="943">-BQ$23*(BP$4*60)/0.25</f>
        <v>-4800</v>
      </c>
      <c r="BQ23" s="113">
        <v>4</v>
      </c>
      <c r="BR23" s="44"/>
      <c r="BS23" s="110" t="s">
        <v>210</v>
      </c>
      <c r="BT23" s="111">
        <f t="shared" ref="BT23" si="944">-BU$23*(BT$4*60)/0.25</f>
        <v>-4800</v>
      </c>
      <c r="BU23" s="113">
        <v>4</v>
      </c>
      <c r="BV23" s="44"/>
      <c r="BW23" s="110" t="s">
        <v>210</v>
      </c>
      <c r="BX23" s="111">
        <f t="shared" ref="BX23" si="945">-BY$23*(BX$4*60)/0.25</f>
        <v>-4800</v>
      </c>
      <c r="BY23" s="113">
        <v>4</v>
      </c>
      <c r="BZ23" s="44"/>
      <c r="CA23" s="110" t="s">
        <v>210</v>
      </c>
      <c r="CB23" s="111">
        <f t="shared" ref="CB23" si="946">-CC$23*(CB$4*60)/0.25</f>
        <v>-4800</v>
      </c>
      <c r="CC23" s="113">
        <v>4</v>
      </c>
      <c r="CD23" s="44"/>
      <c r="CE23" s="110" t="s">
        <v>210</v>
      </c>
      <c r="CF23" s="111">
        <f t="shared" ref="CF23" si="947">-CG$23*(CF$4*60)/0.25</f>
        <v>-5760</v>
      </c>
      <c r="CG23" s="113">
        <v>4</v>
      </c>
      <c r="CH23" s="44"/>
      <c r="CI23" s="110" t="s">
        <v>210</v>
      </c>
      <c r="CJ23" s="111">
        <f t="shared" ref="CJ23" si="948">-CK$23*(CJ$4*60)/0.25</f>
        <v>-5760</v>
      </c>
      <c r="CK23" s="113">
        <v>4</v>
      </c>
      <c r="CL23" s="44"/>
      <c r="CM23" s="110" t="s">
        <v>210</v>
      </c>
      <c r="CN23" s="111">
        <f t="shared" ref="CN23" si="949">-CO$23*(CN$4*60)/0.25</f>
        <v>-5760</v>
      </c>
      <c r="CO23" s="113">
        <v>4</v>
      </c>
      <c r="CP23" s="44"/>
      <c r="CQ23" s="110" t="s">
        <v>210</v>
      </c>
      <c r="CR23" s="111">
        <f t="shared" ref="CR23" si="950">-CS$23*(CR$4*60)/0.25</f>
        <v>-5760</v>
      </c>
      <c r="CS23" s="113">
        <v>4</v>
      </c>
      <c r="CT23" s="44"/>
      <c r="CU23" s="110" t="s">
        <v>210</v>
      </c>
      <c r="CV23" s="111">
        <f t="shared" ref="CV23" si="951">-CW$23*(CV$4*60)/0.25</f>
        <v>-5760</v>
      </c>
      <c r="CW23" s="113">
        <v>4</v>
      </c>
      <c r="CX23" s="44"/>
      <c r="CY23" s="110" t="s">
        <v>210</v>
      </c>
      <c r="CZ23" s="111">
        <f t="shared" ref="CZ23" si="952">-DA$23*(CZ$4*60)/0.25</f>
        <v>-5760</v>
      </c>
      <c r="DA23" s="113">
        <v>4</v>
      </c>
      <c r="DB23" s="44"/>
      <c r="DC23" s="110" t="s">
        <v>210</v>
      </c>
      <c r="DD23" s="111">
        <f t="shared" ref="DD23" si="953">-DE$23*(DD$4*60)/0.25</f>
        <v>-5760</v>
      </c>
      <c r="DE23" s="113">
        <v>4</v>
      </c>
      <c r="DF23" s="44"/>
      <c r="DG23" s="110" t="s">
        <v>210</v>
      </c>
      <c r="DH23" s="111">
        <f t="shared" ref="DH23" si="954">-DI$23*(DH$4*60)/0.25</f>
        <v>-6720</v>
      </c>
      <c r="DI23" s="113">
        <v>4</v>
      </c>
      <c r="DJ23" s="44"/>
      <c r="DK23" s="110" t="s">
        <v>210</v>
      </c>
      <c r="DL23" s="111">
        <f t="shared" ref="DL23" si="955">-DM$23*(DL$4*60)/0.25</f>
        <v>-6720</v>
      </c>
      <c r="DM23" s="113">
        <v>4</v>
      </c>
      <c r="DN23" s="44"/>
      <c r="DO23" s="110" t="s">
        <v>210</v>
      </c>
      <c r="DP23" s="111">
        <f t="shared" ref="DP23" si="956">-DQ$23*(DP$4*60)/0.25</f>
        <v>-6720</v>
      </c>
      <c r="DQ23" s="113">
        <v>4</v>
      </c>
      <c r="DR23" s="44"/>
      <c r="DS23" s="110" t="s">
        <v>210</v>
      </c>
      <c r="DT23" s="111">
        <f t="shared" ref="DT23" si="957">-DU$23*(DT$4*60)/0.25</f>
        <v>-6720</v>
      </c>
      <c r="DU23" s="113">
        <v>4</v>
      </c>
      <c r="DV23" s="44"/>
      <c r="DW23" s="110" t="s">
        <v>210</v>
      </c>
      <c r="DX23" s="111">
        <f t="shared" ref="DX23" si="958">-DY$23*(DX$4*60)/0.25</f>
        <v>-6720</v>
      </c>
      <c r="DY23" s="113">
        <v>4</v>
      </c>
      <c r="DZ23" s="44"/>
      <c r="EA23" s="110" t="s">
        <v>210</v>
      </c>
      <c r="EB23" s="111">
        <f t="shared" ref="EB23" si="959">-EC$23*(EB$4*60)/0.25</f>
        <v>-6720</v>
      </c>
      <c r="EC23" s="113">
        <v>4</v>
      </c>
      <c r="ED23" s="44"/>
      <c r="EE23" s="110" t="s">
        <v>210</v>
      </c>
      <c r="EF23" s="111">
        <f t="shared" ref="EF23" si="960">-EG$23*(EF$4*60)/0.25</f>
        <v>-6720</v>
      </c>
      <c r="EG23" s="113">
        <v>4</v>
      </c>
      <c r="EH23" s="44"/>
      <c r="EI23" s="110" t="s">
        <v>210</v>
      </c>
      <c r="EJ23" s="111">
        <f t="shared" ref="EJ23" si="961">-EK$23*(EJ$4*60)/0.25</f>
        <v>-7680</v>
      </c>
      <c r="EK23" s="113">
        <v>4</v>
      </c>
      <c r="EL23" s="44"/>
      <c r="EM23" s="110" t="s">
        <v>210</v>
      </c>
      <c r="EN23" s="111">
        <f t="shared" ref="EN23" si="962">-EO$23*(EN$4*60)/0.25</f>
        <v>-7680</v>
      </c>
      <c r="EO23" s="113">
        <v>4</v>
      </c>
      <c r="EP23" s="44"/>
      <c r="EQ23" s="110" t="s">
        <v>210</v>
      </c>
      <c r="ER23" s="111">
        <f t="shared" ref="ER23" si="963">-ES$23*(ER$4*60)/0.25</f>
        <v>-7680</v>
      </c>
      <c r="ES23" s="113">
        <v>4</v>
      </c>
      <c r="ET23" s="44"/>
      <c r="EU23" s="110" t="s">
        <v>210</v>
      </c>
      <c r="EV23" s="111">
        <f t="shared" ref="EV23" si="964">-EW$23*(EV$4*60)/0.25</f>
        <v>-7680</v>
      </c>
      <c r="EW23" s="113">
        <v>4</v>
      </c>
      <c r="EX23" s="44"/>
      <c r="EY23" s="110" t="s">
        <v>210</v>
      </c>
      <c r="EZ23" s="111">
        <f t="shared" ref="EZ23" si="965">-FA$23*(EZ$4*60)/0.25</f>
        <v>-7680</v>
      </c>
      <c r="FA23" s="113">
        <v>4</v>
      </c>
      <c r="FB23" s="44"/>
      <c r="FC23" s="110" t="s">
        <v>210</v>
      </c>
      <c r="FD23" s="111">
        <f t="shared" ref="FD23" si="966">-FE$23*(FD$4*60)/0.25</f>
        <v>-7680</v>
      </c>
      <c r="FE23" s="113">
        <v>4</v>
      </c>
      <c r="FF23" s="44"/>
      <c r="FG23" s="110" t="s">
        <v>210</v>
      </c>
      <c r="FH23" s="111">
        <f t="shared" ref="FH23" si="967">-FI$23*(FH$4*60)/0.25</f>
        <v>-8640</v>
      </c>
      <c r="FI23" s="113">
        <v>4</v>
      </c>
      <c r="FJ23" s="44"/>
      <c r="FK23" s="110" t="s">
        <v>210</v>
      </c>
      <c r="FL23" s="111">
        <f t="shared" ref="FL23" si="968">-FM$23*(FL$4*60)/0.25</f>
        <v>-8640</v>
      </c>
      <c r="FM23" s="113">
        <v>4</v>
      </c>
      <c r="FN23" s="44"/>
      <c r="FO23" s="110" t="s">
        <v>210</v>
      </c>
      <c r="FP23" s="111">
        <f t="shared" ref="FP23" si="969">-FQ$23*(FP$4*60)/0.25</f>
        <v>-8640</v>
      </c>
      <c r="FQ23" s="113">
        <v>4</v>
      </c>
      <c r="FR23" s="44"/>
      <c r="FS23" s="110" t="s">
        <v>210</v>
      </c>
      <c r="FT23" s="111">
        <f t="shared" ref="FT23" si="970">-FU$23*(FT$4*60)/0.25</f>
        <v>-8640</v>
      </c>
      <c r="FU23" s="113">
        <v>4</v>
      </c>
      <c r="FV23" s="44"/>
      <c r="FW23" s="110" t="s">
        <v>210</v>
      </c>
      <c r="FX23" s="111">
        <f t="shared" ref="FX23" si="971">-FY$23*(FX$4*60)/0.25</f>
        <v>-8640</v>
      </c>
      <c r="FY23" s="113">
        <v>4</v>
      </c>
      <c r="FZ23" s="44"/>
      <c r="GA23" s="110" t="s">
        <v>210</v>
      </c>
      <c r="GB23" s="111">
        <f t="shared" ref="GB23" si="972">-GC$23*(GB$4*60)/0.25</f>
        <v>-8640</v>
      </c>
      <c r="GC23" s="113">
        <v>4</v>
      </c>
      <c r="GD23" s="44"/>
      <c r="GE23" s="110" t="s">
        <v>210</v>
      </c>
      <c r="GF23" s="111">
        <f t="shared" ref="GF23" si="973">-GG$23*(GF$4*60)/0.25</f>
        <v>-8640</v>
      </c>
      <c r="GG23" s="113">
        <v>4</v>
      </c>
      <c r="GH23" s="44"/>
      <c r="GI23" s="110" t="s">
        <v>210</v>
      </c>
      <c r="GJ23" s="111">
        <f t="shared" ref="GJ23" si="974">-GK$23*(GJ$4*60)/0.25</f>
        <v>-9600</v>
      </c>
      <c r="GK23" s="113">
        <v>4</v>
      </c>
      <c r="GL23" s="44"/>
      <c r="GM23" s="110" t="s">
        <v>210</v>
      </c>
      <c r="GN23" s="111">
        <f t="shared" ref="GN23" si="975">-GO$23*(GN$4*60)/0.25</f>
        <v>-9600</v>
      </c>
      <c r="GO23" s="113">
        <v>4</v>
      </c>
      <c r="GP23" s="44"/>
      <c r="GQ23" s="110" t="s">
        <v>210</v>
      </c>
      <c r="GR23" s="111">
        <f t="shared" ref="GR23" si="976">-GS$23*(GR$4*60)/0.25</f>
        <v>-9600</v>
      </c>
      <c r="GS23" s="113">
        <v>4</v>
      </c>
      <c r="GT23" s="44"/>
      <c r="GU23" s="110" t="s">
        <v>210</v>
      </c>
      <c r="GV23" s="111">
        <f t="shared" ref="GV23" si="977">-GW$23*(GV$4*60)/0.25</f>
        <v>-9600</v>
      </c>
      <c r="GW23" s="113">
        <v>4</v>
      </c>
      <c r="GX23" s="44"/>
      <c r="GY23" s="110" t="s">
        <v>210</v>
      </c>
      <c r="GZ23" s="111">
        <f t="shared" ref="GZ23" si="978">-HA$23*(GZ$4*60)/0.25</f>
        <v>-9600</v>
      </c>
      <c r="HA23" s="113">
        <v>4</v>
      </c>
      <c r="HB23" s="44"/>
      <c r="HC23" s="110" t="s">
        <v>210</v>
      </c>
      <c r="HD23" s="111">
        <f t="shared" ref="HD23" si="979">-HE$23*(HD$4*60)/0.25</f>
        <v>-9600</v>
      </c>
      <c r="HE23" s="113">
        <v>4</v>
      </c>
      <c r="HF23" s="44"/>
      <c r="HG23" s="110" t="s">
        <v>210</v>
      </c>
      <c r="HH23" s="111">
        <f t="shared" ref="HH23" si="980">-HI$23*(HH$4*60)/0.25</f>
        <v>-9600</v>
      </c>
      <c r="HI23" s="113">
        <v>4</v>
      </c>
      <c r="HJ23" s="44"/>
      <c r="HK23" s="110" t="s">
        <v>210</v>
      </c>
      <c r="HL23" s="111">
        <f t="shared" ref="HL23" si="981">-HM$23*(HL$4*60)/0.25</f>
        <v>-10560</v>
      </c>
      <c r="HM23" s="113">
        <v>4</v>
      </c>
      <c r="HN23" s="44"/>
      <c r="HO23" s="110" t="s">
        <v>210</v>
      </c>
      <c r="HP23" s="111">
        <f t="shared" ref="HP23" si="982">-HQ$23*(HP$4*60)/0.25</f>
        <v>-10560</v>
      </c>
      <c r="HQ23" s="113">
        <v>4</v>
      </c>
      <c r="HR23" s="44"/>
      <c r="HS23" s="110" t="s">
        <v>210</v>
      </c>
      <c r="HT23" s="111">
        <f t="shared" ref="HT23" si="983">-HU$23*(HT$4*60)/0.25</f>
        <v>-10560</v>
      </c>
      <c r="HU23" s="113">
        <v>4</v>
      </c>
      <c r="HV23" s="44"/>
      <c r="HW23" s="110" t="s">
        <v>210</v>
      </c>
      <c r="HX23" s="111">
        <f t="shared" ref="HX23" si="984">-HY$23*(HX$4*60)/0.25</f>
        <v>-10560</v>
      </c>
      <c r="HY23" s="113">
        <v>4</v>
      </c>
      <c r="HZ23" s="44"/>
      <c r="IA23" s="110" t="s">
        <v>210</v>
      </c>
      <c r="IB23" s="111">
        <f t="shared" ref="IB23" si="985">-IC$23*(IB$4*60)/0.25</f>
        <v>-10560</v>
      </c>
      <c r="IC23" s="113">
        <v>4</v>
      </c>
      <c r="ID23" s="44"/>
      <c r="IE23" s="110" t="s">
        <v>210</v>
      </c>
      <c r="IF23" s="111">
        <f t="shared" ref="IF23" si="986">-IG$23*(IF$4*60)/0.25</f>
        <v>-10560</v>
      </c>
      <c r="IG23" s="113">
        <v>4</v>
      </c>
      <c r="IH23" s="44"/>
      <c r="II23" s="110" t="s">
        <v>210</v>
      </c>
      <c r="IJ23" s="111">
        <f t="shared" ref="IJ23" si="987">-IK$23*(IJ$4*60)/0.25</f>
        <v>-11520</v>
      </c>
      <c r="IK23" s="113">
        <v>4</v>
      </c>
      <c r="IL23" s="44"/>
      <c r="IM23" s="110" t="s">
        <v>210</v>
      </c>
      <c r="IN23" s="111">
        <f t="shared" ref="IN23" si="988">-IO$23*(IN$4*60)/0.25</f>
        <v>-11520</v>
      </c>
      <c r="IO23" s="113">
        <v>4</v>
      </c>
      <c r="IP23" s="44"/>
      <c r="IQ23" s="110" t="s">
        <v>210</v>
      </c>
      <c r="IR23" s="111">
        <f t="shared" ref="IR23" si="989">-IS$23*(IR$4*60)/0.25</f>
        <v>-11520</v>
      </c>
      <c r="IS23" s="113">
        <v>4</v>
      </c>
      <c r="IT23" s="44"/>
      <c r="IU23" s="110" t="s">
        <v>210</v>
      </c>
      <c r="IV23" s="111">
        <f t="shared" ref="IV23" si="990">-IW$23*(IV$4*60)/0.25</f>
        <v>-11520</v>
      </c>
      <c r="IW23" s="113">
        <v>4</v>
      </c>
      <c r="IX23" s="44"/>
      <c r="IY23" s="110" t="s">
        <v>210</v>
      </c>
      <c r="IZ23" s="111">
        <f t="shared" ref="IZ23" si="991">-JA$23*(IZ$4*60)/0.25</f>
        <v>-11520</v>
      </c>
      <c r="JA23" s="113">
        <v>4</v>
      </c>
      <c r="JB23" s="44"/>
      <c r="JC23" s="110" t="s">
        <v>210</v>
      </c>
      <c r="JD23" s="111">
        <f t="shared" ref="JD23" si="992">-JE$23*(JD$4*60)/0.25</f>
        <v>-11520</v>
      </c>
      <c r="JE23" s="113">
        <v>4</v>
      </c>
      <c r="JF23" s="44"/>
      <c r="JG23" s="110" t="s">
        <v>210</v>
      </c>
      <c r="JH23" s="111">
        <f t="shared" ref="JH23" si="993">-JI$23*(JH$4*60)/0.25</f>
        <v>-11520</v>
      </c>
      <c r="JI23" s="113">
        <v>4</v>
      </c>
      <c r="JJ23" s="44"/>
      <c r="JK23" s="110" t="s">
        <v>210</v>
      </c>
      <c r="JL23" s="111">
        <f t="shared" ref="JL23" si="994">-JM$23*(JL$4*60)/0.25</f>
        <v>-12480</v>
      </c>
      <c r="JM23" s="113">
        <v>4</v>
      </c>
      <c r="JN23" s="44"/>
      <c r="JO23" s="110" t="s">
        <v>210</v>
      </c>
      <c r="JP23" s="111">
        <f t="shared" ref="JP23" si="995">-JQ$23*(JP$4*60)/0.25</f>
        <v>-12480</v>
      </c>
      <c r="JQ23" s="113">
        <v>4</v>
      </c>
      <c r="JR23" s="44"/>
      <c r="JS23" s="110" t="s">
        <v>210</v>
      </c>
      <c r="JT23" s="111">
        <f t="shared" ref="JT23" si="996">-JU$23*(JT$4*60)/0.25</f>
        <v>-12480</v>
      </c>
      <c r="JU23" s="113">
        <v>4</v>
      </c>
      <c r="JV23" s="44"/>
      <c r="JW23" s="110" t="s">
        <v>210</v>
      </c>
      <c r="JX23" s="111">
        <f t="shared" ref="JX23" si="997">-JY$23*(JX$4*60)/0.25</f>
        <v>-12480</v>
      </c>
      <c r="JY23" s="113">
        <v>4</v>
      </c>
      <c r="JZ23" s="44"/>
      <c r="KA23" s="110" t="s">
        <v>210</v>
      </c>
      <c r="KB23" s="111">
        <f t="shared" ref="KB23" si="998">-KC$23*(KB$4*60)/0.25</f>
        <v>-12480</v>
      </c>
      <c r="KC23" s="113">
        <v>4</v>
      </c>
      <c r="KD23" s="44"/>
      <c r="KE23" s="110" t="s">
        <v>210</v>
      </c>
      <c r="KF23" s="111">
        <f t="shared" ref="KF23" si="999">-KG$23*(KF$4*60)/0.25</f>
        <v>-12480</v>
      </c>
      <c r="KG23" s="113">
        <v>4</v>
      </c>
      <c r="KH23" s="44"/>
    </row>
    <row r="24" spans="1:294" x14ac:dyDescent="0.25">
      <c r="A24" s="101"/>
      <c r="C24" s="110" t="s">
        <v>212</v>
      </c>
      <c r="D24" s="111">
        <f>-E$24*D$4*$A$2</f>
        <v>-465.00000000000006</v>
      </c>
      <c r="E24" s="114">
        <v>0.05</v>
      </c>
      <c r="F24" s="19"/>
      <c r="G24" s="110" t="s">
        <v>212</v>
      </c>
      <c r="H24" s="111">
        <f>-I$24*H$4*$A$2</f>
        <v>-465.00000000000006</v>
      </c>
      <c r="I24" s="114">
        <v>0.05</v>
      </c>
      <c r="J24" s="19"/>
      <c r="K24" s="110" t="s">
        <v>212</v>
      </c>
      <c r="L24" s="111">
        <f t="shared" ref="L24" si="1000">-M$24*L$4*$A$2</f>
        <v>-465.00000000000006</v>
      </c>
      <c r="M24" s="114">
        <v>0.05</v>
      </c>
      <c r="N24" s="19"/>
      <c r="O24" s="110" t="s">
        <v>212</v>
      </c>
      <c r="P24" s="111">
        <f t="shared" ref="P24" si="1001">-Q$24*P$4*$A$2</f>
        <v>-465.00000000000006</v>
      </c>
      <c r="Q24" s="114">
        <v>0.05</v>
      </c>
      <c r="R24" s="19"/>
      <c r="S24" s="110" t="s">
        <v>212</v>
      </c>
      <c r="T24" s="111">
        <f t="shared" ref="T24" si="1002">-U$24*T$4*$A$2</f>
        <v>-465.00000000000006</v>
      </c>
      <c r="U24" s="114">
        <v>0.05</v>
      </c>
      <c r="V24" s="19"/>
      <c r="W24" s="110" t="s">
        <v>212</v>
      </c>
      <c r="X24" s="111">
        <f t="shared" ref="X24" si="1003">-Y$24*X$4*$A$2</f>
        <v>-465.00000000000006</v>
      </c>
      <c r="Y24" s="114">
        <v>0.05</v>
      </c>
      <c r="Z24" s="19"/>
      <c r="AA24" s="110" t="s">
        <v>212</v>
      </c>
      <c r="AB24" s="111">
        <f t="shared" ref="AB24" si="1004">-AC$24*AB$4*$A$2</f>
        <v>-465.00000000000006</v>
      </c>
      <c r="AC24" s="114">
        <v>0.05</v>
      </c>
      <c r="AD24" s="19"/>
      <c r="AE24" s="110" t="s">
        <v>212</v>
      </c>
      <c r="AF24" s="111">
        <f t="shared" ref="AF24" si="1005">-AG$24*AF$4*$A$2</f>
        <v>-620</v>
      </c>
      <c r="AG24" s="114">
        <v>0.05</v>
      </c>
      <c r="AH24" s="19"/>
      <c r="AI24" s="110" t="s">
        <v>212</v>
      </c>
      <c r="AJ24" s="111">
        <f t="shared" ref="AJ24" si="1006">-AK$24*AJ$4*$A$2</f>
        <v>-620</v>
      </c>
      <c r="AK24" s="114">
        <v>0.05</v>
      </c>
      <c r="AL24" s="19"/>
      <c r="AM24" s="110" t="s">
        <v>212</v>
      </c>
      <c r="AN24" s="111">
        <f t="shared" ref="AN24" si="1007">-AO$24*AN$4*$A$2</f>
        <v>-620</v>
      </c>
      <c r="AO24" s="114">
        <v>0.05</v>
      </c>
      <c r="AP24" s="19"/>
      <c r="AQ24" s="110" t="s">
        <v>212</v>
      </c>
      <c r="AR24" s="111">
        <f t="shared" ref="AR24" si="1008">-AS$24*AR$4*$A$2</f>
        <v>-620</v>
      </c>
      <c r="AS24" s="114">
        <v>0.05</v>
      </c>
      <c r="AT24" s="19"/>
      <c r="AU24" s="110" t="s">
        <v>212</v>
      </c>
      <c r="AV24" s="111">
        <f t="shared" ref="AV24" si="1009">-AW$24*AV$4*$A$2</f>
        <v>-620</v>
      </c>
      <c r="AW24" s="114">
        <v>0.05</v>
      </c>
      <c r="AX24" s="19"/>
      <c r="AY24" s="110" t="s">
        <v>212</v>
      </c>
      <c r="AZ24" s="111">
        <f t="shared" ref="AZ24" si="1010">-BA$24*AZ$4*$A$2</f>
        <v>-620</v>
      </c>
      <c r="BA24" s="114">
        <v>0.05</v>
      </c>
      <c r="BB24" s="19"/>
      <c r="BC24" s="110" t="s">
        <v>212</v>
      </c>
      <c r="BD24" s="111">
        <f t="shared" ref="BD24" si="1011">-BE$24*BD$4*$A$2</f>
        <v>-620</v>
      </c>
      <c r="BE24" s="114">
        <v>0.05</v>
      </c>
      <c r="BF24" s="19"/>
      <c r="BG24" s="110" t="s">
        <v>212</v>
      </c>
      <c r="BH24" s="111">
        <f t="shared" ref="BH24" si="1012">-BI$24*BH$4*$A$2</f>
        <v>-775</v>
      </c>
      <c r="BI24" s="114">
        <v>0.05</v>
      </c>
      <c r="BJ24" s="19"/>
      <c r="BK24" s="110" t="s">
        <v>212</v>
      </c>
      <c r="BL24" s="111">
        <f t="shared" ref="BL24" si="1013">-BM$24*BL$4*$A$2</f>
        <v>-775</v>
      </c>
      <c r="BM24" s="114">
        <v>0.05</v>
      </c>
      <c r="BN24" s="19"/>
      <c r="BO24" s="110" t="s">
        <v>212</v>
      </c>
      <c r="BP24" s="111">
        <f t="shared" ref="BP24" si="1014">-BQ$24*BP$4*$A$2</f>
        <v>-775</v>
      </c>
      <c r="BQ24" s="114">
        <v>0.05</v>
      </c>
      <c r="BR24" s="19"/>
      <c r="BS24" s="110" t="s">
        <v>212</v>
      </c>
      <c r="BT24" s="111">
        <f t="shared" ref="BT24" si="1015">-BU$24*BT$4*$A$2</f>
        <v>-775</v>
      </c>
      <c r="BU24" s="114">
        <v>0.05</v>
      </c>
      <c r="BV24" s="19"/>
      <c r="BW24" s="110" t="s">
        <v>212</v>
      </c>
      <c r="BX24" s="111">
        <f t="shared" ref="BX24" si="1016">-BY$24*BX$4*$A$2</f>
        <v>-775</v>
      </c>
      <c r="BY24" s="114">
        <v>0.05</v>
      </c>
      <c r="BZ24" s="19"/>
      <c r="CA24" s="110" t="s">
        <v>212</v>
      </c>
      <c r="CB24" s="111">
        <f t="shared" ref="CB24" si="1017">-CC$24*CB$4*$A$2</f>
        <v>-775</v>
      </c>
      <c r="CC24" s="114">
        <v>0.05</v>
      </c>
      <c r="CD24" s="19"/>
      <c r="CE24" s="110" t="s">
        <v>212</v>
      </c>
      <c r="CF24" s="111">
        <f t="shared" ref="CF24" si="1018">-CG$24*CF$4*$A$2</f>
        <v>-930.00000000000011</v>
      </c>
      <c r="CG24" s="114">
        <v>0.05</v>
      </c>
      <c r="CH24" s="19"/>
      <c r="CI24" s="110" t="s">
        <v>212</v>
      </c>
      <c r="CJ24" s="111">
        <f t="shared" ref="CJ24" si="1019">-CK$24*CJ$4*$A$2</f>
        <v>-930.00000000000011</v>
      </c>
      <c r="CK24" s="114">
        <v>0.05</v>
      </c>
      <c r="CL24" s="19"/>
      <c r="CM24" s="110" t="s">
        <v>212</v>
      </c>
      <c r="CN24" s="111">
        <f t="shared" ref="CN24" si="1020">-CO$24*CN$4*$A$2</f>
        <v>-930.00000000000011</v>
      </c>
      <c r="CO24" s="114">
        <v>0.05</v>
      </c>
      <c r="CP24" s="19"/>
      <c r="CQ24" s="110" t="s">
        <v>212</v>
      </c>
      <c r="CR24" s="111">
        <f t="shared" ref="CR24" si="1021">-CS$24*CR$4*$A$2</f>
        <v>-930.00000000000011</v>
      </c>
      <c r="CS24" s="114">
        <v>0.05</v>
      </c>
      <c r="CT24" s="19"/>
      <c r="CU24" s="110" t="s">
        <v>212</v>
      </c>
      <c r="CV24" s="111">
        <f t="shared" ref="CV24" si="1022">-CW$24*CV$4*$A$2</f>
        <v>-930.00000000000011</v>
      </c>
      <c r="CW24" s="114">
        <v>0.05</v>
      </c>
      <c r="CX24" s="19"/>
      <c r="CY24" s="110" t="s">
        <v>212</v>
      </c>
      <c r="CZ24" s="111">
        <f t="shared" ref="CZ24" si="1023">-DA$24*CZ$4*$A$2</f>
        <v>-930.00000000000011</v>
      </c>
      <c r="DA24" s="114">
        <v>0.05</v>
      </c>
      <c r="DB24" s="19"/>
      <c r="DC24" s="110" t="s">
        <v>212</v>
      </c>
      <c r="DD24" s="111">
        <f t="shared" ref="DD24" si="1024">-DE$24*DD$4*$A$2</f>
        <v>-930.00000000000011</v>
      </c>
      <c r="DE24" s="114">
        <v>0.05</v>
      </c>
      <c r="DF24" s="19"/>
      <c r="DG24" s="110" t="s">
        <v>212</v>
      </c>
      <c r="DH24" s="111">
        <f t="shared" ref="DH24" si="1025">-DI$24*DH$4*$A$2</f>
        <v>-1085</v>
      </c>
      <c r="DI24" s="114">
        <v>0.05</v>
      </c>
      <c r="DJ24" s="19"/>
      <c r="DK24" s="110" t="s">
        <v>212</v>
      </c>
      <c r="DL24" s="111">
        <f t="shared" ref="DL24" si="1026">-DM$24*DL$4*$A$2</f>
        <v>-1085</v>
      </c>
      <c r="DM24" s="114">
        <v>0.05</v>
      </c>
      <c r="DN24" s="19"/>
      <c r="DO24" s="110" t="s">
        <v>212</v>
      </c>
      <c r="DP24" s="111">
        <f t="shared" ref="DP24" si="1027">-DQ$24*DP$4*$A$2</f>
        <v>-1085</v>
      </c>
      <c r="DQ24" s="114">
        <v>0.05</v>
      </c>
      <c r="DR24" s="19"/>
      <c r="DS24" s="110" t="s">
        <v>212</v>
      </c>
      <c r="DT24" s="111">
        <f t="shared" ref="DT24" si="1028">-DU$24*DT$4*$A$2</f>
        <v>-1085</v>
      </c>
      <c r="DU24" s="114">
        <v>0.05</v>
      </c>
      <c r="DV24" s="19"/>
      <c r="DW24" s="110" t="s">
        <v>212</v>
      </c>
      <c r="DX24" s="111">
        <f t="shared" ref="DX24" si="1029">-DY$24*DX$4*$A$2</f>
        <v>-1085</v>
      </c>
      <c r="DY24" s="114">
        <v>0.05</v>
      </c>
      <c r="DZ24" s="19"/>
      <c r="EA24" s="110" t="s">
        <v>212</v>
      </c>
      <c r="EB24" s="111">
        <f t="shared" ref="EB24" si="1030">-EC$24*EB$4*$A$2</f>
        <v>-1085</v>
      </c>
      <c r="EC24" s="114">
        <v>0.05</v>
      </c>
      <c r="ED24" s="19"/>
      <c r="EE24" s="110" t="s">
        <v>212</v>
      </c>
      <c r="EF24" s="111">
        <f t="shared" ref="EF24" si="1031">-EG$24*EF$4*$A$2</f>
        <v>-1085</v>
      </c>
      <c r="EG24" s="114">
        <v>0.05</v>
      </c>
      <c r="EH24" s="19"/>
      <c r="EI24" s="110" t="s">
        <v>212</v>
      </c>
      <c r="EJ24" s="111">
        <f t="shared" ref="EJ24" si="1032">-EK$24*EJ$4*$A$2</f>
        <v>-1240</v>
      </c>
      <c r="EK24" s="114">
        <v>0.05</v>
      </c>
      <c r="EL24" s="19"/>
      <c r="EM24" s="110" t="s">
        <v>212</v>
      </c>
      <c r="EN24" s="111">
        <f t="shared" ref="EN24" si="1033">-EO$24*EN$4*$A$2</f>
        <v>-1240</v>
      </c>
      <c r="EO24" s="114">
        <v>0.05</v>
      </c>
      <c r="EP24" s="19"/>
      <c r="EQ24" s="110" t="s">
        <v>212</v>
      </c>
      <c r="ER24" s="111">
        <f t="shared" ref="ER24" si="1034">-ES$24*ER$4*$A$2</f>
        <v>-1240</v>
      </c>
      <c r="ES24" s="114">
        <v>0.05</v>
      </c>
      <c r="ET24" s="19"/>
      <c r="EU24" s="110" t="s">
        <v>212</v>
      </c>
      <c r="EV24" s="111">
        <f t="shared" ref="EV24" si="1035">-EW$24*EV$4*$A$2</f>
        <v>-1240</v>
      </c>
      <c r="EW24" s="114">
        <v>0.05</v>
      </c>
      <c r="EX24" s="19"/>
      <c r="EY24" s="110" t="s">
        <v>212</v>
      </c>
      <c r="EZ24" s="111">
        <f t="shared" ref="EZ24" si="1036">-FA$24*EZ$4*$A$2</f>
        <v>-1240</v>
      </c>
      <c r="FA24" s="114">
        <v>0.05</v>
      </c>
      <c r="FB24" s="19"/>
      <c r="FC24" s="110" t="s">
        <v>212</v>
      </c>
      <c r="FD24" s="111">
        <f t="shared" ref="FD24" si="1037">-FE$24*FD$4*$A$2</f>
        <v>-1240</v>
      </c>
      <c r="FE24" s="114">
        <v>0.05</v>
      </c>
      <c r="FF24" s="19"/>
      <c r="FG24" s="110" t="s">
        <v>212</v>
      </c>
      <c r="FH24" s="111">
        <f t="shared" ref="FH24" si="1038">-FI$24*FH$4*$A$2</f>
        <v>-1395</v>
      </c>
      <c r="FI24" s="114">
        <v>0.05</v>
      </c>
      <c r="FJ24" s="19"/>
      <c r="FK24" s="110" t="s">
        <v>212</v>
      </c>
      <c r="FL24" s="111">
        <f t="shared" ref="FL24" si="1039">-FM$24*FL$4*$A$2</f>
        <v>-1395</v>
      </c>
      <c r="FM24" s="114">
        <v>0.05</v>
      </c>
      <c r="FN24" s="19"/>
      <c r="FO24" s="110" t="s">
        <v>212</v>
      </c>
      <c r="FP24" s="111">
        <f t="shared" ref="FP24" si="1040">-FQ$24*FP$4*$A$2</f>
        <v>-1395</v>
      </c>
      <c r="FQ24" s="114">
        <v>0.05</v>
      </c>
      <c r="FR24" s="19"/>
      <c r="FS24" s="110" t="s">
        <v>212</v>
      </c>
      <c r="FT24" s="111">
        <f t="shared" ref="FT24" si="1041">-FU$24*FT$4*$A$2</f>
        <v>-1395</v>
      </c>
      <c r="FU24" s="114">
        <v>0.05</v>
      </c>
      <c r="FV24" s="19"/>
      <c r="FW24" s="110" t="s">
        <v>212</v>
      </c>
      <c r="FX24" s="111">
        <f t="shared" ref="FX24" si="1042">-FY$24*FX$4*$A$2</f>
        <v>-1395</v>
      </c>
      <c r="FY24" s="114">
        <v>0.05</v>
      </c>
      <c r="FZ24" s="19"/>
      <c r="GA24" s="110" t="s">
        <v>212</v>
      </c>
      <c r="GB24" s="111">
        <f t="shared" ref="GB24" si="1043">-GC$24*GB$4*$A$2</f>
        <v>-1395</v>
      </c>
      <c r="GC24" s="114">
        <v>0.05</v>
      </c>
      <c r="GD24" s="19"/>
      <c r="GE24" s="110" t="s">
        <v>212</v>
      </c>
      <c r="GF24" s="111">
        <f t="shared" ref="GF24" si="1044">-GG$24*GF$4*$A$2</f>
        <v>-1395</v>
      </c>
      <c r="GG24" s="114">
        <v>0.05</v>
      </c>
      <c r="GH24" s="19"/>
      <c r="GI24" s="110" t="s">
        <v>212</v>
      </c>
      <c r="GJ24" s="111">
        <f t="shared" ref="GJ24" si="1045">-GK$24*GJ$4*$A$2</f>
        <v>-1550</v>
      </c>
      <c r="GK24" s="114">
        <v>0.05</v>
      </c>
      <c r="GL24" s="19"/>
      <c r="GM24" s="110" t="s">
        <v>212</v>
      </c>
      <c r="GN24" s="111">
        <f t="shared" ref="GN24" si="1046">-GO$24*GN$4*$A$2</f>
        <v>-1550</v>
      </c>
      <c r="GO24" s="114">
        <v>0.05</v>
      </c>
      <c r="GP24" s="19"/>
      <c r="GQ24" s="110" t="s">
        <v>212</v>
      </c>
      <c r="GR24" s="111">
        <f t="shared" ref="GR24" si="1047">-GS$24*GR$4*$A$2</f>
        <v>-1550</v>
      </c>
      <c r="GS24" s="114">
        <v>0.05</v>
      </c>
      <c r="GT24" s="19"/>
      <c r="GU24" s="110" t="s">
        <v>212</v>
      </c>
      <c r="GV24" s="111">
        <f t="shared" ref="GV24" si="1048">-GW$24*GV$4*$A$2</f>
        <v>-1550</v>
      </c>
      <c r="GW24" s="114">
        <v>0.05</v>
      </c>
      <c r="GX24" s="19"/>
      <c r="GY24" s="110" t="s">
        <v>212</v>
      </c>
      <c r="GZ24" s="111">
        <f t="shared" ref="GZ24" si="1049">-HA$24*GZ$4*$A$2</f>
        <v>-1550</v>
      </c>
      <c r="HA24" s="114">
        <v>0.05</v>
      </c>
      <c r="HB24" s="19"/>
      <c r="HC24" s="110" t="s">
        <v>212</v>
      </c>
      <c r="HD24" s="111">
        <f t="shared" ref="HD24" si="1050">-HE$24*HD$4*$A$2</f>
        <v>-1550</v>
      </c>
      <c r="HE24" s="114">
        <v>0.05</v>
      </c>
      <c r="HF24" s="19"/>
      <c r="HG24" s="110" t="s">
        <v>212</v>
      </c>
      <c r="HH24" s="111">
        <f t="shared" ref="HH24" si="1051">-HI$24*HH$4*$A$2</f>
        <v>-1550</v>
      </c>
      <c r="HI24" s="114">
        <v>0.05</v>
      </c>
      <c r="HJ24" s="19"/>
      <c r="HK24" s="110" t="s">
        <v>212</v>
      </c>
      <c r="HL24" s="111">
        <f t="shared" ref="HL24" si="1052">-HM$24*HL$4*$A$2</f>
        <v>-1705.0000000000002</v>
      </c>
      <c r="HM24" s="114">
        <v>0.05</v>
      </c>
      <c r="HN24" s="19"/>
      <c r="HO24" s="110" t="s">
        <v>212</v>
      </c>
      <c r="HP24" s="111">
        <f t="shared" ref="HP24" si="1053">-HQ$24*HP$4*$A$2</f>
        <v>-1705.0000000000002</v>
      </c>
      <c r="HQ24" s="114">
        <v>0.05</v>
      </c>
      <c r="HR24" s="19"/>
      <c r="HS24" s="110" t="s">
        <v>212</v>
      </c>
      <c r="HT24" s="111">
        <f t="shared" ref="HT24" si="1054">-HU$24*HT$4*$A$2</f>
        <v>-1705.0000000000002</v>
      </c>
      <c r="HU24" s="114">
        <v>0.05</v>
      </c>
      <c r="HV24" s="19"/>
      <c r="HW24" s="110" t="s">
        <v>212</v>
      </c>
      <c r="HX24" s="111">
        <f t="shared" ref="HX24" si="1055">-HY$24*HX$4*$A$2</f>
        <v>-1705.0000000000002</v>
      </c>
      <c r="HY24" s="114">
        <v>0.05</v>
      </c>
      <c r="HZ24" s="19"/>
      <c r="IA24" s="110" t="s">
        <v>212</v>
      </c>
      <c r="IB24" s="111">
        <f t="shared" ref="IB24" si="1056">-IC$24*IB$4*$A$2</f>
        <v>-1705.0000000000002</v>
      </c>
      <c r="IC24" s="114">
        <v>0.05</v>
      </c>
      <c r="ID24" s="19"/>
      <c r="IE24" s="110" t="s">
        <v>212</v>
      </c>
      <c r="IF24" s="111">
        <f t="shared" ref="IF24" si="1057">-IG$24*IF$4*$A$2</f>
        <v>-1705.0000000000002</v>
      </c>
      <c r="IG24" s="114">
        <v>0.05</v>
      </c>
      <c r="IH24" s="19"/>
      <c r="II24" s="110" t="s">
        <v>212</v>
      </c>
      <c r="IJ24" s="111">
        <f t="shared" ref="IJ24" si="1058">-IK$24*IJ$4*$A$2</f>
        <v>-1860.0000000000002</v>
      </c>
      <c r="IK24" s="114">
        <v>0.05</v>
      </c>
      <c r="IL24" s="19"/>
      <c r="IM24" s="110" t="s">
        <v>212</v>
      </c>
      <c r="IN24" s="111">
        <f t="shared" ref="IN24" si="1059">-IO$24*IN$4*$A$2</f>
        <v>-1860.0000000000002</v>
      </c>
      <c r="IO24" s="114">
        <v>0.05</v>
      </c>
      <c r="IP24" s="19"/>
      <c r="IQ24" s="110" t="s">
        <v>212</v>
      </c>
      <c r="IR24" s="111">
        <f t="shared" ref="IR24" si="1060">-IS$24*IR$4*$A$2</f>
        <v>-1860.0000000000002</v>
      </c>
      <c r="IS24" s="114">
        <v>0.05</v>
      </c>
      <c r="IT24" s="19"/>
      <c r="IU24" s="110" t="s">
        <v>212</v>
      </c>
      <c r="IV24" s="111">
        <f t="shared" ref="IV24" si="1061">-IW$24*IV$4*$A$2</f>
        <v>-1860.0000000000002</v>
      </c>
      <c r="IW24" s="114">
        <v>0.05</v>
      </c>
      <c r="IX24" s="19"/>
      <c r="IY24" s="110" t="s">
        <v>212</v>
      </c>
      <c r="IZ24" s="111">
        <f t="shared" ref="IZ24" si="1062">-JA$24*IZ$4*$A$2</f>
        <v>-1860.0000000000002</v>
      </c>
      <c r="JA24" s="114">
        <v>0.05</v>
      </c>
      <c r="JB24" s="19"/>
      <c r="JC24" s="110" t="s">
        <v>212</v>
      </c>
      <c r="JD24" s="111">
        <f t="shared" ref="JD24" si="1063">-JE$24*JD$4*$A$2</f>
        <v>-1860.0000000000002</v>
      </c>
      <c r="JE24" s="114">
        <v>0.05</v>
      </c>
      <c r="JF24" s="19"/>
      <c r="JG24" s="110" t="s">
        <v>212</v>
      </c>
      <c r="JH24" s="111">
        <f t="shared" ref="JH24" si="1064">-JI$24*JH$4*$A$2</f>
        <v>-1860.0000000000002</v>
      </c>
      <c r="JI24" s="114">
        <v>0.05</v>
      </c>
      <c r="JJ24" s="19"/>
      <c r="JK24" s="110" t="s">
        <v>212</v>
      </c>
      <c r="JL24" s="111">
        <f t="shared" ref="JL24" si="1065">-JM$24*JL$4*$A$2</f>
        <v>-2015</v>
      </c>
      <c r="JM24" s="114">
        <v>0.05</v>
      </c>
      <c r="JN24" s="19"/>
      <c r="JO24" s="110" t="s">
        <v>212</v>
      </c>
      <c r="JP24" s="111">
        <f t="shared" ref="JP24" si="1066">-JQ$24*JP$4*$A$2</f>
        <v>-2015</v>
      </c>
      <c r="JQ24" s="114">
        <v>0.05</v>
      </c>
      <c r="JR24" s="19"/>
      <c r="JS24" s="110" t="s">
        <v>212</v>
      </c>
      <c r="JT24" s="111">
        <f t="shared" ref="JT24" si="1067">-JU$24*JT$4*$A$2</f>
        <v>-2015</v>
      </c>
      <c r="JU24" s="114">
        <v>0.05</v>
      </c>
      <c r="JV24" s="19"/>
      <c r="JW24" s="110" t="s">
        <v>212</v>
      </c>
      <c r="JX24" s="111">
        <f t="shared" ref="JX24" si="1068">-JY$24*JX$4*$A$2</f>
        <v>-2015</v>
      </c>
      <c r="JY24" s="114">
        <v>0.05</v>
      </c>
      <c r="JZ24" s="19"/>
      <c r="KA24" s="110" t="s">
        <v>212</v>
      </c>
      <c r="KB24" s="111">
        <f t="shared" ref="KB24" si="1069">-KC$24*KB$4*$A$2</f>
        <v>-2015</v>
      </c>
      <c r="KC24" s="114">
        <v>0.05</v>
      </c>
      <c r="KD24" s="19"/>
      <c r="KE24" s="110" t="s">
        <v>212</v>
      </c>
      <c r="KF24" s="111">
        <f t="shared" ref="KF24" si="1070">-KG$24*KF$4*$A$2</f>
        <v>-2015</v>
      </c>
      <c r="KG24" s="114">
        <v>0.05</v>
      </c>
      <c r="KH24" s="19"/>
    </row>
    <row r="25" spans="1:294" x14ac:dyDescent="0.25">
      <c r="C25" s="110" t="s">
        <v>218</v>
      </c>
      <c r="D25" s="111">
        <f>-E$25*D$4*$A$2</f>
        <v>-186</v>
      </c>
      <c r="E25" s="115">
        <v>0.02</v>
      </c>
      <c r="G25" s="110" t="s">
        <v>218</v>
      </c>
      <c r="H25" s="111">
        <f>-I$25*H$4*$A$2</f>
        <v>-186</v>
      </c>
      <c r="I25" s="115">
        <v>0.02</v>
      </c>
      <c r="K25" s="110" t="s">
        <v>218</v>
      </c>
      <c r="L25" s="111">
        <f t="shared" ref="L25" si="1071">-M$25*L$4*$A$2</f>
        <v>-186</v>
      </c>
      <c r="M25" s="115">
        <v>0.02</v>
      </c>
      <c r="N25" s="44"/>
      <c r="O25" s="110" t="s">
        <v>218</v>
      </c>
      <c r="P25" s="111">
        <f t="shared" ref="P25" si="1072">-Q$25*P$4*$A$2</f>
        <v>-186</v>
      </c>
      <c r="Q25" s="115">
        <v>0.02</v>
      </c>
      <c r="R25" s="44"/>
      <c r="S25" s="110" t="s">
        <v>218</v>
      </c>
      <c r="T25" s="111">
        <f t="shared" ref="T25" si="1073">-U$25*T$4*$A$2</f>
        <v>-186</v>
      </c>
      <c r="U25" s="115">
        <v>0.02</v>
      </c>
      <c r="V25" s="44"/>
      <c r="W25" s="110" t="s">
        <v>218</v>
      </c>
      <c r="X25" s="111">
        <f t="shared" ref="X25" si="1074">-Y$25*X$4*$A$2</f>
        <v>-186</v>
      </c>
      <c r="Y25" s="115">
        <v>0.02</v>
      </c>
      <c r="Z25" s="44"/>
      <c r="AA25" s="110" t="s">
        <v>218</v>
      </c>
      <c r="AB25" s="111">
        <f t="shared" ref="AB25" si="1075">-AC$25*AB$4*$A$2</f>
        <v>-186</v>
      </c>
      <c r="AC25" s="115">
        <v>0.02</v>
      </c>
      <c r="AD25" s="44"/>
      <c r="AE25" s="110" t="s">
        <v>218</v>
      </c>
      <c r="AF25" s="111">
        <f t="shared" ref="AF25" si="1076">-AG$25*AF$4*$A$2</f>
        <v>-248</v>
      </c>
      <c r="AG25" s="115">
        <v>0.02</v>
      </c>
      <c r="AH25" s="44"/>
      <c r="AI25" s="110" t="s">
        <v>218</v>
      </c>
      <c r="AJ25" s="111">
        <f t="shared" ref="AJ25" si="1077">-AK$25*AJ$4*$A$2</f>
        <v>-248</v>
      </c>
      <c r="AK25" s="115">
        <v>0.02</v>
      </c>
      <c r="AL25" s="44"/>
      <c r="AM25" s="110" t="s">
        <v>218</v>
      </c>
      <c r="AN25" s="111">
        <f t="shared" ref="AN25" si="1078">-AO$25*AN$4*$A$2</f>
        <v>-248</v>
      </c>
      <c r="AO25" s="115">
        <v>0.02</v>
      </c>
      <c r="AP25" s="44"/>
      <c r="AQ25" s="110" t="s">
        <v>218</v>
      </c>
      <c r="AR25" s="111">
        <f t="shared" ref="AR25" si="1079">-AS$25*AR$4*$A$2</f>
        <v>-248</v>
      </c>
      <c r="AS25" s="115">
        <v>0.02</v>
      </c>
      <c r="AT25" s="44"/>
      <c r="AU25" s="110" t="s">
        <v>218</v>
      </c>
      <c r="AV25" s="111">
        <f t="shared" ref="AV25" si="1080">-AW$25*AV$4*$A$2</f>
        <v>-248</v>
      </c>
      <c r="AW25" s="115">
        <v>0.02</v>
      </c>
      <c r="AX25" s="44"/>
      <c r="AY25" s="110" t="s">
        <v>218</v>
      </c>
      <c r="AZ25" s="111">
        <f t="shared" ref="AZ25" si="1081">-BA$25*AZ$4*$A$2</f>
        <v>-248</v>
      </c>
      <c r="BA25" s="115">
        <v>0.02</v>
      </c>
      <c r="BB25" s="44"/>
      <c r="BC25" s="110" t="s">
        <v>218</v>
      </c>
      <c r="BD25" s="111">
        <f t="shared" ref="BD25" si="1082">-BE$25*BD$4*$A$2</f>
        <v>-248</v>
      </c>
      <c r="BE25" s="115">
        <v>0.02</v>
      </c>
      <c r="BF25" s="44"/>
      <c r="BG25" s="110" t="s">
        <v>218</v>
      </c>
      <c r="BH25" s="111">
        <f t="shared" ref="BH25" si="1083">-BI$25*BH$4*$A$2</f>
        <v>-310</v>
      </c>
      <c r="BI25" s="115">
        <v>0.02</v>
      </c>
      <c r="BJ25" s="44"/>
      <c r="BK25" s="110" t="s">
        <v>218</v>
      </c>
      <c r="BL25" s="111">
        <f t="shared" ref="BL25" si="1084">-BM$25*BL$4*$A$2</f>
        <v>-310</v>
      </c>
      <c r="BM25" s="115">
        <v>0.02</v>
      </c>
      <c r="BN25" s="44"/>
      <c r="BO25" s="110" t="s">
        <v>218</v>
      </c>
      <c r="BP25" s="111">
        <f t="shared" ref="BP25" si="1085">-BQ$25*BP$4*$A$2</f>
        <v>-310</v>
      </c>
      <c r="BQ25" s="115">
        <v>0.02</v>
      </c>
      <c r="BR25" s="44"/>
      <c r="BS25" s="110" t="s">
        <v>218</v>
      </c>
      <c r="BT25" s="111">
        <f t="shared" ref="BT25" si="1086">-BU$25*BT$4*$A$2</f>
        <v>-310</v>
      </c>
      <c r="BU25" s="115">
        <v>0.02</v>
      </c>
      <c r="BV25" s="44"/>
      <c r="BW25" s="110" t="s">
        <v>218</v>
      </c>
      <c r="BX25" s="111">
        <f t="shared" ref="BX25" si="1087">-BY$25*BX$4*$A$2</f>
        <v>-310</v>
      </c>
      <c r="BY25" s="115">
        <v>0.02</v>
      </c>
      <c r="BZ25" s="44"/>
      <c r="CA25" s="110" t="s">
        <v>218</v>
      </c>
      <c r="CB25" s="111">
        <f t="shared" ref="CB25" si="1088">-CC$25*CB$4*$A$2</f>
        <v>-310</v>
      </c>
      <c r="CC25" s="115">
        <v>0.02</v>
      </c>
      <c r="CD25" s="44"/>
      <c r="CE25" s="110" t="s">
        <v>218</v>
      </c>
      <c r="CF25" s="111">
        <f t="shared" ref="CF25" si="1089">-CG$25*CF$4*$A$2</f>
        <v>-372</v>
      </c>
      <c r="CG25" s="115">
        <v>0.02</v>
      </c>
      <c r="CH25" s="44"/>
      <c r="CI25" s="110" t="s">
        <v>218</v>
      </c>
      <c r="CJ25" s="111">
        <f t="shared" ref="CJ25" si="1090">-CK$25*CJ$4*$A$2</f>
        <v>-372</v>
      </c>
      <c r="CK25" s="115">
        <v>0.02</v>
      </c>
      <c r="CL25" s="44"/>
      <c r="CM25" s="110" t="s">
        <v>218</v>
      </c>
      <c r="CN25" s="111">
        <f t="shared" ref="CN25" si="1091">-CO$25*CN$4*$A$2</f>
        <v>-372</v>
      </c>
      <c r="CO25" s="115">
        <v>0.02</v>
      </c>
      <c r="CP25" s="44"/>
      <c r="CQ25" s="110" t="s">
        <v>218</v>
      </c>
      <c r="CR25" s="111">
        <f t="shared" ref="CR25" si="1092">-CS$25*CR$4*$A$2</f>
        <v>-372</v>
      </c>
      <c r="CS25" s="115">
        <v>0.02</v>
      </c>
      <c r="CT25" s="44"/>
      <c r="CU25" s="110" t="s">
        <v>218</v>
      </c>
      <c r="CV25" s="111">
        <f t="shared" ref="CV25" si="1093">-CW$25*CV$4*$A$2</f>
        <v>-372</v>
      </c>
      <c r="CW25" s="115">
        <v>0.02</v>
      </c>
      <c r="CX25" s="44"/>
      <c r="CY25" s="110" t="s">
        <v>218</v>
      </c>
      <c r="CZ25" s="111">
        <f t="shared" ref="CZ25" si="1094">-DA$25*CZ$4*$A$2</f>
        <v>-372</v>
      </c>
      <c r="DA25" s="115">
        <v>0.02</v>
      </c>
      <c r="DB25" s="44"/>
      <c r="DC25" s="110" t="s">
        <v>218</v>
      </c>
      <c r="DD25" s="111">
        <f t="shared" ref="DD25" si="1095">-DE$25*DD$4*$A$2</f>
        <v>-372</v>
      </c>
      <c r="DE25" s="115">
        <v>0.02</v>
      </c>
      <c r="DF25" s="44"/>
      <c r="DG25" s="110" t="s">
        <v>218</v>
      </c>
      <c r="DH25" s="111">
        <f t="shared" ref="DH25" si="1096">-DI$25*DH$4*$A$2</f>
        <v>-434.00000000000006</v>
      </c>
      <c r="DI25" s="115">
        <v>0.02</v>
      </c>
      <c r="DJ25" s="44"/>
      <c r="DK25" s="110" t="s">
        <v>218</v>
      </c>
      <c r="DL25" s="111">
        <f t="shared" ref="DL25" si="1097">-DM$25*DL$4*$A$2</f>
        <v>-434.00000000000006</v>
      </c>
      <c r="DM25" s="115">
        <v>0.02</v>
      </c>
      <c r="DN25" s="44"/>
      <c r="DO25" s="110" t="s">
        <v>218</v>
      </c>
      <c r="DP25" s="111">
        <f t="shared" ref="DP25" si="1098">-DQ$25*DP$4*$A$2</f>
        <v>-434.00000000000006</v>
      </c>
      <c r="DQ25" s="115">
        <v>0.02</v>
      </c>
      <c r="DR25" s="44"/>
      <c r="DS25" s="110" t="s">
        <v>218</v>
      </c>
      <c r="DT25" s="111">
        <f t="shared" ref="DT25" si="1099">-DU$25*DT$4*$A$2</f>
        <v>-434.00000000000006</v>
      </c>
      <c r="DU25" s="115">
        <v>0.02</v>
      </c>
      <c r="DV25" s="44"/>
      <c r="DW25" s="110" t="s">
        <v>218</v>
      </c>
      <c r="DX25" s="111">
        <f t="shared" ref="DX25" si="1100">-DY$25*DX$4*$A$2</f>
        <v>-434.00000000000006</v>
      </c>
      <c r="DY25" s="115">
        <v>0.02</v>
      </c>
      <c r="DZ25" s="44"/>
      <c r="EA25" s="110" t="s">
        <v>218</v>
      </c>
      <c r="EB25" s="111">
        <f t="shared" ref="EB25" si="1101">-EC$25*EB$4*$A$2</f>
        <v>-434.00000000000006</v>
      </c>
      <c r="EC25" s="115">
        <v>0.02</v>
      </c>
      <c r="ED25" s="44"/>
      <c r="EE25" s="110" t="s">
        <v>218</v>
      </c>
      <c r="EF25" s="111">
        <f t="shared" ref="EF25" si="1102">-EG$25*EF$4*$A$2</f>
        <v>-434.00000000000006</v>
      </c>
      <c r="EG25" s="115">
        <v>0.02</v>
      </c>
      <c r="EH25" s="44"/>
      <c r="EI25" s="110" t="s">
        <v>218</v>
      </c>
      <c r="EJ25" s="111">
        <f t="shared" ref="EJ25" si="1103">-EK$25*EJ$4*$A$2</f>
        <v>-496</v>
      </c>
      <c r="EK25" s="115">
        <v>0.02</v>
      </c>
      <c r="EL25" s="44"/>
      <c r="EM25" s="110" t="s">
        <v>218</v>
      </c>
      <c r="EN25" s="111">
        <f t="shared" ref="EN25" si="1104">-EO$25*EN$4*$A$2</f>
        <v>-496</v>
      </c>
      <c r="EO25" s="115">
        <v>0.02</v>
      </c>
      <c r="EP25" s="44"/>
      <c r="EQ25" s="110" t="s">
        <v>218</v>
      </c>
      <c r="ER25" s="111">
        <f t="shared" ref="ER25" si="1105">-ES$25*ER$4*$A$2</f>
        <v>-496</v>
      </c>
      <c r="ES25" s="115">
        <v>0.02</v>
      </c>
      <c r="ET25" s="44"/>
      <c r="EU25" s="110" t="s">
        <v>218</v>
      </c>
      <c r="EV25" s="111">
        <f t="shared" ref="EV25" si="1106">-EW$25*EV$4*$A$2</f>
        <v>-496</v>
      </c>
      <c r="EW25" s="115">
        <v>0.02</v>
      </c>
      <c r="EX25" s="44"/>
      <c r="EY25" s="110" t="s">
        <v>218</v>
      </c>
      <c r="EZ25" s="111">
        <f t="shared" ref="EZ25" si="1107">-FA$25*EZ$4*$A$2</f>
        <v>-496</v>
      </c>
      <c r="FA25" s="115">
        <v>0.02</v>
      </c>
      <c r="FB25" s="44"/>
      <c r="FC25" s="110" t="s">
        <v>218</v>
      </c>
      <c r="FD25" s="111">
        <f t="shared" ref="FD25" si="1108">-FE$25*FD$4*$A$2</f>
        <v>-496</v>
      </c>
      <c r="FE25" s="115">
        <v>0.02</v>
      </c>
      <c r="FF25" s="44"/>
      <c r="FG25" s="110" t="s">
        <v>218</v>
      </c>
      <c r="FH25" s="111">
        <f t="shared" ref="FH25" si="1109">-FI$25*FH$4*$A$2</f>
        <v>-558</v>
      </c>
      <c r="FI25" s="115">
        <v>0.02</v>
      </c>
      <c r="FJ25" s="44"/>
      <c r="FK25" s="110" t="s">
        <v>218</v>
      </c>
      <c r="FL25" s="111">
        <f t="shared" ref="FL25" si="1110">-FM$25*FL$4*$A$2</f>
        <v>-558</v>
      </c>
      <c r="FM25" s="115">
        <v>0.02</v>
      </c>
      <c r="FN25" s="44"/>
      <c r="FO25" s="110" t="s">
        <v>218</v>
      </c>
      <c r="FP25" s="111">
        <f t="shared" ref="FP25" si="1111">-FQ$25*FP$4*$A$2</f>
        <v>-558</v>
      </c>
      <c r="FQ25" s="115">
        <v>0.02</v>
      </c>
      <c r="FR25" s="44"/>
      <c r="FS25" s="110" t="s">
        <v>218</v>
      </c>
      <c r="FT25" s="111">
        <f t="shared" ref="FT25" si="1112">-FU$25*FT$4*$A$2</f>
        <v>-558</v>
      </c>
      <c r="FU25" s="115">
        <v>0.02</v>
      </c>
      <c r="FV25" s="44"/>
      <c r="FW25" s="110" t="s">
        <v>218</v>
      </c>
      <c r="FX25" s="111">
        <f t="shared" ref="FX25" si="1113">-FY$25*FX$4*$A$2</f>
        <v>-558</v>
      </c>
      <c r="FY25" s="115">
        <v>0.02</v>
      </c>
      <c r="FZ25" s="44"/>
      <c r="GA25" s="110" t="s">
        <v>218</v>
      </c>
      <c r="GB25" s="111">
        <f t="shared" ref="GB25" si="1114">-GC$25*GB$4*$A$2</f>
        <v>-558</v>
      </c>
      <c r="GC25" s="115">
        <v>0.02</v>
      </c>
      <c r="GD25" s="44"/>
      <c r="GE25" s="110" t="s">
        <v>218</v>
      </c>
      <c r="GF25" s="111">
        <f t="shared" ref="GF25" si="1115">-GG$25*GF$4*$A$2</f>
        <v>-558</v>
      </c>
      <c r="GG25" s="115">
        <v>0.02</v>
      </c>
      <c r="GH25" s="44"/>
      <c r="GI25" s="110" t="s">
        <v>218</v>
      </c>
      <c r="GJ25" s="111">
        <f t="shared" ref="GJ25" si="1116">-GK$25*GJ$4*$A$2</f>
        <v>-620</v>
      </c>
      <c r="GK25" s="115">
        <v>0.02</v>
      </c>
      <c r="GL25" s="44"/>
      <c r="GM25" s="110" t="s">
        <v>218</v>
      </c>
      <c r="GN25" s="111">
        <f t="shared" ref="GN25" si="1117">-GO$25*GN$4*$A$2</f>
        <v>-620</v>
      </c>
      <c r="GO25" s="115">
        <v>0.02</v>
      </c>
      <c r="GP25" s="44"/>
      <c r="GQ25" s="110" t="s">
        <v>218</v>
      </c>
      <c r="GR25" s="111">
        <f t="shared" ref="GR25" si="1118">-GS$25*GR$4*$A$2</f>
        <v>-620</v>
      </c>
      <c r="GS25" s="115">
        <v>0.02</v>
      </c>
      <c r="GT25" s="44"/>
      <c r="GU25" s="110" t="s">
        <v>218</v>
      </c>
      <c r="GV25" s="111">
        <f t="shared" ref="GV25" si="1119">-GW$25*GV$4*$A$2</f>
        <v>-620</v>
      </c>
      <c r="GW25" s="115">
        <v>0.02</v>
      </c>
      <c r="GX25" s="44"/>
      <c r="GY25" s="110" t="s">
        <v>218</v>
      </c>
      <c r="GZ25" s="111">
        <f t="shared" ref="GZ25" si="1120">-HA$25*GZ$4*$A$2</f>
        <v>-620</v>
      </c>
      <c r="HA25" s="115">
        <v>0.02</v>
      </c>
      <c r="HB25" s="44"/>
      <c r="HC25" s="110" t="s">
        <v>218</v>
      </c>
      <c r="HD25" s="111">
        <f t="shared" ref="HD25" si="1121">-HE$25*HD$4*$A$2</f>
        <v>-620</v>
      </c>
      <c r="HE25" s="115">
        <v>0.02</v>
      </c>
      <c r="HF25" s="44"/>
      <c r="HG25" s="110" t="s">
        <v>218</v>
      </c>
      <c r="HH25" s="111">
        <f t="shared" ref="HH25" si="1122">-HI$25*HH$4*$A$2</f>
        <v>-620</v>
      </c>
      <c r="HI25" s="115">
        <v>0.02</v>
      </c>
      <c r="HJ25" s="44"/>
      <c r="HK25" s="110" t="s">
        <v>218</v>
      </c>
      <c r="HL25" s="111">
        <f t="shared" ref="HL25" si="1123">-HM$25*HL$4*$A$2</f>
        <v>-682</v>
      </c>
      <c r="HM25" s="115">
        <v>0.02</v>
      </c>
      <c r="HN25" s="44"/>
      <c r="HO25" s="110" t="s">
        <v>218</v>
      </c>
      <c r="HP25" s="111">
        <f t="shared" ref="HP25" si="1124">-HQ$25*HP$4*$A$2</f>
        <v>-682</v>
      </c>
      <c r="HQ25" s="115">
        <v>0.02</v>
      </c>
      <c r="HR25" s="44"/>
      <c r="HS25" s="110" t="s">
        <v>218</v>
      </c>
      <c r="HT25" s="111">
        <f t="shared" ref="HT25" si="1125">-HU$25*HT$4*$A$2</f>
        <v>-682</v>
      </c>
      <c r="HU25" s="115">
        <v>0.02</v>
      </c>
      <c r="HV25" s="44"/>
      <c r="HW25" s="110" t="s">
        <v>218</v>
      </c>
      <c r="HX25" s="111">
        <f t="shared" ref="HX25" si="1126">-HY$25*HX$4*$A$2</f>
        <v>-682</v>
      </c>
      <c r="HY25" s="115">
        <v>0.02</v>
      </c>
      <c r="HZ25" s="44"/>
      <c r="IA25" s="110" t="s">
        <v>218</v>
      </c>
      <c r="IB25" s="111">
        <f t="shared" ref="IB25" si="1127">-IC$25*IB$4*$A$2</f>
        <v>-682</v>
      </c>
      <c r="IC25" s="115">
        <v>0.02</v>
      </c>
      <c r="ID25" s="44"/>
      <c r="IE25" s="110" t="s">
        <v>218</v>
      </c>
      <c r="IF25" s="111">
        <f t="shared" ref="IF25" si="1128">-IG$25*IF$4*$A$2</f>
        <v>-682</v>
      </c>
      <c r="IG25" s="115">
        <v>0.02</v>
      </c>
      <c r="IH25" s="44"/>
      <c r="II25" s="110" t="s">
        <v>218</v>
      </c>
      <c r="IJ25" s="111">
        <f t="shared" ref="IJ25" si="1129">-IK$25*IJ$4*$A$2</f>
        <v>-744</v>
      </c>
      <c r="IK25" s="115">
        <v>0.02</v>
      </c>
      <c r="IL25" s="44"/>
      <c r="IM25" s="110" t="s">
        <v>218</v>
      </c>
      <c r="IN25" s="111">
        <f t="shared" ref="IN25" si="1130">-IO$25*IN$4*$A$2</f>
        <v>-744</v>
      </c>
      <c r="IO25" s="115">
        <v>0.02</v>
      </c>
      <c r="IP25" s="44"/>
      <c r="IQ25" s="110" t="s">
        <v>218</v>
      </c>
      <c r="IR25" s="111">
        <f t="shared" ref="IR25" si="1131">-IS$25*IR$4*$A$2</f>
        <v>-744</v>
      </c>
      <c r="IS25" s="115">
        <v>0.02</v>
      </c>
      <c r="IT25" s="44"/>
      <c r="IU25" s="110" t="s">
        <v>218</v>
      </c>
      <c r="IV25" s="111">
        <f t="shared" ref="IV25" si="1132">-IW$25*IV$4*$A$2</f>
        <v>-744</v>
      </c>
      <c r="IW25" s="115">
        <v>0.02</v>
      </c>
      <c r="IX25" s="44"/>
      <c r="IY25" s="110" t="s">
        <v>218</v>
      </c>
      <c r="IZ25" s="111">
        <f t="shared" ref="IZ25" si="1133">-JA$25*IZ$4*$A$2</f>
        <v>-744</v>
      </c>
      <c r="JA25" s="115">
        <v>0.02</v>
      </c>
      <c r="JB25" s="44"/>
      <c r="JC25" s="110" t="s">
        <v>218</v>
      </c>
      <c r="JD25" s="111">
        <f t="shared" ref="JD25" si="1134">-JE$25*JD$4*$A$2</f>
        <v>-744</v>
      </c>
      <c r="JE25" s="115">
        <v>0.02</v>
      </c>
      <c r="JF25" s="44"/>
      <c r="JG25" s="110" t="s">
        <v>218</v>
      </c>
      <c r="JH25" s="111">
        <f t="shared" ref="JH25" si="1135">-JI$25*JH$4*$A$2</f>
        <v>-744</v>
      </c>
      <c r="JI25" s="115">
        <v>0.02</v>
      </c>
      <c r="JJ25" s="44"/>
      <c r="JK25" s="110" t="s">
        <v>218</v>
      </c>
      <c r="JL25" s="111">
        <f t="shared" ref="JL25" si="1136">-JM$25*JL$4*$A$2</f>
        <v>-806</v>
      </c>
      <c r="JM25" s="115">
        <v>0.02</v>
      </c>
      <c r="JN25" s="44"/>
      <c r="JO25" s="110" t="s">
        <v>218</v>
      </c>
      <c r="JP25" s="111">
        <f t="shared" ref="JP25" si="1137">-JQ$25*JP$4*$A$2</f>
        <v>-806</v>
      </c>
      <c r="JQ25" s="115">
        <v>0.02</v>
      </c>
      <c r="JR25" s="44"/>
      <c r="JS25" s="110" t="s">
        <v>218</v>
      </c>
      <c r="JT25" s="111">
        <f t="shared" ref="JT25" si="1138">-JU$25*JT$4*$A$2</f>
        <v>-806</v>
      </c>
      <c r="JU25" s="115">
        <v>0.02</v>
      </c>
      <c r="JV25" s="44"/>
      <c r="JW25" s="110" t="s">
        <v>218</v>
      </c>
      <c r="JX25" s="111">
        <f t="shared" ref="JX25" si="1139">-JY$25*JX$4*$A$2</f>
        <v>-806</v>
      </c>
      <c r="JY25" s="115">
        <v>0.02</v>
      </c>
      <c r="JZ25" s="44"/>
      <c r="KA25" s="110" t="s">
        <v>218</v>
      </c>
      <c r="KB25" s="111">
        <f t="shared" ref="KB25" si="1140">-KC$25*KB$4*$A$2</f>
        <v>-806</v>
      </c>
      <c r="KC25" s="115">
        <v>0.02</v>
      </c>
      <c r="KD25" s="44"/>
      <c r="KE25" s="110" t="s">
        <v>218</v>
      </c>
      <c r="KF25" s="111">
        <f t="shared" ref="KF25" si="1141">-KG$25*KF$4*$A$2</f>
        <v>-806</v>
      </c>
      <c r="KG25" s="115">
        <v>0.02</v>
      </c>
      <c r="KH25" s="44"/>
    </row>
    <row r="26" spans="1:294" x14ac:dyDescent="0.25">
      <c r="C26" s="110" t="s">
        <v>215</v>
      </c>
      <c r="D26" s="111">
        <f>-E$26*D$4*$A$2</f>
        <v>-1674</v>
      </c>
      <c r="E26" s="115">
        <v>0.18</v>
      </c>
      <c r="G26" s="110" t="s">
        <v>215</v>
      </c>
      <c r="H26" s="111">
        <f>-I$26*H$4*$A$2</f>
        <v>-1674</v>
      </c>
      <c r="I26" s="115">
        <v>0.18</v>
      </c>
      <c r="K26" s="110" t="s">
        <v>215</v>
      </c>
      <c r="L26" s="111">
        <f t="shared" ref="L26" si="1142">-M$26*L$4*$A$2</f>
        <v>-1674</v>
      </c>
      <c r="M26" s="115">
        <v>0.18</v>
      </c>
      <c r="N26" s="44"/>
      <c r="O26" s="110" t="s">
        <v>215</v>
      </c>
      <c r="P26" s="111">
        <f t="shared" ref="P26" si="1143">-Q$26*P$4*$A$2</f>
        <v>-1674</v>
      </c>
      <c r="Q26" s="115">
        <v>0.18</v>
      </c>
      <c r="R26" s="44"/>
      <c r="S26" s="110" t="s">
        <v>215</v>
      </c>
      <c r="T26" s="111">
        <f t="shared" ref="T26" si="1144">-U$26*T$4*$A$2</f>
        <v>-1674</v>
      </c>
      <c r="U26" s="115">
        <v>0.18</v>
      </c>
      <c r="V26" s="44"/>
      <c r="W26" s="110" t="s">
        <v>215</v>
      </c>
      <c r="X26" s="111">
        <f t="shared" ref="X26" si="1145">-Y$26*X$4*$A$2</f>
        <v>-1674</v>
      </c>
      <c r="Y26" s="115">
        <v>0.18</v>
      </c>
      <c r="Z26" s="44"/>
      <c r="AA26" s="110" t="s">
        <v>215</v>
      </c>
      <c r="AB26" s="111">
        <f t="shared" ref="AB26" si="1146">-AC$26*AB$4*$A$2</f>
        <v>-1674</v>
      </c>
      <c r="AC26" s="115">
        <v>0.18</v>
      </c>
      <c r="AD26" s="44"/>
      <c r="AE26" s="110" t="s">
        <v>215</v>
      </c>
      <c r="AF26" s="111">
        <f t="shared" ref="AF26" si="1147">-AG$26*AF$4*$A$2</f>
        <v>-2232</v>
      </c>
      <c r="AG26" s="115">
        <v>0.18</v>
      </c>
      <c r="AH26" s="44"/>
      <c r="AI26" s="110" t="s">
        <v>215</v>
      </c>
      <c r="AJ26" s="111">
        <f t="shared" ref="AJ26" si="1148">-AK$26*AJ$4*$A$2</f>
        <v>-2232</v>
      </c>
      <c r="AK26" s="115">
        <v>0.18</v>
      </c>
      <c r="AL26" s="44"/>
      <c r="AM26" s="110" t="s">
        <v>215</v>
      </c>
      <c r="AN26" s="111">
        <f t="shared" ref="AN26" si="1149">-AO$26*AN$4*$A$2</f>
        <v>-2232</v>
      </c>
      <c r="AO26" s="115">
        <v>0.18</v>
      </c>
      <c r="AP26" s="44"/>
      <c r="AQ26" s="110" t="s">
        <v>215</v>
      </c>
      <c r="AR26" s="111">
        <f t="shared" ref="AR26" si="1150">-AS$26*AR$4*$A$2</f>
        <v>-2232</v>
      </c>
      <c r="AS26" s="115">
        <v>0.18</v>
      </c>
      <c r="AT26" s="44"/>
      <c r="AU26" s="110" t="s">
        <v>215</v>
      </c>
      <c r="AV26" s="111">
        <f t="shared" ref="AV26" si="1151">-AW$26*AV$4*$A$2</f>
        <v>-2232</v>
      </c>
      <c r="AW26" s="115">
        <v>0.18</v>
      </c>
      <c r="AX26" s="44"/>
      <c r="AY26" s="110" t="s">
        <v>215</v>
      </c>
      <c r="AZ26" s="111">
        <f t="shared" ref="AZ26" si="1152">-BA$26*AZ$4*$A$2</f>
        <v>-2232</v>
      </c>
      <c r="BA26" s="115">
        <v>0.18</v>
      </c>
      <c r="BB26" s="44"/>
      <c r="BC26" s="110" t="s">
        <v>215</v>
      </c>
      <c r="BD26" s="111">
        <f t="shared" ref="BD26" si="1153">-BE$26*BD$4*$A$2</f>
        <v>-2232</v>
      </c>
      <c r="BE26" s="115">
        <v>0.18</v>
      </c>
      <c r="BF26" s="44"/>
      <c r="BG26" s="110" t="s">
        <v>215</v>
      </c>
      <c r="BH26" s="111">
        <f t="shared" ref="BH26" si="1154">-BI$26*BH$4*$A$2</f>
        <v>-2789.9999999999995</v>
      </c>
      <c r="BI26" s="115">
        <v>0.18</v>
      </c>
      <c r="BJ26" s="44"/>
      <c r="BK26" s="110" t="s">
        <v>215</v>
      </c>
      <c r="BL26" s="111">
        <f t="shared" ref="BL26" si="1155">-BM$26*BL$4*$A$2</f>
        <v>-2789.9999999999995</v>
      </c>
      <c r="BM26" s="115">
        <v>0.18</v>
      </c>
      <c r="BN26" s="44"/>
      <c r="BO26" s="110" t="s">
        <v>215</v>
      </c>
      <c r="BP26" s="111">
        <f t="shared" ref="BP26" si="1156">-BQ$26*BP$4*$A$2</f>
        <v>-2789.9999999999995</v>
      </c>
      <c r="BQ26" s="115">
        <v>0.18</v>
      </c>
      <c r="BR26" s="44"/>
      <c r="BS26" s="110" t="s">
        <v>215</v>
      </c>
      <c r="BT26" s="111">
        <f t="shared" ref="BT26" si="1157">-BU$26*BT$4*$A$2</f>
        <v>-2789.9999999999995</v>
      </c>
      <c r="BU26" s="115">
        <v>0.18</v>
      </c>
      <c r="BV26" s="44"/>
      <c r="BW26" s="110" t="s">
        <v>215</v>
      </c>
      <c r="BX26" s="111">
        <f t="shared" ref="BX26" si="1158">-BY$26*BX$4*$A$2</f>
        <v>-2789.9999999999995</v>
      </c>
      <c r="BY26" s="115">
        <v>0.18</v>
      </c>
      <c r="BZ26" s="44"/>
      <c r="CA26" s="110" t="s">
        <v>215</v>
      </c>
      <c r="CB26" s="111">
        <f t="shared" ref="CB26" si="1159">-CC$26*CB$4*$A$2</f>
        <v>-2789.9999999999995</v>
      </c>
      <c r="CC26" s="115">
        <v>0.18</v>
      </c>
      <c r="CD26" s="44"/>
      <c r="CE26" s="110" t="s">
        <v>215</v>
      </c>
      <c r="CF26" s="111">
        <f t="shared" ref="CF26" si="1160">-CG$26*CF$4*$A$2</f>
        <v>-3348</v>
      </c>
      <c r="CG26" s="115">
        <v>0.18</v>
      </c>
      <c r="CH26" s="44"/>
      <c r="CI26" s="110" t="s">
        <v>215</v>
      </c>
      <c r="CJ26" s="111">
        <f t="shared" ref="CJ26" si="1161">-CK$26*CJ$4*$A$2</f>
        <v>-3348</v>
      </c>
      <c r="CK26" s="115">
        <v>0.18</v>
      </c>
      <c r="CL26" s="44"/>
      <c r="CM26" s="110" t="s">
        <v>215</v>
      </c>
      <c r="CN26" s="111">
        <f t="shared" ref="CN26" si="1162">-CO$26*CN$4*$A$2</f>
        <v>-3348</v>
      </c>
      <c r="CO26" s="115">
        <v>0.18</v>
      </c>
      <c r="CP26" s="44"/>
      <c r="CQ26" s="110" t="s">
        <v>215</v>
      </c>
      <c r="CR26" s="111">
        <f t="shared" ref="CR26" si="1163">-CS$26*CR$4*$A$2</f>
        <v>-3348</v>
      </c>
      <c r="CS26" s="115">
        <v>0.18</v>
      </c>
      <c r="CT26" s="44"/>
      <c r="CU26" s="110" t="s">
        <v>215</v>
      </c>
      <c r="CV26" s="111">
        <f t="shared" ref="CV26" si="1164">-CW$26*CV$4*$A$2</f>
        <v>-3348</v>
      </c>
      <c r="CW26" s="115">
        <v>0.18</v>
      </c>
      <c r="CX26" s="44"/>
      <c r="CY26" s="110" t="s">
        <v>215</v>
      </c>
      <c r="CZ26" s="111">
        <f t="shared" ref="CZ26" si="1165">-DA$26*CZ$4*$A$2</f>
        <v>-3348</v>
      </c>
      <c r="DA26" s="115">
        <v>0.18</v>
      </c>
      <c r="DB26" s="44"/>
      <c r="DC26" s="110" t="s">
        <v>215</v>
      </c>
      <c r="DD26" s="111">
        <f t="shared" ref="DD26" si="1166">-DE$26*DD$4*$A$2</f>
        <v>-3348</v>
      </c>
      <c r="DE26" s="115">
        <v>0.18</v>
      </c>
      <c r="DF26" s="44"/>
      <c r="DG26" s="110" t="s">
        <v>215</v>
      </c>
      <c r="DH26" s="111">
        <f t="shared" ref="DH26" si="1167">-DI$26*DH$4*$A$2</f>
        <v>-3906</v>
      </c>
      <c r="DI26" s="115">
        <v>0.18</v>
      </c>
      <c r="DJ26" s="44"/>
      <c r="DK26" s="110" t="s">
        <v>215</v>
      </c>
      <c r="DL26" s="111">
        <f t="shared" ref="DL26" si="1168">-DM$26*DL$4*$A$2</f>
        <v>-3906</v>
      </c>
      <c r="DM26" s="115">
        <v>0.18</v>
      </c>
      <c r="DN26" s="44"/>
      <c r="DO26" s="110" t="s">
        <v>215</v>
      </c>
      <c r="DP26" s="111">
        <f t="shared" ref="DP26" si="1169">-DQ$26*DP$4*$A$2</f>
        <v>-3906</v>
      </c>
      <c r="DQ26" s="115">
        <v>0.18</v>
      </c>
      <c r="DR26" s="44"/>
      <c r="DS26" s="110" t="s">
        <v>215</v>
      </c>
      <c r="DT26" s="111">
        <f t="shared" ref="DT26" si="1170">-DU$26*DT$4*$A$2</f>
        <v>-3906</v>
      </c>
      <c r="DU26" s="115">
        <v>0.18</v>
      </c>
      <c r="DV26" s="44"/>
      <c r="DW26" s="110" t="s">
        <v>215</v>
      </c>
      <c r="DX26" s="111">
        <f t="shared" ref="DX26" si="1171">-DY$26*DX$4*$A$2</f>
        <v>-3906</v>
      </c>
      <c r="DY26" s="115">
        <v>0.18</v>
      </c>
      <c r="DZ26" s="44"/>
      <c r="EA26" s="110" t="s">
        <v>215</v>
      </c>
      <c r="EB26" s="111">
        <f t="shared" ref="EB26" si="1172">-EC$26*EB$4*$A$2</f>
        <v>-3906</v>
      </c>
      <c r="EC26" s="115">
        <v>0.18</v>
      </c>
      <c r="ED26" s="44"/>
      <c r="EE26" s="110" t="s">
        <v>215</v>
      </c>
      <c r="EF26" s="111">
        <f t="shared" ref="EF26" si="1173">-EG$26*EF$4*$A$2</f>
        <v>-3906</v>
      </c>
      <c r="EG26" s="115">
        <v>0.18</v>
      </c>
      <c r="EH26" s="44"/>
      <c r="EI26" s="110" t="s">
        <v>215</v>
      </c>
      <c r="EJ26" s="111">
        <f t="shared" ref="EJ26" si="1174">-EK$26*EJ$4*$A$2</f>
        <v>-4464</v>
      </c>
      <c r="EK26" s="115">
        <v>0.18</v>
      </c>
      <c r="EL26" s="44"/>
      <c r="EM26" s="110" t="s">
        <v>215</v>
      </c>
      <c r="EN26" s="111">
        <f t="shared" ref="EN26" si="1175">-EO$26*EN$4*$A$2</f>
        <v>-4464</v>
      </c>
      <c r="EO26" s="115">
        <v>0.18</v>
      </c>
      <c r="EP26" s="44"/>
      <c r="EQ26" s="110" t="s">
        <v>215</v>
      </c>
      <c r="ER26" s="111">
        <f t="shared" ref="ER26" si="1176">-ES$26*ER$4*$A$2</f>
        <v>-4464</v>
      </c>
      <c r="ES26" s="115">
        <v>0.18</v>
      </c>
      <c r="ET26" s="44"/>
      <c r="EU26" s="110" t="s">
        <v>215</v>
      </c>
      <c r="EV26" s="111">
        <f t="shared" ref="EV26" si="1177">-EW$26*EV$4*$A$2</f>
        <v>-4464</v>
      </c>
      <c r="EW26" s="115">
        <v>0.18</v>
      </c>
      <c r="EX26" s="44"/>
      <c r="EY26" s="110" t="s">
        <v>215</v>
      </c>
      <c r="EZ26" s="111">
        <f t="shared" ref="EZ26" si="1178">-FA$26*EZ$4*$A$2</f>
        <v>-4464</v>
      </c>
      <c r="FA26" s="115">
        <v>0.18</v>
      </c>
      <c r="FB26" s="44"/>
      <c r="FC26" s="110" t="s">
        <v>215</v>
      </c>
      <c r="FD26" s="111">
        <f t="shared" ref="FD26" si="1179">-FE$26*FD$4*$A$2</f>
        <v>-4464</v>
      </c>
      <c r="FE26" s="115">
        <v>0.18</v>
      </c>
      <c r="FF26" s="44"/>
      <c r="FG26" s="110" t="s">
        <v>215</v>
      </c>
      <c r="FH26" s="111">
        <f t="shared" ref="FH26" si="1180">-FI$26*FH$4*$A$2</f>
        <v>-5022</v>
      </c>
      <c r="FI26" s="115">
        <v>0.18</v>
      </c>
      <c r="FJ26" s="44"/>
      <c r="FK26" s="110" t="s">
        <v>215</v>
      </c>
      <c r="FL26" s="111">
        <f t="shared" ref="FL26" si="1181">-FM$26*FL$4*$A$2</f>
        <v>-5022</v>
      </c>
      <c r="FM26" s="115">
        <v>0.18</v>
      </c>
      <c r="FN26" s="44"/>
      <c r="FO26" s="110" t="s">
        <v>215</v>
      </c>
      <c r="FP26" s="111">
        <f t="shared" ref="FP26" si="1182">-FQ$26*FP$4*$A$2</f>
        <v>-5022</v>
      </c>
      <c r="FQ26" s="115">
        <v>0.18</v>
      </c>
      <c r="FR26" s="44"/>
      <c r="FS26" s="110" t="s">
        <v>215</v>
      </c>
      <c r="FT26" s="111">
        <f t="shared" ref="FT26" si="1183">-FU$26*FT$4*$A$2</f>
        <v>-5022</v>
      </c>
      <c r="FU26" s="115">
        <v>0.18</v>
      </c>
      <c r="FV26" s="44"/>
      <c r="FW26" s="110" t="s">
        <v>215</v>
      </c>
      <c r="FX26" s="111">
        <f t="shared" ref="FX26" si="1184">-FY$26*FX$4*$A$2</f>
        <v>-5022</v>
      </c>
      <c r="FY26" s="115">
        <v>0.18</v>
      </c>
      <c r="FZ26" s="44"/>
      <c r="GA26" s="110" t="s">
        <v>215</v>
      </c>
      <c r="GB26" s="111">
        <f t="shared" ref="GB26" si="1185">-GC$26*GB$4*$A$2</f>
        <v>-5022</v>
      </c>
      <c r="GC26" s="115">
        <v>0.18</v>
      </c>
      <c r="GD26" s="44"/>
      <c r="GE26" s="110" t="s">
        <v>215</v>
      </c>
      <c r="GF26" s="111">
        <f t="shared" ref="GF26" si="1186">-GG$26*GF$4*$A$2</f>
        <v>-5022</v>
      </c>
      <c r="GG26" s="115">
        <v>0.18</v>
      </c>
      <c r="GH26" s="44"/>
      <c r="GI26" s="110" t="s">
        <v>215</v>
      </c>
      <c r="GJ26" s="111">
        <f t="shared" ref="GJ26" si="1187">-GK$26*GJ$4*$A$2</f>
        <v>-5579.9999999999991</v>
      </c>
      <c r="GK26" s="115">
        <v>0.18</v>
      </c>
      <c r="GL26" s="44"/>
      <c r="GM26" s="110" t="s">
        <v>215</v>
      </c>
      <c r="GN26" s="111">
        <f t="shared" ref="GN26" si="1188">-GO$26*GN$4*$A$2</f>
        <v>-5579.9999999999991</v>
      </c>
      <c r="GO26" s="115">
        <v>0.18</v>
      </c>
      <c r="GP26" s="44"/>
      <c r="GQ26" s="110" t="s">
        <v>215</v>
      </c>
      <c r="GR26" s="111">
        <f t="shared" ref="GR26" si="1189">-GS$26*GR$4*$A$2</f>
        <v>-5579.9999999999991</v>
      </c>
      <c r="GS26" s="115">
        <v>0.18</v>
      </c>
      <c r="GT26" s="44"/>
      <c r="GU26" s="110" t="s">
        <v>215</v>
      </c>
      <c r="GV26" s="111">
        <f t="shared" ref="GV26" si="1190">-GW$26*GV$4*$A$2</f>
        <v>-5579.9999999999991</v>
      </c>
      <c r="GW26" s="115">
        <v>0.18</v>
      </c>
      <c r="GX26" s="44"/>
      <c r="GY26" s="110" t="s">
        <v>215</v>
      </c>
      <c r="GZ26" s="111">
        <f t="shared" ref="GZ26" si="1191">-HA$26*GZ$4*$A$2</f>
        <v>-5579.9999999999991</v>
      </c>
      <c r="HA26" s="115">
        <v>0.18</v>
      </c>
      <c r="HB26" s="44"/>
      <c r="HC26" s="110" t="s">
        <v>215</v>
      </c>
      <c r="HD26" s="111">
        <f t="shared" ref="HD26" si="1192">-HE$26*HD$4*$A$2</f>
        <v>-5579.9999999999991</v>
      </c>
      <c r="HE26" s="115">
        <v>0.18</v>
      </c>
      <c r="HF26" s="44"/>
      <c r="HG26" s="110" t="s">
        <v>215</v>
      </c>
      <c r="HH26" s="111">
        <f t="shared" ref="HH26" si="1193">-HI$26*HH$4*$A$2</f>
        <v>-5579.9999999999991</v>
      </c>
      <c r="HI26" s="115">
        <v>0.18</v>
      </c>
      <c r="HJ26" s="44"/>
      <c r="HK26" s="110" t="s">
        <v>215</v>
      </c>
      <c r="HL26" s="111">
        <f t="shared" ref="HL26" si="1194">-HM$26*HL$4*$A$2</f>
        <v>-6138</v>
      </c>
      <c r="HM26" s="115">
        <v>0.18</v>
      </c>
      <c r="HN26" s="44"/>
      <c r="HO26" s="110" t="s">
        <v>215</v>
      </c>
      <c r="HP26" s="111">
        <f t="shared" ref="HP26" si="1195">-HQ$26*HP$4*$A$2</f>
        <v>-6138</v>
      </c>
      <c r="HQ26" s="115">
        <v>0.18</v>
      </c>
      <c r="HR26" s="44"/>
      <c r="HS26" s="110" t="s">
        <v>215</v>
      </c>
      <c r="HT26" s="111">
        <f t="shared" ref="HT26" si="1196">-HU$26*HT$4*$A$2</f>
        <v>-6138</v>
      </c>
      <c r="HU26" s="115">
        <v>0.18</v>
      </c>
      <c r="HV26" s="44"/>
      <c r="HW26" s="110" t="s">
        <v>215</v>
      </c>
      <c r="HX26" s="111">
        <f t="shared" ref="HX26" si="1197">-HY$26*HX$4*$A$2</f>
        <v>-6138</v>
      </c>
      <c r="HY26" s="115">
        <v>0.18</v>
      </c>
      <c r="HZ26" s="44"/>
      <c r="IA26" s="110" t="s">
        <v>215</v>
      </c>
      <c r="IB26" s="111">
        <f t="shared" ref="IB26" si="1198">-IC$26*IB$4*$A$2</f>
        <v>-6138</v>
      </c>
      <c r="IC26" s="115">
        <v>0.18</v>
      </c>
      <c r="ID26" s="44"/>
      <c r="IE26" s="110" t="s">
        <v>215</v>
      </c>
      <c r="IF26" s="111">
        <f t="shared" ref="IF26" si="1199">-IG$26*IF$4*$A$2</f>
        <v>-6138</v>
      </c>
      <c r="IG26" s="115">
        <v>0.18</v>
      </c>
      <c r="IH26" s="44"/>
      <c r="II26" s="110" t="s">
        <v>215</v>
      </c>
      <c r="IJ26" s="111">
        <f t="shared" ref="IJ26" si="1200">-IK$26*IJ$4*$A$2</f>
        <v>-6696</v>
      </c>
      <c r="IK26" s="115">
        <v>0.18</v>
      </c>
      <c r="IL26" s="44"/>
      <c r="IM26" s="110" t="s">
        <v>215</v>
      </c>
      <c r="IN26" s="111">
        <f t="shared" ref="IN26" si="1201">-IO$26*IN$4*$A$2</f>
        <v>-6696</v>
      </c>
      <c r="IO26" s="115">
        <v>0.18</v>
      </c>
      <c r="IP26" s="44"/>
      <c r="IQ26" s="110" t="s">
        <v>215</v>
      </c>
      <c r="IR26" s="111">
        <f t="shared" ref="IR26" si="1202">-IS$26*IR$4*$A$2</f>
        <v>-6696</v>
      </c>
      <c r="IS26" s="115">
        <v>0.18</v>
      </c>
      <c r="IT26" s="44"/>
      <c r="IU26" s="110" t="s">
        <v>215</v>
      </c>
      <c r="IV26" s="111">
        <f t="shared" ref="IV26" si="1203">-IW$26*IV$4*$A$2</f>
        <v>-6696</v>
      </c>
      <c r="IW26" s="115">
        <v>0.18</v>
      </c>
      <c r="IX26" s="44"/>
      <c r="IY26" s="110" t="s">
        <v>215</v>
      </c>
      <c r="IZ26" s="111">
        <f t="shared" ref="IZ26" si="1204">-JA$26*IZ$4*$A$2</f>
        <v>-6696</v>
      </c>
      <c r="JA26" s="115">
        <v>0.18</v>
      </c>
      <c r="JB26" s="44"/>
      <c r="JC26" s="110" t="s">
        <v>215</v>
      </c>
      <c r="JD26" s="111">
        <f t="shared" ref="JD26" si="1205">-JE$26*JD$4*$A$2</f>
        <v>-6696</v>
      </c>
      <c r="JE26" s="115">
        <v>0.18</v>
      </c>
      <c r="JF26" s="44"/>
      <c r="JG26" s="110" t="s">
        <v>215</v>
      </c>
      <c r="JH26" s="111">
        <f t="shared" ref="JH26" si="1206">-JI$26*JH$4*$A$2</f>
        <v>-6696</v>
      </c>
      <c r="JI26" s="115">
        <v>0.18</v>
      </c>
      <c r="JJ26" s="44"/>
      <c r="JK26" s="110" t="s">
        <v>215</v>
      </c>
      <c r="JL26" s="111">
        <f t="shared" ref="JL26" si="1207">-JM$26*JL$4*$A$2</f>
        <v>-7254</v>
      </c>
      <c r="JM26" s="115">
        <v>0.18</v>
      </c>
      <c r="JN26" s="44"/>
      <c r="JO26" s="110" t="s">
        <v>215</v>
      </c>
      <c r="JP26" s="111">
        <f t="shared" ref="JP26" si="1208">-JQ$26*JP$4*$A$2</f>
        <v>-7254</v>
      </c>
      <c r="JQ26" s="115">
        <v>0.18</v>
      </c>
      <c r="JR26" s="44"/>
      <c r="JS26" s="110" t="s">
        <v>215</v>
      </c>
      <c r="JT26" s="111">
        <f t="shared" ref="JT26" si="1209">-JU$26*JT$4*$A$2</f>
        <v>-7254</v>
      </c>
      <c r="JU26" s="115">
        <v>0.18</v>
      </c>
      <c r="JV26" s="44"/>
      <c r="JW26" s="110" t="s">
        <v>215</v>
      </c>
      <c r="JX26" s="111">
        <f t="shared" ref="JX26" si="1210">-JY$26*JX$4*$A$2</f>
        <v>-7254</v>
      </c>
      <c r="JY26" s="115">
        <v>0.18</v>
      </c>
      <c r="JZ26" s="44"/>
      <c r="KA26" s="110" t="s">
        <v>215</v>
      </c>
      <c r="KB26" s="111">
        <f t="shared" ref="KB26" si="1211">-KC$26*KB$4*$A$2</f>
        <v>-7254</v>
      </c>
      <c r="KC26" s="115">
        <v>0.18</v>
      </c>
      <c r="KD26" s="44"/>
      <c r="KE26" s="110" t="s">
        <v>215</v>
      </c>
      <c r="KF26" s="111">
        <f t="shared" ref="KF26" si="1212">-KG$26*KF$4*$A$2</f>
        <v>-7254</v>
      </c>
      <c r="KG26" s="115">
        <v>0.18</v>
      </c>
      <c r="KH26" s="44"/>
    </row>
    <row r="27" spans="1:294" x14ac:dyDescent="0.25">
      <c r="C27" s="110" t="s">
        <v>217</v>
      </c>
      <c r="D27" s="111">
        <f>-E$27*60*D$4</f>
        <v>-154.80000000000001</v>
      </c>
      <c r="E27" s="116">
        <v>0.86</v>
      </c>
      <c r="G27" s="110" t="s">
        <v>217</v>
      </c>
      <c r="H27" s="111">
        <f>-I$27*60*H$4</f>
        <v>-154.80000000000001</v>
      </c>
      <c r="I27" s="116">
        <v>0.86</v>
      </c>
      <c r="K27" s="110" t="s">
        <v>217</v>
      </c>
      <c r="L27" s="111">
        <f t="shared" ref="L27" si="1213">-M$27*60*L$4</f>
        <v>-154.80000000000001</v>
      </c>
      <c r="M27" s="116">
        <v>0.86</v>
      </c>
      <c r="N27" s="44"/>
      <c r="O27" s="110" t="s">
        <v>217</v>
      </c>
      <c r="P27" s="111">
        <f t="shared" ref="P27" si="1214">-Q$27*60*P$4</f>
        <v>-154.80000000000001</v>
      </c>
      <c r="Q27" s="116">
        <v>0.86</v>
      </c>
      <c r="R27" s="44"/>
      <c r="S27" s="110" t="s">
        <v>217</v>
      </c>
      <c r="T27" s="111">
        <f t="shared" ref="T27" si="1215">-U$27*60*T$4</f>
        <v>-154.80000000000001</v>
      </c>
      <c r="U27" s="116">
        <v>0.86</v>
      </c>
      <c r="V27" s="44"/>
      <c r="W27" s="110" t="s">
        <v>217</v>
      </c>
      <c r="X27" s="111">
        <f t="shared" ref="X27" si="1216">-Y$27*60*X$4</f>
        <v>-154.80000000000001</v>
      </c>
      <c r="Y27" s="116">
        <v>0.86</v>
      </c>
      <c r="Z27" s="44"/>
      <c r="AA27" s="110" t="s">
        <v>217</v>
      </c>
      <c r="AB27" s="111">
        <f t="shared" ref="AB27" si="1217">-AC$27*60*AB$4</f>
        <v>-154.80000000000001</v>
      </c>
      <c r="AC27" s="116">
        <v>0.86</v>
      </c>
      <c r="AD27" s="44"/>
      <c r="AE27" s="110" t="s">
        <v>217</v>
      </c>
      <c r="AF27" s="111">
        <f t="shared" ref="AF27" si="1218">-AG$27*60*AF$4</f>
        <v>-206.4</v>
      </c>
      <c r="AG27" s="116">
        <v>0.86</v>
      </c>
      <c r="AH27" s="44"/>
      <c r="AI27" s="110" t="s">
        <v>217</v>
      </c>
      <c r="AJ27" s="111">
        <f t="shared" ref="AJ27" si="1219">-AK$27*60*AJ$4</f>
        <v>-206.4</v>
      </c>
      <c r="AK27" s="116">
        <v>0.86</v>
      </c>
      <c r="AL27" s="44"/>
      <c r="AM27" s="110" t="s">
        <v>217</v>
      </c>
      <c r="AN27" s="111">
        <f t="shared" ref="AN27" si="1220">-AO$27*60*AN$4</f>
        <v>-206.4</v>
      </c>
      <c r="AO27" s="116">
        <v>0.86</v>
      </c>
      <c r="AP27" s="44"/>
      <c r="AQ27" s="110" t="s">
        <v>217</v>
      </c>
      <c r="AR27" s="111">
        <f t="shared" ref="AR27" si="1221">-AS$27*60*AR$4</f>
        <v>-206.4</v>
      </c>
      <c r="AS27" s="116">
        <v>0.86</v>
      </c>
      <c r="AT27" s="44"/>
      <c r="AU27" s="110" t="s">
        <v>217</v>
      </c>
      <c r="AV27" s="111">
        <f t="shared" ref="AV27" si="1222">-AW$27*60*AV$4</f>
        <v>-206.4</v>
      </c>
      <c r="AW27" s="116">
        <v>0.86</v>
      </c>
      <c r="AX27" s="44"/>
      <c r="AY27" s="110" t="s">
        <v>217</v>
      </c>
      <c r="AZ27" s="111">
        <f t="shared" ref="AZ27" si="1223">-BA$27*60*AZ$4</f>
        <v>-206.4</v>
      </c>
      <c r="BA27" s="116">
        <v>0.86</v>
      </c>
      <c r="BB27" s="44"/>
      <c r="BC27" s="110" t="s">
        <v>217</v>
      </c>
      <c r="BD27" s="111">
        <f t="shared" ref="BD27" si="1224">-BE$27*60*BD$4</f>
        <v>-206.4</v>
      </c>
      <c r="BE27" s="116">
        <v>0.86</v>
      </c>
      <c r="BF27" s="44"/>
      <c r="BG27" s="110" t="s">
        <v>217</v>
      </c>
      <c r="BH27" s="111">
        <f t="shared" ref="BH27" si="1225">-BI$27*60*BH$4</f>
        <v>-258</v>
      </c>
      <c r="BI27" s="116">
        <v>0.86</v>
      </c>
      <c r="BJ27" s="44"/>
      <c r="BK27" s="110" t="s">
        <v>217</v>
      </c>
      <c r="BL27" s="111">
        <f t="shared" ref="BL27" si="1226">-BM$27*60*BL$4</f>
        <v>-258</v>
      </c>
      <c r="BM27" s="116">
        <v>0.86</v>
      </c>
      <c r="BN27" s="44"/>
      <c r="BO27" s="110" t="s">
        <v>217</v>
      </c>
      <c r="BP27" s="111">
        <f t="shared" ref="BP27" si="1227">-BQ$27*60*BP$4</f>
        <v>-258</v>
      </c>
      <c r="BQ27" s="116">
        <v>0.86</v>
      </c>
      <c r="BR27" s="44"/>
      <c r="BS27" s="110" t="s">
        <v>217</v>
      </c>
      <c r="BT27" s="111">
        <f t="shared" ref="BT27" si="1228">-BU$27*60*BT$4</f>
        <v>-258</v>
      </c>
      <c r="BU27" s="116">
        <v>0.86</v>
      </c>
      <c r="BV27" s="44"/>
      <c r="BW27" s="110" t="s">
        <v>217</v>
      </c>
      <c r="BX27" s="111">
        <f t="shared" ref="BX27" si="1229">-BY$27*60*BX$4</f>
        <v>-258</v>
      </c>
      <c r="BY27" s="116">
        <v>0.86</v>
      </c>
      <c r="BZ27" s="44"/>
      <c r="CA27" s="110" t="s">
        <v>217</v>
      </c>
      <c r="CB27" s="111">
        <f t="shared" ref="CB27" si="1230">-CC$27*60*CB$4</f>
        <v>-258</v>
      </c>
      <c r="CC27" s="116">
        <v>0.86</v>
      </c>
      <c r="CD27" s="44"/>
      <c r="CE27" s="110" t="s">
        <v>217</v>
      </c>
      <c r="CF27" s="111">
        <f t="shared" ref="CF27" si="1231">-CG$27*60*CF$4</f>
        <v>-309.60000000000002</v>
      </c>
      <c r="CG27" s="116">
        <v>0.86</v>
      </c>
      <c r="CH27" s="44"/>
      <c r="CI27" s="110" t="s">
        <v>217</v>
      </c>
      <c r="CJ27" s="111">
        <f t="shared" ref="CJ27" si="1232">-CK$27*60*CJ$4</f>
        <v>-309.60000000000002</v>
      </c>
      <c r="CK27" s="116">
        <v>0.86</v>
      </c>
      <c r="CL27" s="44"/>
      <c r="CM27" s="110" t="s">
        <v>217</v>
      </c>
      <c r="CN27" s="111">
        <f t="shared" ref="CN27" si="1233">-CO$27*60*CN$4</f>
        <v>-309.60000000000002</v>
      </c>
      <c r="CO27" s="116">
        <v>0.86</v>
      </c>
      <c r="CP27" s="44"/>
      <c r="CQ27" s="110" t="s">
        <v>217</v>
      </c>
      <c r="CR27" s="111">
        <f t="shared" ref="CR27" si="1234">-CS$27*60*CR$4</f>
        <v>-309.60000000000002</v>
      </c>
      <c r="CS27" s="116">
        <v>0.86</v>
      </c>
      <c r="CT27" s="44"/>
      <c r="CU27" s="110" t="s">
        <v>217</v>
      </c>
      <c r="CV27" s="111">
        <f t="shared" ref="CV27" si="1235">-CW$27*60*CV$4</f>
        <v>-309.60000000000002</v>
      </c>
      <c r="CW27" s="116">
        <v>0.86</v>
      </c>
      <c r="CX27" s="44"/>
      <c r="CY27" s="110" t="s">
        <v>217</v>
      </c>
      <c r="CZ27" s="111">
        <f t="shared" ref="CZ27" si="1236">-DA$27*60*CZ$4</f>
        <v>-309.60000000000002</v>
      </c>
      <c r="DA27" s="116">
        <v>0.86</v>
      </c>
      <c r="DB27" s="44"/>
      <c r="DC27" s="110" t="s">
        <v>217</v>
      </c>
      <c r="DD27" s="111">
        <f t="shared" ref="DD27" si="1237">-DE$27*60*DD$4</f>
        <v>-309.60000000000002</v>
      </c>
      <c r="DE27" s="116">
        <v>0.86</v>
      </c>
      <c r="DF27" s="44"/>
      <c r="DG27" s="110" t="s">
        <v>217</v>
      </c>
      <c r="DH27" s="111">
        <f t="shared" ref="DH27" si="1238">-DI$27*60*DH$4</f>
        <v>-361.2</v>
      </c>
      <c r="DI27" s="116">
        <v>0.86</v>
      </c>
      <c r="DJ27" s="44"/>
      <c r="DK27" s="110" t="s">
        <v>217</v>
      </c>
      <c r="DL27" s="111">
        <f t="shared" ref="DL27" si="1239">-DM$27*60*DL$4</f>
        <v>-361.2</v>
      </c>
      <c r="DM27" s="116">
        <v>0.86</v>
      </c>
      <c r="DN27" s="44"/>
      <c r="DO27" s="110" t="s">
        <v>217</v>
      </c>
      <c r="DP27" s="111">
        <f t="shared" ref="DP27" si="1240">-DQ$27*60*DP$4</f>
        <v>-361.2</v>
      </c>
      <c r="DQ27" s="116">
        <v>0.86</v>
      </c>
      <c r="DR27" s="44"/>
      <c r="DS27" s="110" t="s">
        <v>217</v>
      </c>
      <c r="DT27" s="111">
        <f t="shared" ref="DT27" si="1241">-DU$27*60*DT$4</f>
        <v>-361.2</v>
      </c>
      <c r="DU27" s="116">
        <v>0.86</v>
      </c>
      <c r="DV27" s="44"/>
      <c r="DW27" s="110" t="s">
        <v>217</v>
      </c>
      <c r="DX27" s="111">
        <f t="shared" ref="DX27" si="1242">-DY$27*60*DX$4</f>
        <v>-361.2</v>
      </c>
      <c r="DY27" s="116">
        <v>0.86</v>
      </c>
      <c r="DZ27" s="44"/>
      <c r="EA27" s="110" t="s">
        <v>217</v>
      </c>
      <c r="EB27" s="111">
        <f t="shared" ref="EB27" si="1243">-EC$27*60*EB$4</f>
        <v>-361.2</v>
      </c>
      <c r="EC27" s="116">
        <v>0.86</v>
      </c>
      <c r="ED27" s="44"/>
      <c r="EE27" s="110" t="s">
        <v>217</v>
      </c>
      <c r="EF27" s="111">
        <f t="shared" ref="EF27" si="1244">-EG$27*60*EF$4</f>
        <v>-361.2</v>
      </c>
      <c r="EG27" s="116">
        <v>0.86</v>
      </c>
      <c r="EH27" s="44"/>
      <c r="EI27" s="110" t="s">
        <v>217</v>
      </c>
      <c r="EJ27" s="111">
        <f t="shared" ref="EJ27" si="1245">-EK$27*60*EJ$4</f>
        <v>-412.8</v>
      </c>
      <c r="EK27" s="116">
        <v>0.86</v>
      </c>
      <c r="EL27" s="44"/>
      <c r="EM27" s="110" t="s">
        <v>217</v>
      </c>
      <c r="EN27" s="111">
        <f t="shared" ref="EN27" si="1246">-EO$27*60*EN$4</f>
        <v>-412.8</v>
      </c>
      <c r="EO27" s="116">
        <v>0.86</v>
      </c>
      <c r="EP27" s="44"/>
      <c r="EQ27" s="110" t="s">
        <v>217</v>
      </c>
      <c r="ER27" s="111">
        <f t="shared" ref="ER27" si="1247">-ES$27*60*ER$4</f>
        <v>-412.8</v>
      </c>
      <c r="ES27" s="116">
        <v>0.86</v>
      </c>
      <c r="ET27" s="44"/>
      <c r="EU27" s="110" t="s">
        <v>217</v>
      </c>
      <c r="EV27" s="111">
        <f t="shared" ref="EV27" si="1248">-EW$27*60*EV$4</f>
        <v>-412.8</v>
      </c>
      <c r="EW27" s="116">
        <v>0.86</v>
      </c>
      <c r="EX27" s="44"/>
      <c r="EY27" s="110" t="s">
        <v>217</v>
      </c>
      <c r="EZ27" s="111">
        <f t="shared" ref="EZ27" si="1249">-FA$27*60*EZ$4</f>
        <v>-412.8</v>
      </c>
      <c r="FA27" s="116">
        <v>0.86</v>
      </c>
      <c r="FB27" s="44"/>
      <c r="FC27" s="110" t="s">
        <v>217</v>
      </c>
      <c r="FD27" s="111">
        <f t="shared" ref="FD27" si="1250">-FE$27*60*FD$4</f>
        <v>-412.8</v>
      </c>
      <c r="FE27" s="116">
        <v>0.86</v>
      </c>
      <c r="FF27" s="44"/>
      <c r="FG27" s="110" t="s">
        <v>217</v>
      </c>
      <c r="FH27" s="111">
        <f t="shared" ref="FH27" si="1251">-FI$27*60*FH$4</f>
        <v>-464.40000000000003</v>
      </c>
      <c r="FI27" s="116">
        <v>0.86</v>
      </c>
      <c r="FJ27" s="44"/>
      <c r="FK27" s="110" t="s">
        <v>217</v>
      </c>
      <c r="FL27" s="111">
        <f t="shared" ref="FL27" si="1252">-FM$27*60*FL$4</f>
        <v>-464.40000000000003</v>
      </c>
      <c r="FM27" s="116">
        <v>0.86</v>
      </c>
      <c r="FN27" s="44"/>
      <c r="FO27" s="110" t="s">
        <v>217</v>
      </c>
      <c r="FP27" s="111">
        <f t="shared" ref="FP27" si="1253">-FQ$27*60*FP$4</f>
        <v>-464.40000000000003</v>
      </c>
      <c r="FQ27" s="116">
        <v>0.86</v>
      </c>
      <c r="FR27" s="44"/>
      <c r="FS27" s="110" t="s">
        <v>217</v>
      </c>
      <c r="FT27" s="111">
        <f t="shared" ref="FT27" si="1254">-FU$27*60*FT$4</f>
        <v>-464.40000000000003</v>
      </c>
      <c r="FU27" s="116">
        <v>0.86</v>
      </c>
      <c r="FV27" s="44"/>
      <c r="FW27" s="110" t="s">
        <v>217</v>
      </c>
      <c r="FX27" s="111">
        <f t="shared" ref="FX27" si="1255">-FY$27*60*FX$4</f>
        <v>-464.40000000000003</v>
      </c>
      <c r="FY27" s="116">
        <v>0.86</v>
      </c>
      <c r="FZ27" s="44"/>
      <c r="GA27" s="110" t="s">
        <v>217</v>
      </c>
      <c r="GB27" s="111">
        <f t="shared" ref="GB27" si="1256">-GC$27*60*GB$4</f>
        <v>-464.40000000000003</v>
      </c>
      <c r="GC27" s="116">
        <v>0.86</v>
      </c>
      <c r="GD27" s="44"/>
      <c r="GE27" s="110" t="s">
        <v>217</v>
      </c>
      <c r="GF27" s="111">
        <f t="shared" ref="GF27" si="1257">-GG$27*60*GF$4</f>
        <v>-464.40000000000003</v>
      </c>
      <c r="GG27" s="116">
        <v>0.86</v>
      </c>
      <c r="GH27" s="44"/>
      <c r="GI27" s="110" t="s">
        <v>217</v>
      </c>
      <c r="GJ27" s="111">
        <f t="shared" ref="GJ27" si="1258">-GK$27*60*GJ$4</f>
        <v>-516</v>
      </c>
      <c r="GK27" s="116">
        <v>0.86</v>
      </c>
      <c r="GL27" s="44"/>
      <c r="GM27" s="110" t="s">
        <v>217</v>
      </c>
      <c r="GN27" s="111">
        <f t="shared" ref="GN27" si="1259">-GO$27*60*GN$4</f>
        <v>-516</v>
      </c>
      <c r="GO27" s="116">
        <v>0.86</v>
      </c>
      <c r="GP27" s="44"/>
      <c r="GQ27" s="110" t="s">
        <v>217</v>
      </c>
      <c r="GR27" s="111">
        <f t="shared" ref="GR27" si="1260">-GS$27*60*GR$4</f>
        <v>-516</v>
      </c>
      <c r="GS27" s="116">
        <v>0.86</v>
      </c>
      <c r="GT27" s="44"/>
      <c r="GU27" s="110" t="s">
        <v>217</v>
      </c>
      <c r="GV27" s="111">
        <f t="shared" ref="GV27" si="1261">-GW$27*60*GV$4</f>
        <v>-516</v>
      </c>
      <c r="GW27" s="116">
        <v>0.86</v>
      </c>
      <c r="GX27" s="44"/>
      <c r="GY27" s="110" t="s">
        <v>217</v>
      </c>
      <c r="GZ27" s="111">
        <f t="shared" ref="GZ27" si="1262">-HA$27*60*GZ$4</f>
        <v>-516</v>
      </c>
      <c r="HA27" s="116">
        <v>0.86</v>
      </c>
      <c r="HB27" s="44"/>
      <c r="HC27" s="110" t="s">
        <v>217</v>
      </c>
      <c r="HD27" s="111">
        <f t="shared" ref="HD27" si="1263">-HE$27*60*HD$4</f>
        <v>-516</v>
      </c>
      <c r="HE27" s="116">
        <v>0.86</v>
      </c>
      <c r="HF27" s="44"/>
      <c r="HG27" s="110" t="s">
        <v>217</v>
      </c>
      <c r="HH27" s="111">
        <f t="shared" ref="HH27" si="1264">-HI$27*60*HH$4</f>
        <v>-516</v>
      </c>
      <c r="HI27" s="116">
        <v>0.86</v>
      </c>
      <c r="HJ27" s="44"/>
      <c r="HK27" s="110" t="s">
        <v>217</v>
      </c>
      <c r="HL27" s="111">
        <f t="shared" ref="HL27" si="1265">-HM$27*60*HL$4</f>
        <v>-567.6</v>
      </c>
      <c r="HM27" s="116">
        <v>0.86</v>
      </c>
      <c r="HN27" s="44"/>
      <c r="HO27" s="110" t="s">
        <v>217</v>
      </c>
      <c r="HP27" s="111">
        <f t="shared" ref="HP27" si="1266">-HQ$27*60*HP$4</f>
        <v>-567.6</v>
      </c>
      <c r="HQ27" s="116">
        <v>0.86</v>
      </c>
      <c r="HR27" s="44"/>
      <c r="HS27" s="110" t="s">
        <v>217</v>
      </c>
      <c r="HT27" s="111">
        <f t="shared" ref="HT27" si="1267">-HU$27*60*HT$4</f>
        <v>-567.6</v>
      </c>
      <c r="HU27" s="116">
        <v>0.86</v>
      </c>
      <c r="HV27" s="44"/>
      <c r="HW27" s="110" t="s">
        <v>217</v>
      </c>
      <c r="HX27" s="111">
        <f t="shared" ref="HX27" si="1268">-HY$27*60*HX$4</f>
        <v>-567.6</v>
      </c>
      <c r="HY27" s="116">
        <v>0.86</v>
      </c>
      <c r="HZ27" s="44"/>
      <c r="IA27" s="110" t="s">
        <v>217</v>
      </c>
      <c r="IB27" s="111">
        <f t="shared" ref="IB27" si="1269">-IC$27*60*IB$4</f>
        <v>-567.6</v>
      </c>
      <c r="IC27" s="116">
        <v>0.86</v>
      </c>
      <c r="ID27" s="44"/>
      <c r="IE27" s="110" t="s">
        <v>217</v>
      </c>
      <c r="IF27" s="111">
        <f t="shared" ref="IF27" si="1270">-IG$27*60*IF$4</f>
        <v>-567.6</v>
      </c>
      <c r="IG27" s="116">
        <v>0.86</v>
      </c>
      <c r="IH27" s="44"/>
      <c r="II27" s="110" t="s">
        <v>217</v>
      </c>
      <c r="IJ27" s="111">
        <f t="shared" ref="IJ27" si="1271">-IK$27*60*IJ$4</f>
        <v>-619.20000000000005</v>
      </c>
      <c r="IK27" s="116">
        <v>0.86</v>
      </c>
      <c r="IL27" s="44"/>
      <c r="IM27" s="110" t="s">
        <v>217</v>
      </c>
      <c r="IN27" s="111">
        <f t="shared" ref="IN27" si="1272">-IO$27*60*IN$4</f>
        <v>-619.20000000000005</v>
      </c>
      <c r="IO27" s="116">
        <v>0.86</v>
      </c>
      <c r="IP27" s="44"/>
      <c r="IQ27" s="110" t="s">
        <v>217</v>
      </c>
      <c r="IR27" s="111">
        <f t="shared" ref="IR27" si="1273">-IS$27*60*IR$4</f>
        <v>-619.20000000000005</v>
      </c>
      <c r="IS27" s="116">
        <v>0.86</v>
      </c>
      <c r="IT27" s="44"/>
      <c r="IU27" s="110" t="s">
        <v>217</v>
      </c>
      <c r="IV27" s="111">
        <f t="shared" ref="IV27" si="1274">-IW$27*60*IV$4</f>
        <v>-619.20000000000005</v>
      </c>
      <c r="IW27" s="116">
        <v>0.86</v>
      </c>
      <c r="IX27" s="44"/>
      <c r="IY27" s="110" t="s">
        <v>217</v>
      </c>
      <c r="IZ27" s="111">
        <f t="shared" ref="IZ27" si="1275">-JA$27*60*IZ$4</f>
        <v>-619.20000000000005</v>
      </c>
      <c r="JA27" s="116">
        <v>0.86</v>
      </c>
      <c r="JB27" s="44"/>
      <c r="JC27" s="110" t="s">
        <v>217</v>
      </c>
      <c r="JD27" s="111">
        <f t="shared" ref="JD27" si="1276">-JE$27*60*JD$4</f>
        <v>-619.20000000000005</v>
      </c>
      <c r="JE27" s="116">
        <v>0.86</v>
      </c>
      <c r="JF27" s="44"/>
      <c r="JG27" s="110" t="s">
        <v>217</v>
      </c>
      <c r="JH27" s="111">
        <f t="shared" ref="JH27" si="1277">-JI$27*60*JH$4</f>
        <v>-619.20000000000005</v>
      </c>
      <c r="JI27" s="116">
        <v>0.86</v>
      </c>
      <c r="JJ27" s="44"/>
      <c r="JK27" s="110" t="s">
        <v>217</v>
      </c>
      <c r="JL27" s="111">
        <f t="shared" ref="JL27" si="1278">-JM$27*60*JL$4</f>
        <v>-670.80000000000007</v>
      </c>
      <c r="JM27" s="116">
        <v>0.86</v>
      </c>
      <c r="JN27" s="44"/>
      <c r="JO27" s="110" t="s">
        <v>217</v>
      </c>
      <c r="JP27" s="111">
        <f t="shared" ref="JP27" si="1279">-JQ$27*60*JP$4</f>
        <v>-670.80000000000007</v>
      </c>
      <c r="JQ27" s="116">
        <v>0.86</v>
      </c>
      <c r="JR27" s="44"/>
      <c r="JS27" s="110" t="s">
        <v>217</v>
      </c>
      <c r="JT27" s="111">
        <f t="shared" ref="JT27" si="1280">-JU$27*60*JT$4</f>
        <v>-670.80000000000007</v>
      </c>
      <c r="JU27" s="116">
        <v>0.86</v>
      </c>
      <c r="JV27" s="44"/>
      <c r="JW27" s="110" t="s">
        <v>217</v>
      </c>
      <c r="JX27" s="111">
        <f t="shared" ref="JX27" si="1281">-JY$27*60*JX$4</f>
        <v>-670.80000000000007</v>
      </c>
      <c r="JY27" s="116">
        <v>0.86</v>
      </c>
      <c r="JZ27" s="44"/>
      <c r="KA27" s="110" t="s">
        <v>217</v>
      </c>
      <c r="KB27" s="111">
        <f t="shared" ref="KB27" si="1282">-KC$27*60*KB$4</f>
        <v>-670.80000000000007</v>
      </c>
      <c r="KC27" s="116">
        <v>0.86</v>
      </c>
      <c r="KD27" s="44"/>
      <c r="KE27" s="110" t="s">
        <v>217</v>
      </c>
      <c r="KF27" s="111">
        <f t="shared" ref="KF27" si="1283">-KG$27*60*KF$4</f>
        <v>-670.80000000000007</v>
      </c>
      <c r="KG27" s="116">
        <v>0.86</v>
      </c>
      <c r="KH27" s="44"/>
    </row>
    <row r="28" spans="1:294" x14ac:dyDescent="0.25">
      <c r="C28" s="110" t="s">
        <v>219</v>
      </c>
      <c r="D28" s="111">
        <f>-E$28*D$3</f>
        <v>-4032.0000000000005</v>
      </c>
      <c r="E28" s="114">
        <v>0.14000000000000001</v>
      </c>
      <c r="G28" s="110" t="s">
        <v>219</v>
      </c>
      <c r="H28" s="111">
        <f>-I$28*H$3</f>
        <v>-4032.0000000000005</v>
      </c>
      <c r="I28" s="114">
        <v>0.14000000000000001</v>
      </c>
      <c r="K28" s="110" t="s">
        <v>219</v>
      </c>
      <c r="L28" s="111">
        <f t="shared" ref="L28" si="1284">-M$28*L$3</f>
        <v>-4032.0000000000005</v>
      </c>
      <c r="M28" s="114">
        <v>0.14000000000000001</v>
      </c>
      <c r="N28" s="44"/>
      <c r="O28" s="110" t="s">
        <v>219</v>
      </c>
      <c r="P28" s="111">
        <f t="shared" ref="P28" si="1285">-Q$28*P$3</f>
        <v>-4032.0000000000005</v>
      </c>
      <c r="Q28" s="114">
        <v>0.14000000000000001</v>
      </c>
      <c r="R28" s="44"/>
      <c r="S28" s="110" t="s">
        <v>219</v>
      </c>
      <c r="T28" s="111">
        <f t="shared" ref="T28" si="1286">-U$28*T$3</f>
        <v>-4032.0000000000005</v>
      </c>
      <c r="U28" s="114">
        <v>0.14000000000000001</v>
      </c>
      <c r="V28" s="44"/>
      <c r="W28" s="110" t="s">
        <v>219</v>
      </c>
      <c r="X28" s="111">
        <f t="shared" ref="X28" si="1287">-Y$28*X$3</f>
        <v>-4032.0000000000005</v>
      </c>
      <c r="Y28" s="114">
        <v>0.14000000000000001</v>
      </c>
      <c r="Z28" s="44"/>
      <c r="AA28" s="110" t="s">
        <v>219</v>
      </c>
      <c r="AB28" s="111">
        <f t="shared" ref="AB28" si="1288">-AC$28*AB$3</f>
        <v>-4032.0000000000005</v>
      </c>
      <c r="AC28" s="114">
        <v>0.14000000000000001</v>
      </c>
      <c r="AD28" s="44"/>
      <c r="AE28" s="110" t="s">
        <v>219</v>
      </c>
      <c r="AF28" s="111">
        <f t="shared" ref="AF28" si="1289">-AG$28*AF$3</f>
        <v>-5376.0000000000009</v>
      </c>
      <c r="AG28" s="114">
        <v>0.14000000000000001</v>
      </c>
      <c r="AH28" s="44"/>
      <c r="AI28" s="110" t="s">
        <v>219</v>
      </c>
      <c r="AJ28" s="111">
        <f t="shared" ref="AJ28" si="1290">-AK$28*AJ$3</f>
        <v>-5376.0000000000009</v>
      </c>
      <c r="AK28" s="114">
        <v>0.14000000000000001</v>
      </c>
      <c r="AL28" s="44"/>
      <c r="AM28" s="110" t="s">
        <v>219</v>
      </c>
      <c r="AN28" s="111">
        <f t="shared" ref="AN28" si="1291">-AO$28*AN$3</f>
        <v>-5376.0000000000009</v>
      </c>
      <c r="AO28" s="114">
        <v>0.14000000000000001</v>
      </c>
      <c r="AP28" s="44"/>
      <c r="AQ28" s="110" t="s">
        <v>219</v>
      </c>
      <c r="AR28" s="111">
        <f t="shared" ref="AR28" si="1292">-AS$28*AR$3</f>
        <v>-5376.0000000000009</v>
      </c>
      <c r="AS28" s="114">
        <v>0.14000000000000001</v>
      </c>
      <c r="AT28" s="44"/>
      <c r="AU28" s="110" t="s">
        <v>219</v>
      </c>
      <c r="AV28" s="111">
        <f t="shared" ref="AV28" si="1293">-AW$28*AV$3</f>
        <v>-5376.0000000000009</v>
      </c>
      <c r="AW28" s="114">
        <v>0.14000000000000001</v>
      </c>
      <c r="AX28" s="44"/>
      <c r="AY28" s="110" t="s">
        <v>219</v>
      </c>
      <c r="AZ28" s="111">
        <f t="shared" ref="AZ28" si="1294">-BA$28*AZ$3</f>
        <v>-5376.0000000000009</v>
      </c>
      <c r="BA28" s="114">
        <v>0.14000000000000001</v>
      </c>
      <c r="BB28" s="44"/>
      <c r="BC28" s="110" t="s">
        <v>219</v>
      </c>
      <c r="BD28" s="111">
        <f t="shared" ref="BD28" si="1295">-BE$28*BD$3</f>
        <v>-5376.0000000000009</v>
      </c>
      <c r="BE28" s="114">
        <v>0.14000000000000001</v>
      </c>
      <c r="BF28" s="44"/>
      <c r="BG28" s="110" t="s">
        <v>219</v>
      </c>
      <c r="BH28" s="111">
        <f t="shared" ref="BH28" si="1296">-BI$28*BH$3</f>
        <v>-6720.0000000000009</v>
      </c>
      <c r="BI28" s="114">
        <v>0.14000000000000001</v>
      </c>
      <c r="BJ28" s="44"/>
      <c r="BK28" s="110" t="s">
        <v>219</v>
      </c>
      <c r="BL28" s="111">
        <f t="shared" ref="BL28" si="1297">-BM$28*BL$3</f>
        <v>-6720.0000000000009</v>
      </c>
      <c r="BM28" s="114">
        <v>0.14000000000000001</v>
      </c>
      <c r="BN28" s="44"/>
      <c r="BO28" s="110" t="s">
        <v>219</v>
      </c>
      <c r="BP28" s="111">
        <f t="shared" ref="BP28" si="1298">-BQ$28*BP$3</f>
        <v>-6720.0000000000009</v>
      </c>
      <c r="BQ28" s="114">
        <v>0.14000000000000001</v>
      </c>
      <c r="BR28" s="44"/>
      <c r="BS28" s="110" t="s">
        <v>219</v>
      </c>
      <c r="BT28" s="111">
        <f t="shared" ref="BT28" si="1299">-BU$28*BT$3</f>
        <v>-6720.0000000000009</v>
      </c>
      <c r="BU28" s="114">
        <v>0.14000000000000001</v>
      </c>
      <c r="BV28" s="44"/>
      <c r="BW28" s="110" t="s">
        <v>219</v>
      </c>
      <c r="BX28" s="111">
        <f t="shared" ref="BX28" si="1300">-BY$28*BX$3</f>
        <v>-6720.0000000000009</v>
      </c>
      <c r="BY28" s="114">
        <v>0.14000000000000001</v>
      </c>
      <c r="BZ28" s="44"/>
      <c r="CA28" s="110" t="s">
        <v>219</v>
      </c>
      <c r="CB28" s="111">
        <f t="shared" ref="CB28" si="1301">-CC$28*CB$3</f>
        <v>-6720.0000000000009</v>
      </c>
      <c r="CC28" s="114">
        <v>0.14000000000000001</v>
      </c>
      <c r="CD28" s="44"/>
      <c r="CE28" s="110" t="s">
        <v>219</v>
      </c>
      <c r="CF28" s="111">
        <f t="shared" ref="CF28" si="1302">-CG$28*CF$3</f>
        <v>-8064.0000000000009</v>
      </c>
      <c r="CG28" s="114">
        <v>0.14000000000000001</v>
      </c>
      <c r="CH28" s="44"/>
      <c r="CI28" s="110" t="s">
        <v>219</v>
      </c>
      <c r="CJ28" s="111">
        <f t="shared" ref="CJ28" si="1303">-CK$28*CJ$3</f>
        <v>-8064.0000000000009</v>
      </c>
      <c r="CK28" s="114">
        <v>0.14000000000000001</v>
      </c>
      <c r="CL28" s="44"/>
      <c r="CM28" s="110" t="s">
        <v>219</v>
      </c>
      <c r="CN28" s="111">
        <f t="shared" ref="CN28" si="1304">-CO$28*CN$3</f>
        <v>-8064.0000000000009</v>
      </c>
      <c r="CO28" s="114">
        <v>0.14000000000000001</v>
      </c>
      <c r="CP28" s="44"/>
      <c r="CQ28" s="110" t="s">
        <v>219</v>
      </c>
      <c r="CR28" s="111">
        <f t="shared" ref="CR28" si="1305">-CS$28*CR$3</f>
        <v>-8064.0000000000009</v>
      </c>
      <c r="CS28" s="114">
        <v>0.14000000000000001</v>
      </c>
      <c r="CT28" s="44"/>
      <c r="CU28" s="110" t="s">
        <v>219</v>
      </c>
      <c r="CV28" s="111">
        <f t="shared" ref="CV28" si="1306">-CW$28*CV$3</f>
        <v>-8064.0000000000009</v>
      </c>
      <c r="CW28" s="114">
        <v>0.14000000000000001</v>
      </c>
      <c r="CX28" s="44"/>
      <c r="CY28" s="110" t="s">
        <v>219</v>
      </c>
      <c r="CZ28" s="111">
        <f t="shared" ref="CZ28" si="1307">-DA$28*CZ$3</f>
        <v>-8064.0000000000009</v>
      </c>
      <c r="DA28" s="114">
        <v>0.14000000000000001</v>
      </c>
      <c r="DB28" s="44"/>
      <c r="DC28" s="110" t="s">
        <v>219</v>
      </c>
      <c r="DD28" s="111">
        <f t="shared" ref="DD28" si="1308">-DE$28*DD$3</f>
        <v>-8064.0000000000009</v>
      </c>
      <c r="DE28" s="114">
        <v>0.14000000000000001</v>
      </c>
      <c r="DF28" s="44"/>
      <c r="DG28" s="110" t="s">
        <v>219</v>
      </c>
      <c r="DH28" s="111">
        <f t="shared" ref="DH28" si="1309">-DI$28*DH$3</f>
        <v>-9408</v>
      </c>
      <c r="DI28" s="114">
        <v>0.14000000000000001</v>
      </c>
      <c r="DJ28" s="44"/>
      <c r="DK28" s="110" t="s">
        <v>219</v>
      </c>
      <c r="DL28" s="111">
        <f t="shared" ref="DL28" si="1310">-DM$28*DL$3</f>
        <v>-9408</v>
      </c>
      <c r="DM28" s="114">
        <v>0.14000000000000001</v>
      </c>
      <c r="DN28" s="44"/>
      <c r="DO28" s="110" t="s">
        <v>219</v>
      </c>
      <c r="DP28" s="111">
        <f t="shared" ref="DP28" si="1311">-DQ$28*DP$3</f>
        <v>-9408</v>
      </c>
      <c r="DQ28" s="114">
        <v>0.14000000000000001</v>
      </c>
      <c r="DR28" s="44"/>
      <c r="DS28" s="110" t="s">
        <v>219</v>
      </c>
      <c r="DT28" s="111">
        <f t="shared" ref="DT28" si="1312">-DU$28*DT$3</f>
        <v>-9408</v>
      </c>
      <c r="DU28" s="114">
        <v>0.14000000000000001</v>
      </c>
      <c r="DV28" s="44"/>
      <c r="DW28" s="110" t="s">
        <v>219</v>
      </c>
      <c r="DX28" s="111">
        <f t="shared" ref="DX28" si="1313">-DY$28*DX$3</f>
        <v>-9408</v>
      </c>
      <c r="DY28" s="114">
        <v>0.14000000000000001</v>
      </c>
      <c r="DZ28" s="44"/>
      <c r="EA28" s="110" t="s">
        <v>219</v>
      </c>
      <c r="EB28" s="111">
        <f t="shared" ref="EB28" si="1314">-EC$28*EB$3</f>
        <v>-9408</v>
      </c>
      <c r="EC28" s="114">
        <v>0.14000000000000001</v>
      </c>
      <c r="ED28" s="44"/>
      <c r="EE28" s="110" t="s">
        <v>219</v>
      </c>
      <c r="EF28" s="111">
        <f t="shared" ref="EF28" si="1315">-EG$28*EF$3</f>
        <v>-9408</v>
      </c>
      <c r="EG28" s="114">
        <v>0.14000000000000001</v>
      </c>
      <c r="EH28" s="44"/>
      <c r="EI28" s="110" t="s">
        <v>219</v>
      </c>
      <c r="EJ28" s="111">
        <f t="shared" ref="EJ28" si="1316">-EK$28*EJ$3</f>
        <v>-10752.000000000002</v>
      </c>
      <c r="EK28" s="114">
        <v>0.14000000000000001</v>
      </c>
      <c r="EL28" s="44"/>
      <c r="EM28" s="110" t="s">
        <v>219</v>
      </c>
      <c r="EN28" s="111">
        <f t="shared" ref="EN28" si="1317">-EO$28*EN$3</f>
        <v>-10752.000000000002</v>
      </c>
      <c r="EO28" s="114">
        <v>0.14000000000000001</v>
      </c>
      <c r="EP28" s="44"/>
      <c r="EQ28" s="110" t="s">
        <v>219</v>
      </c>
      <c r="ER28" s="111">
        <f t="shared" ref="ER28" si="1318">-ES$28*ER$3</f>
        <v>-10752.000000000002</v>
      </c>
      <c r="ES28" s="114">
        <v>0.14000000000000001</v>
      </c>
      <c r="ET28" s="44"/>
      <c r="EU28" s="110" t="s">
        <v>219</v>
      </c>
      <c r="EV28" s="111">
        <f t="shared" ref="EV28" si="1319">-EW$28*EV$3</f>
        <v>-10752.000000000002</v>
      </c>
      <c r="EW28" s="114">
        <v>0.14000000000000001</v>
      </c>
      <c r="EX28" s="44"/>
      <c r="EY28" s="110" t="s">
        <v>219</v>
      </c>
      <c r="EZ28" s="111">
        <f t="shared" ref="EZ28" si="1320">-FA$28*EZ$3</f>
        <v>-10752.000000000002</v>
      </c>
      <c r="FA28" s="114">
        <v>0.14000000000000001</v>
      </c>
      <c r="FB28" s="44"/>
      <c r="FC28" s="110" t="s">
        <v>219</v>
      </c>
      <c r="FD28" s="111">
        <f t="shared" ref="FD28" si="1321">-FE$28*FD$3</f>
        <v>-10752.000000000002</v>
      </c>
      <c r="FE28" s="114">
        <v>0.14000000000000001</v>
      </c>
      <c r="FF28" s="44"/>
      <c r="FG28" s="110" t="s">
        <v>219</v>
      </c>
      <c r="FH28" s="111">
        <f t="shared" ref="FH28" si="1322">-FI$28*FH$3</f>
        <v>-12096.000000000002</v>
      </c>
      <c r="FI28" s="114">
        <v>0.14000000000000001</v>
      </c>
      <c r="FJ28" s="44"/>
      <c r="FK28" s="110" t="s">
        <v>219</v>
      </c>
      <c r="FL28" s="111">
        <f t="shared" ref="FL28" si="1323">-FM$28*FL$3</f>
        <v>-12096.000000000002</v>
      </c>
      <c r="FM28" s="114">
        <v>0.14000000000000001</v>
      </c>
      <c r="FN28" s="44"/>
      <c r="FO28" s="110" t="s">
        <v>219</v>
      </c>
      <c r="FP28" s="111">
        <f t="shared" ref="FP28" si="1324">-FQ$28*FP$3</f>
        <v>-12096.000000000002</v>
      </c>
      <c r="FQ28" s="114">
        <v>0.14000000000000001</v>
      </c>
      <c r="FR28" s="44"/>
      <c r="FS28" s="110" t="s">
        <v>219</v>
      </c>
      <c r="FT28" s="111">
        <f t="shared" ref="FT28" si="1325">-FU$28*FT$3</f>
        <v>-12096.000000000002</v>
      </c>
      <c r="FU28" s="114">
        <v>0.14000000000000001</v>
      </c>
      <c r="FV28" s="44"/>
      <c r="FW28" s="110" t="s">
        <v>219</v>
      </c>
      <c r="FX28" s="111">
        <f t="shared" ref="FX28" si="1326">-FY$28*FX$3</f>
        <v>-12096.000000000002</v>
      </c>
      <c r="FY28" s="114">
        <v>0.14000000000000001</v>
      </c>
      <c r="FZ28" s="44"/>
      <c r="GA28" s="110" t="s">
        <v>219</v>
      </c>
      <c r="GB28" s="111">
        <f t="shared" ref="GB28" si="1327">-GC$28*GB$3</f>
        <v>-12096.000000000002</v>
      </c>
      <c r="GC28" s="114">
        <v>0.14000000000000001</v>
      </c>
      <c r="GD28" s="44"/>
      <c r="GE28" s="110" t="s">
        <v>219</v>
      </c>
      <c r="GF28" s="111">
        <f t="shared" ref="GF28" si="1328">-GG$28*GF$3</f>
        <v>-12096.000000000002</v>
      </c>
      <c r="GG28" s="114">
        <v>0.14000000000000001</v>
      </c>
      <c r="GH28" s="44"/>
      <c r="GI28" s="110" t="s">
        <v>219</v>
      </c>
      <c r="GJ28" s="111">
        <f t="shared" ref="GJ28" si="1329">-GK$28*GJ$3</f>
        <v>-13440.000000000002</v>
      </c>
      <c r="GK28" s="114">
        <v>0.14000000000000001</v>
      </c>
      <c r="GL28" s="44"/>
      <c r="GM28" s="110" t="s">
        <v>219</v>
      </c>
      <c r="GN28" s="111">
        <f t="shared" ref="GN28" si="1330">-GO$28*GN$3</f>
        <v>-13440.000000000002</v>
      </c>
      <c r="GO28" s="114">
        <v>0.14000000000000001</v>
      </c>
      <c r="GP28" s="44"/>
      <c r="GQ28" s="110" t="s">
        <v>219</v>
      </c>
      <c r="GR28" s="111">
        <f t="shared" ref="GR28" si="1331">-GS$28*GR$3</f>
        <v>-13440.000000000002</v>
      </c>
      <c r="GS28" s="114">
        <v>0.14000000000000001</v>
      </c>
      <c r="GT28" s="44"/>
      <c r="GU28" s="110" t="s">
        <v>219</v>
      </c>
      <c r="GV28" s="111">
        <f t="shared" ref="GV28" si="1332">-GW$28*GV$3</f>
        <v>-13440.000000000002</v>
      </c>
      <c r="GW28" s="114">
        <v>0.14000000000000001</v>
      </c>
      <c r="GX28" s="44"/>
      <c r="GY28" s="110" t="s">
        <v>219</v>
      </c>
      <c r="GZ28" s="111">
        <f t="shared" ref="GZ28" si="1333">-HA$28*GZ$3</f>
        <v>-13440.000000000002</v>
      </c>
      <c r="HA28" s="114">
        <v>0.14000000000000001</v>
      </c>
      <c r="HB28" s="44"/>
      <c r="HC28" s="110" t="s">
        <v>219</v>
      </c>
      <c r="HD28" s="111">
        <f t="shared" ref="HD28" si="1334">-HE$28*HD$3</f>
        <v>-13440.000000000002</v>
      </c>
      <c r="HE28" s="114">
        <v>0.14000000000000001</v>
      </c>
      <c r="HF28" s="44"/>
      <c r="HG28" s="110" t="s">
        <v>219</v>
      </c>
      <c r="HH28" s="111">
        <f t="shared" ref="HH28" si="1335">-HI$28*HH$3</f>
        <v>-13440.000000000002</v>
      </c>
      <c r="HI28" s="114">
        <v>0.14000000000000001</v>
      </c>
      <c r="HJ28" s="44"/>
      <c r="HK28" s="110" t="s">
        <v>219</v>
      </c>
      <c r="HL28" s="111">
        <f t="shared" ref="HL28" si="1336">-HM$28*HL$3</f>
        <v>-14784.000000000002</v>
      </c>
      <c r="HM28" s="114">
        <v>0.14000000000000001</v>
      </c>
      <c r="HN28" s="44"/>
      <c r="HO28" s="110" t="s">
        <v>219</v>
      </c>
      <c r="HP28" s="111">
        <f t="shared" ref="HP28" si="1337">-HQ$28*HP$3</f>
        <v>-14784.000000000002</v>
      </c>
      <c r="HQ28" s="114">
        <v>0.14000000000000001</v>
      </c>
      <c r="HR28" s="44"/>
      <c r="HS28" s="110" t="s">
        <v>219</v>
      </c>
      <c r="HT28" s="111">
        <f t="shared" ref="HT28" si="1338">-HU$28*HT$3</f>
        <v>-14784.000000000002</v>
      </c>
      <c r="HU28" s="114">
        <v>0.14000000000000001</v>
      </c>
      <c r="HV28" s="44"/>
      <c r="HW28" s="110" t="s">
        <v>219</v>
      </c>
      <c r="HX28" s="111">
        <f t="shared" ref="HX28" si="1339">-HY$28*HX$3</f>
        <v>-14784.000000000002</v>
      </c>
      <c r="HY28" s="114">
        <v>0.14000000000000001</v>
      </c>
      <c r="HZ28" s="44"/>
      <c r="IA28" s="110" t="s">
        <v>219</v>
      </c>
      <c r="IB28" s="111">
        <f t="shared" ref="IB28" si="1340">-IC$28*IB$3</f>
        <v>-14784.000000000002</v>
      </c>
      <c r="IC28" s="114">
        <v>0.14000000000000001</v>
      </c>
      <c r="ID28" s="44"/>
      <c r="IE28" s="110" t="s">
        <v>219</v>
      </c>
      <c r="IF28" s="111">
        <f t="shared" ref="IF28" si="1341">-IG$28*IF$3</f>
        <v>-14784.000000000002</v>
      </c>
      <c r="IG28" s="114">
        <v>0.14000000000000001</v>
      </c>
      <c r="IH28" s="44"/>
      <c r="II28" s="110" t="s">
        <v>219</v>
      </c>
      <c r="IJ28" s="111">
        <f t="shared" ref="IJ28" si="1342">-IK$28*IJ$3</f>
        <v>-16128.000000000002</v>
      </c>
      <c r="IK28" s="114">
        <v>0.14000000000000001</v>
      </c>
      <c r="IL28" s="44"/>
      <c r="IM28" s="110" t="s">
        <v>219</v>
      </c>
      <c r="IN28" s="111">
        <f t="shared" ref="IN28" si="1343">-IO$28*IN$3</f>
        <v>-16128.000000000002</v>
      </c>
      <c r="IO28" s="114">
        <v>0.14000000000000001</v>
      </c>
      <c r="IP28" s="44"/>
      <c r="IQ28" s="110" t="s">
        <v>219</v>
      </c>
      <c r="IR28" s="111">
        <f t="shared" ref="IR28" si="1344">-IS$28*IR$3</f>
        <v>-16128.000000000002</v>
      </c>
      <c r="IS28" s="114">
        <v>0.14000000000000001</v>
      </c>
      <c r="IT28" s="44"/>
      <c r="IU28" s="110" t="s">
        <v>219</v>
      </c>
      <c r="IV28" s="111">
        <f t="shared" ref="IV28" si="1345">-IW$28*IV$3</f>
        <v>-16128.000000000002</v>
      </c>
      <c r="IW28" s="114">
        <v>0.14000000000000001</v>
      </c>
      <c r="IX28" s="44"/>
      <c r="IY28" s="110" t="s">
        <v>219</v>
      </c>
      <c r="IZ28" s="111">
        <f t="shared" ref="IZ28" si="1346">-JA$28*IZ$3</f>
        <v>-16128.000000000002</v>
      </c>
      <c r="JA28" s="114">
        <v>0.14000000000000001</v>
      </c>
      <c r="JB28" s="44"/>
      <c r="JC28" s="110" t="s">
        <v>219</v>
      </c>
      <c r="JD28" s="111">
        <f t="shared" ref="JD28" si="1347">-JE$28*JD$3</f>
        <v>-16128.000000000002</v>
      </c>
      <c r="JE28" s="114">
        <v>0.14000000000000001</v>
      </c>
      <c r="JF28" s="44"/>
      <c r="JG28" s="110" t="s">
        <v>219</v>
      </c>
      <c r="JH28" s="111">
        <f t="shared" ref="JH28" si="1348">-JI$28*JH$3</f>
        <v>-16128.000000000002</v>
      </c>
      <c r="JI28" s="114">
        <v>0.14000000000000001</v>
      </c>
      <c r="JJ28" s="44"/>
      <c r="JK28" s="110" t="s">
        <v>219</v>
      </c>
      <c r="JL28" s="111">
        <f t="shared" ref="JL28" si="1349">-JM$28*JL$3</f>
        <v>-17472</v>
      </c>
      <c r="JM28" s="114">
        <v>0.14000000000000001</v>
      </c>
      <c r="JN28" s="44"/>
      <c r="JO28" s="110" t="s">
        <v>219</v>
      </c>
      <c r="JP28" s="111">
        <f t="shared" ref="JP28" si="1350">-JQ$28*JP$3</f>
        <v>-17472</v>
      </c>
      <c r="JQ28" s="114">
        <v>0.14000000000000001</v>
      </c>
      <c r="JR28" s="44"/>
      <c r="JS28" s="110" t="s">
        <v>219</v>
      </c>
      <c r="JT28" s="111">
        <f t="shared" ref="JT28" si="1351">-JU$28*JT$3</f>
        <v>-17472</v>
      </c>
      <c r="JU28" s="114">
        <v>0.14000000000000001</v>
      </c>
      <c r="JV28" s="44"/>
      <c r="JW28" s="110" t="s">
        <v>219</v>
      </c>
      <c r="JX28" s="111">
        <f t="shared" ref="JX28" si="1352">-JY$28*JX$3</f>
        <v>-17472</v>
      </c>
      <c r="JY28" s="114">
        <v>0.14000000000000001</v>
      </c>
      <c r="JZ28" s="44"/>
      <c r="KA28" s="110" t="s">
        <v>219</v>
      </c>
      <c r="KB28" s="111">
        <f t="shared" ref="KB28" si="1353">-KC$28*KB$3</f>
        <v>-17472</v>
      </c>
      <c r="KC28" s="114">
        <v>0.14000000000000001</v>
      </c>
      <c r="KD28" s="44"/>
      <c r="KE28" s="110" t="s">
        <v>219</v>
      </c>
      <c r="KF28" s="111">
        <f t="shared" ref="KF28" si="1354">-KG$28*KF$3</f>
        <v>-17472</v>
      </c>
      <c r="KG28" s="114">
        <v>0.14000000000000001</v>
      </c>
      <c r="KH28" s="44"/>
    </row>
    <row r="29" spans="1:294" x14ac:dyDescent="0.25">
      <c r="H29" s="44"/>
      <c r="I29" s="44"/>
      <c r="K29" s="37"/>
      <c r="L29" s="44"/>
      <c r="M29" s="44"/>
      <c r="N29" s="44"/>
      <c r="O29" s="37"/>
      <c r="P29" s="44"/>
      <c r="Q29" s="44"/>
      <c r="R29" s="44"/>
      <c r="S29" s="37"/>
      <c r="T29" s="44"/>
      <c r="U29" s="44"/>
      <c r="V29" s="44"/>
      <c r="W29" s="37"/>
      <c r="X29" s="44"/>
      <c r="Y29" s="44"/>
      <c r="Z29" s="44"/>
      <c r="AA29" s="37"/>
      <c r="AB29" s="44"/>
      <c r="AC29" s="44"/>
      <c r="AD29" s="44"/>
      <c r="AE29" s="37"/>
      <c r="AF29" s="44"/>
      <c r="AG29" s="44"/>
      <c r="AH29" s="44"/>
      <c r="AI29" s="37"/>
      <c r="AJ29" s="44"/>
      <c r="AK29" s="44"/>
      <c r="AL29" s="44"/>
      <c r="AM29" s="37"/>
      <c r="AN29" s="44"/>
      <c r="AO29" s="44"/>
      <c r="AP29" s="44"/>
      <c r="AQ29" s="37"/>
      <c r="AR29" s="44"/>
      <c r="AS29" s="44"/>
      <c r="AT29" s="44"/>
      <c r="AU29" s="37"/>
      <c r="AV29" s="44"/>
      <c r="AW29" s="44"/>
      <c r="AX29" s="44"/>
      <c r="AY29" s="37"/>
      <c r="AZ29" s="44"/>
      <c r="BA29" s="44"/>
      <c r="BB29" s="44"/>
      <c r="BC29" s="37"/>
      <c r="BD29" s="44"/>
      <c r="BE29" s="44"/>
      <c r="BF29" s="44"/>
      <c r="BG29" s="37"/>
      <c r="BH29" s="44"/>
      <c r="BI29" s="44"/>
      <c r="BJ29" s="44"/>
      <c r="BK29" s="37"/>
      <c r="BL29" s="44"/>
      <c r="BM29" s="44"/>
      <c r="BN29" s="44"/>
      <c r="BO29" s="37"/>
      <c r="BP29" s="44"/>
      <c r="BQ29" s="44"/>
      <c r="BR29" s="44"/>
      <c r="BS29" s="37"/>
      <c r="BT29" s="44"/>
      <c r="BU29" s="44"/>
      <c r="BV29" s="44"/>
      <c r="BW29" s="37"/>
      <c r="BX29" s="44"/>
      <c r="BY29" s="44"/>
      <c r="BZ29" s="44"/>
      <c r="CA29" s="37"/>
      <c r="CB29" s="44"/>
      <c r="CC29" s="44"/>
      <c r="CD29" s="44"/>
      <c r="CE29" s="37"/>
      <c r="CF29" s="44"/>
      <c r="CG29" s="44"/>
      <c r="CH29" s="44"/>
      <c r="CI29" s="37"/>
      <c r="CJ29" s="44"/>
      <c r="CK29" s="44"/>
      <c r="CL29" s="44"/>
      <c r="CM29" s="37"/>
      <c r="CN29" s="44"/>
      <c r="CO29" s="44"/>
      <c r="CP29" s="44"/>
      <c r="CQ29" s="37"/>
      <c r="CR29" s="44"/>
      <c r="CS29" s="44"/>
      <c r="CT29" s="44"/>
      <c r="CU29" s="37"/>
      <c r="CV29" s="44"/>
      <c r="CW29" s="44"/>
      <c r="CX29" s="44"/>
      <c r="CY29" s="37"/>
      <c r="CZ29" s="44"/>
      <c r="DA29" s="44"/>
      <c r="DB29" s="44"/>
      <c r="DC29" s="37"/>
      <c r="DD29" s="44"/>
      <c r="DE29" s="44"/>
      <c r="DF29" s="44"/>
      <c r="DG29" s="37"/>
      <c r="DH29" s="44"/>
      <c r="DI29" s="44"/>
      <c r="DJ29" s="44"/>
      <c r="DK29" s="37"/>
      <c r="DL29" s="44"/>
      <c r="DM29" s="44"/>
      <c r="DN29" s="44"/>
      <c r="DO29" s="37"/>
      <c r="DP29" s="44"/>
      <c r="DQ29" s="44"/>
      <c r="DR29" s="44"/>
      <c r="DS29" s="37"/>
      <c r="DT29" s="44"/>
      <c r="DU29" s="44"/>
      <c r="DV29" s="44"/>
      <c r="DW29" s="37"/>
      <c r="DX29" s="44"/>
      <c r="DY29" s="44"/>
      <c r="DZ29" s="44"/>
      <c r="EA29" s="37"/>
      <c r="EB29" s="44"/>
      <c r="EC29" s="44"/>
      <c r="ED29" s="44"/>
      <c r="EE29" s="37"/>
      <c r="EF29" s="44"/>
      <c r="EG29" s="44"/>
      <c r="EH29" s="44"/>
      <c r="EI29" s="37"/>
      <c r="EJ29" s="44"/>
      <c r="EK29" s="44"/>
      <c r="EL29" s="44"/>
      <c r="EM29" s="37"/>
      <c r="EN29" s="44"/>
      <c r="EO29" s="44"/>
      <c r="EP29" s="44"/>
      <c r="EQ29" s="37"/>
      <c r="ER29" s="44"/>
      <c r="ES29" s="44"/>
      <c r="ET29" s="44"/>
      <c r="EU29" s="37"/>
      <c r="EV29" s="44"/>
      <c r="EW29" s="44"/>
      <c r="EX29" s="44"/>
      <c r="EY29" s="37"/>
      <c r="EZ29" s="44"/>
      <c r="FA29" s="44"/>
      <c r="FB29" s="44"/>
      <c r="FC29" s="37"/>
      <c r="FD29" s="44"/>
      <c r="FE29" s="44"/>
      <c r="FF29" s="44"/>
      <c r="FG29" s="37"/>
      <c r="FH29" s="44"/>
      <c r="FI29" s="44"/>
      <c r="FJ29" s="44"/>
      <c r="FK29" s="37"/>
      <c r="FL29" s="44"/>
      <c r="FM29" s="44"/>
      <c r="FN29" s="44"/>
      <c r="FO29" s="37"/>
      <c r="FP29" s="44"/>
      <c r="FQ29" s="44"/>
      <c r="FR29" s="44"/>
      <c r="FS29" s="37"/>
      <c r="FT29" s="44"/>
      <c r="FU29" s="44"/>
      <c r="FV29" s="44"/>
      <c r="FW29" s="37"/>
      <c r="FX29" s="44"/>
      <c r="FY29" s="44"/>
      <c r="FZ29" s="44"/>
      <c r="GA29" s="37"/>
      <c r="GB29" s="44"/>
      <c r="GC29" s="44"/>
      <c r="GD29" s="44"/>
      <c r="GE29" s="37"/>
      <c r="GF29" s="44"/>
      <c r="GG29" s="44"/>
      <c r="GH29" s="44"/>
      <c r="GI29" s="37"/>
      <c r="GJ29" s="44"/>
      <c r="GK29" s="44"/>
      <c r="GL29" s="44"/>
      <c r="GM29" s="37"/>
      <c r="GN29" s="44"/>
      <c r="GO29" s="44"/>
      <c r="GP29" s="44"/>
      <c r="GQ29" s="37"/>
      <c r="GR29" s="44"/>
      <c r="GS29" s="44"/>
      <c r="GT29" s="44"/>
      <c r="GU29" s="37"/>
      <c r="GV29" s="44"/>
      <c r="GW29" s="44"/>
      <c r="GX29" s="44"/>
      <c r="GY29" s="37"/>
      <c r="GZ29" s="44"/>
      <c r="HA29" s="44"/>
      <c r="HB29" s="44"/>
      <c r="HC29" s="37"/>
      <c r="HD29" s="44"/>
      <c r="HE29" s="44"/>
      <c r="HF29" s="44"/>
      <c r="HG29" s="37"/>
      <c r="HH29" s="44"/>
      <c r="HI29" s="44"/>
      <c r="HJ29" s="44"/>
      <c r="HK29" s="37"/>
      <c r="HL29" s="44"/>
      <c r="HM29" s="44"/>
      <c r="HN29" s="44"/>
      <c r="HO29" s="37"/>
      <c r="HP29" s="44"/>
      <c r="HQ29" s="44"/>
      <c r="HR29" s="44"/>
      <c r="HS29" s="37"/>
      <c r="HT29" s="44"/>
      <c r="HU29" s="44"/>
      <c r="HV29" s="44"/>
      <c r="HW29" s="37"/>
      <c r="HX29" s="44"/>
      <c r="HY29" s="44"/>
      <c r="HZ29" s="44"/>
      <c r="IA29" s="37"/>
      <c r="IB29" s="44"/>
      <c r="IC29" s="44"/>
      <c r="ID29" s="44"/>
      <c r="IE29" s="37"/>
      <c r="IF29" s="44"/>
      <c r="IG29" s="44"/>
      <c r="IH29" s="44"/>
      <c r="II29" s="37"/>
      <c r="IJ29" s="44"/>
      <c r="IK29" s="44"/>
      <c r="IL29" s="44"/>
      <c r="IM29" s="37"/>
      <c r="IN29" s="44"/>
      <c r="IO29" s="44"/>
      <c r="IP29" s="44"/>
      <c r="IQ29" s="37"/>
      <c r="IR29" s="44"/>
      <c r="IS29" s="44"/>
      <c r="IT29" s="44"/>
      <c r="IU29" s="37"/>
      <c r="IV29" s="44"/>
      <c r="IW29" s="44"/>
      <c r="IX29" s="44"/>
      <c r="IY29" s="37"/>
      <c r="IZ29" s="44"/>
      <c r="JA29" s="44"/>
      <c r="JB29" s="44"/>
      <c r="JC29" s="37"/>
      <c r="JD29" s="44"/>
      <c r="JE29" s="44"/>
      <c r="JF29" s="44"/>
      <c r="JG29" s="37"/>
      <c r="JH29" s="44"/>
      <c r="JI29" s="44"/>
      <c r="JJ29" s="44"/>
      <c r="JK29" s="37"/>
      <c r="JL29" s="44"/>
      <c r="JM29" s="44"/>
      <c r="JN29" s="44"/>
      <c r="JO29" s="37"/>
      <c r="JP29" s="44"/>
      <c r="JQ29" s="44"/>
      <c r="JR29" s="44"/>
      <c r="JS29" s="37"/>
      <c r="JT29" s="44"/>
      <c r="JU29" s="44"/>
      <c r="JV29" s="44"/>
      <c r="JW29" s="37"/>
      <c r="JX29" s="44"/>
      <c r="JY29" s="44"/>
      <c r="JZ29" s="44"/>
      <c r="KA29" s="37"/>
      <c r="KB29" s="44"/>
      <c r="KC29" s="44"/>
      <c r="KD29" s="44"/>
      <c r="KE29" s="37"/>
      <c r="KF29" s="44"/>
      <c r="KG29" s="44"/>
      <c r="KH29" s="44"/>
    </row>
    <row r="30" spans="1:294" x14ac:dyDescent="0.25">
      <c r="C30" s="1" t="s">
        <v>225</v>
      </c>
      <c r="D30" s="19">
        <f ca="1">SUM(D$10:D$28)</f>
        <v>-133101.995736524</v>
      </c>
      <c r="G30" s="1" t="s">
        <v>225</v>
      </c>
      <c r="H30" s="19">
        <f ca="1">SUM(H$10:H$28)</f>
        <v>-21701.995736523986</v>
      </c>
      <c r="I30" s="44"/>
      <c r="K30" s="1" t="s">
        <v>225</v>
      </c>
      <c r="L30" s="19">
        <f t="shared" ref="L30" ca="1" si="1355">SUM(L$10:L$28)</f>
        <v>-21701.995736523986</v>
      </c>
      <c r="M30" s="44"/>
      <c r="N30" s="44"/>
      <c r="O30" s="1" t="s">
        <v>225</v>
      </c>
      <c r="P30" s="19">
        <f t="shared" ref="P30" ca="1" si="1356">SUM(P$10:P$28)</f>
        <v>-50601.99573652399</v>
      </c>
      <c r="Q30" s="44"/>
      <c r="R30" s="44"/>
      <c r="S30" s="1" t="s">
        <v>225</v>
      </c>
      <c r="T30" s="19">
        <f t="shared" ref="T30" ca="1" si="1357">SUM(T$10:T$28)</f>
        <v>-21701.995736523986</v>
      </c>
      <c r="U30" s="44"/>
      <c r="V30" s="44"/>
      <c r="W30" s="1" t="s">
        <v>225</v>
      </c>
      <c r="X30" s="19">
        <f t="shared" ref="X30" ca="1" si="1358">SUM(X$10:X$28)</f>
        <v>-21701.995736523986</v>
      </c>
      <c r="Y30" s="44"/>
      <c r="Z30" s="44"/>
      <c r="AA30" s="1" t="s">
        <v>225</v>
      </c>
      <c r="AB30" s="19">
        <f t="shared" ref="AB30" ca="1" si="1359">SUM(AB$10:AB$28)</f>
        <v>-57752.395736523991</v>
      </c>
      <c r="AC30" s="44"/>
      <c r="AD30" s="44"/>
      <c r="AE30" s="1" t="s">
        <v>225</v>
      </c>
      <c r="AF30" s="19">
        <f t="shared" ref="AF30" ca="1" si="1360">SUM(AF$10:AF$28)</f>
        <v>-26531.795736523989</v>
      </c>
      <c r="AG30" s="44"/>
      <c r="AH30" s="44"/>
      <c r="AI30" s="1" t="s">
        <v>225</v>
      </c>
      <c r="AJ30" s="19">
        <f t="shared" ref="AJ30" ca="1" si="1361">SUM(AJ$10:AJ$28)</f>
        <v>-26531.795736523989</v>
      </c>
      <c r="AK30" s="44"/>
      <c r="AL30" s="44"/>
      <c r="AM30" s="1" t="s">
        <v>225</v>
      </c>
      <c r="AN30" s="19">
        <f t="shared" ref="AN30" ca="1" si="1362">SUM(AN$10:AN$28)</f>
        <v>-64731.795736523985</v>
      </c>
      <c r="AO30" s="44"/>
      <c r="AP30" s="44"/>
      <c r="AQ30" s="1" t="s">
        <v>225</v>
      </c>
      <c r="AR30" s="19">
        <f t="shared" ref="AR30" ca="1" si="1363">SUM(AR$10:AR$28)</f>
        <v>-26531.795736523989</v>
      </c>
      <c r="AS30" s="44"/>
      <c r="AT30" s="44"/>
      <c r="AU30" s="1" t="s">
        <v>225</v>
      </c>
      <c r="AV30" s="19">
        <f t="shared" ref="AV30" ca="1" si="1364">SUM(AV$10:AV$28)</f>
        <v>-27376.595736523988</v>
      </c>
      <c r="AW30" s="44"/>
      <c r="AX30" s="44"/>
      <c r="AY30" s="1" t="s">
        <v>225</v>
      </c>
      <c r="AZ30" s="19">
        <f t="shared" ref="AZ30" ca="1" si="1365">SUM(AZ$10:AZ$28)</f>
        <v>-68676.595736523988</v>
      </c>
      <c r="BA30" s="44"/>
      <c r="BB30" s="44"/>
      <c r="BC30" s="1" t="s">
        <v>225</v>
      </c>
      <c r="BD30" s="19">
        <f t="shared" ref="BD30" ca="1" si="1366">SUM(BD$10:BD$28)</f>
        <v>-27376.595736523988</v>
      </c>
      <c r="BE30" s="44"/>
      <c r="BF30" s="44"/>
      <c r="BG30" s="1" t="s">
        <v>225</v>
      </c>
      <c r="BH30" s="19">
        <f t="shared" ref="BH30" ca="1" si="1367">SUM(BH$10:BH$28)</f>
        <v>-31467.195736523987</v>
      </c>
      <c r="BI30" s="44"/>
      <c r="BJ30" s="44"/>
      <c r="BK30" s="1" t="s">
        <v>225</v>
      </c>
      <c r="BL30" s="19">
        <f t="shared" ref="BL30" ca="1" si="1368">SUM(BL$10:BL$28)</f>
        <v>-78967.19573652398</v>
      </c>
      <c r="BM30" s="44"/>
      <c r="BN30" s="44"/>
      <c r="BO30" s="1" t="s">
        <v>225</v>
      </c>
      <c r="BP30" s="19">
        <f t="shared" ref="BP30" ca="1" si="1369">SUM(BP$10:BP$28)</f>
        <v>-31467.195736523987</v>
      </c>
      <c r="BQ30" s="44"/>
      <c r="BR30" s="44"/>
      <c r="BS30" s="1" t="s">
        <v>225</v>
      </c>
      <c r="BT30" s="19">
        <f t="shared" ref="BT30" ca="1" si="1370">SUM(BT$10:BT$28)</f>
        <v>-31467.195736523987</v>
      </c>
      <c r="BU30" s="44"/>
      <c r="BV30" s="44"/>
      <c r="BW30" s="1" t="s">
        <v>225</v>
      </c>
      <c r="BX30" s="19">
        <f t="shared" ref="BX30" ca="1" si="1371">SUM(BX$10:BX$28)</f>
        <v>-82067.19573652398</v>
      </c>
      <c r="BY30" s="44"/>
      <c r="BZ30" s="44"/>
      <c r="CA30" s="1" t="s">
        <v>225</v>
      </c>
      <c r="CB30" s="19">
        <f t="shared" ref="CB30" ca="1" si="1372">SUM(CB$10:CB$28)</f>
        <v>-31467.195736523987</v>
      </c>
      <c r="CC30" s="44"/>
      <c r="CD30" s="44"/>
      <c r="CE30" s="1" t="s">
        <v>225</v>
      </c>
      <c r="CF30" s="19">
        <f t="shared" ref="CF30" ca="1" si="1373">SUM(CF$10:CF$28)</f>
        <v>-35557.795736523985</v>
      </c>
      <c r="CG30" s="44"/>
      <c r="CH30" s="44"/>
      <c r="CI30" s="1" t="s">
        <v>225</v>
      </c>
      <c r="CJ30" s="19">
        <f t="shared" ref="CJ30" ca="1" si="1374">SUM(CJ$10:CJ$28)</f>
        <v>-92357.795736524</v>
      </c>
      <c r="CK30" s="44"/>
      <c r="CL30" s="44"/>
      <c r="CM30" s="1" t="s">
        <v>225</v>
      </c>
      <c r="CN30" s="19">
        <f t="shared" ref="CN30" ca="1" si="1375">SUM(CN$10:CN$28)</f>
        <v>-35557.795736523985</v>
      </c>
      <c r="CO30" s="44"/>
      <c r="CP30" s="44"/>
      <c r="CQ30" s="1" t="s">
        <v>225</v>
      </c>
      <c r="CR30" s="19">
        <f t="shared" ref="CR30" ca="1" si="1376">SUM(CR$10:CR$28)</f>
        <v>-35557.795736523985</v>
      </c>
      <c r="CS30" s="44"/>
      <c r="CT30" s="44"/>
      <c r="CU30" s="1" t="s">
        <v>225</v>
      </c>
      <c r="CV30" s="19">
        <f t="shared" ref="CV30" ca="1" si="1377">SUM(CV$10:CV$28)</f>
        <v>-92357.795736524</v>
      </c>
      <c r="CW30" s="44"/>
      <c r="CX30" s="44"/>
      <c r="CY30" s="1" t="s">
        <v>225</v>
      </c>
      <c r="CZ30" s="19">
        <f t="shared" ref="CZ30" ca="1" si="1378">SUM(CZ$10:CZ$28)</f>
        <v>-35557.795736523985</v>
      </c>
      <c r="DA30" s="44"/>
      <c r="DB30" s="44"/>
      <c r="DC30" s="1" t="s">
        <v>225</v>
      </c>
      <c r="DD30" s="19">
        <f t="shared" ref="DD30" ca="1" si="1379">SUM(DD$10:DD$28)</f>
        <v>-35557.795736523985</v>
      </c>
      <c r="DE30" s="44"/>
      <c r="DF30" s="44"/>
      <c r="DG30" s="1" t="s">
        <v>225</v>
      </c>
      <c r="DH30" s="19">
        <f t="shared" ref="DH30" ca="1" si="1380">SUM(DH$10:DH$28)</f>
        <v>-105748.39573652399</v>
      </c>
      <c r="DI30" s="44"/>
      <c r="DJ30" s="44"/>
      <c r="DK30" s="1" t="s">
        <v>225</v>
      </c>
      <c r="DL30" s="19">
        <f t="shared" ref="DL30" ca="1" si="1381">SUM(DL$10:DL$28)</f>
        <v>-39648.395736523991</v>
      </c>
      <c r="DM30" s="44"/>
      <c r="DN30" s="44"/>
      <c r="DO30" s="1" t="s">
        <v>225</v>
      </c>
      <c r="DP30" s="19">
        <f t="shared" ref="DP30" ca="1" si="1382">SUM(DP$10:DP$28)</f>
        <v>-39648.395736523991</v>
      </c>
      <c r="DQ30" s="44"/>
      <c r="DR30" s="44"/>
      <c r="DS30" s="1" t="s">
        <v>225</v>
      </c>
      <c r="DT30" s="19">
        <f t="shared" ref="DT30" ca="1" si="1383">SUM(DT$10:DT$28)</f>
        <v>-105748.39573652399</v>
      </c>
      <c r="DU30" s="44"/>
      <c r="DV30" s="44"/>
      <c r="DW30" s="1" t="s">
        <v>225</v>
      </c>
      <c r="DX30" s="19">
        <f t="shared" ref="DX30" ca="1" si="1384">SUM(DX$10:DX$28)</f>
        <v>-40454.795736523985</v>
      </c>
      <c r="DY30" s="44"/>
      <c r="DZ30" s="44"/>
      <c r="EA30" s="1" t="s">
        <v>225</v>
      </c>
      <c r="EB30" s="19">
        <f t="shared" ref="EB30" ca="1" si="1385">SUM(EB$10:EB$28)</f>
        <v>-40454.795736523985</v>
      </c>
      <c r="EC30" s="44"/>
      <c r="ED30" s="44"/>
      <c r="EE30" s="1" t="s">
        <v>225</v>
      </c>
      <c r="EF30" s="19">
        <f t="shared" ref="EF30" ca="1" si="1386">SUM(EF$10:EF$28)</f>
        <v>-112754.79573652399</v>
      </c>
      <c r="EG30" s="44"/>
      <c r="EH30" s="44"/>
      <c r="EI30" s="1" t="s">
        <v>225</v>
      </c>
      <c r="EJ30" s="19">
        <f t="shared" ref="EJ30" ca="1" si="1387">SUM(EJ$10:EJ$28)</f>
        <v>-44660.595736523988</v>
      </c>
      <c r="EK30" s="44"/>
      <c r="EL30" s="44"/>
      <c r="EM30" s="1" t="s">
        <v>225</v>
      </c>
      <c r="EN30" s="19">
        <f t="shared" ref="EN30" ca="1" si="1388">SUM(EN$10:EN$28)</f>
        <v>-44660.595736523988</v>
      </c>
      <c r="EO30" s="44"/>
      <c r="EP30" s="44"/>
      <c r="EQ30" s="1" t="s">
        <v>225</v>
      </c>
      <c r="ER30" s="19">
        <f t="shared" ref="ER30" ca="1" si="1389">SUM(ER$10:ER$28)</f>
        <v>-120060.595736524</v>
      </c>
      <c r="ES30" s="44"/>
      <c r="ET30" s="44"/>
      <c r="EU30" s="1" t="s">
        <v>225</v>
      </c>
      <c r="EV30" s="19">
        <f t="shared" ref="EV30" ca="1" si="1390">SUM(EV$10:EV$28)</f>
        <v>-44660.595736523988</v>
      </c>
      <c r="EW30" s="44"/>
      <c r="EX30" s="44"/>
      <c r="EY30" s="1" t="s">
        <v>225</v>
      </c>
      <c r="EZ30" s="19">
        <f t="shared" ref="EZ30" ca="1" si="1391">SUM(EZ$10:EZ$28)</f>
        <v>-44660.595736523988</v>
      </c>
      <c r="FA30" s="44"/>
      <c r="FB30" s="44"/>
      <c r="FC30" s="1" t="s">
        <v>225</v>
      </c>
      <c r="FD30" s="19">
        <f t="shared" ref="FD30" ca="1" si="1392">SUM(FD$10:FD$28)</f>
        <v>-126260.595736524</v>
      </c>
      <c r="FE30" s="44"/>
      <c r="FF30" s="44"/>
      <c r="FG30" s="1" t="s">
        <v>225</v>
      </c>
      <c r="FH30" s="19">
        <f t="shared" ref="FH30" ca="1" si="1393">SUM(FH$10:FH$28)</f>
        <v>-48866.395736523991</v>
      </c>
      <c r="FI30" s="44"/>
      <c r="FJ30" s="44"/>
      <c r="FK30" s="1" t="s">
        <v>225</v>
      </c>
      <c r="FL30" s="19">
        <f t="shared" ref="FL30" ca="1" si="1394">SUM(FL$10:FL$28)</f>
        <v>-48866.395736523991</v>
      </c>
      <c r="FM30" s="44"/>
      <c r="FN30" s="44"/>
      <c r="FO30" s="1" t="s">
        <v>225</v>
      </c>
      <c r="FP30" s="19">
        <f t="shared" ref="FP30" ca="1" si="1395">SUM(FP$10:FP$28)</f>
        <v>-133566.39573652399</v>
      </c>
      <c r="FQ30" s="44"/>
      <c r="FR30" s="44"/>
      <c r="FS30" s="1" t="s">
        <v>225</v>
      </c>
      <c r="FT30" s="19">
        <f t="shared" ref="FT30" ca="1" si="1396">SUM(FT$10:FT$28)</f>
        <v>-48866.395736523991</v>
      </c>
      <c r="FU30" s="44"/>
      <c r="FV30" s="44"/>
      <c r="FW30" s="1" t="s">
        <v>225</v>
      </c>
      <c r="FX30" s="19">
        <f t="shared" ref="FX30" ca="1" si="1397">SUM(FX$10:FX$28)</f>
        <v>-48866.395736523991</v>
      </c>
      <c r="FY30" s="44"/>
      <c r="FZ30" s="44"/>
      <c r="GA30" s="1" t="s">
        <v>225</v>
      </c>
      <c r="GB30" s="19">
        <f t="shared" ref="GB30" ca="1" si="1398">SUM(GB$10:GB$28)</f>
        <v>-136666.39573652399</v>
      </c>
      <c r="GC30" s="44"/>
      <c r="GD30" s="44"/>
      <c r="GE30" s="1" t="s">
        <v>225</v>
      </c>
      <c r="GF30" s="19">
        <f t="shared" ref="GF30" ca="1" si="1399">SUM(GF$10:GF$28)</f>
        <v>-48866.395736523991</v>
      </c>
      <c r="GG30" s="44"/>
      <c r="GH30" s="44"/>
      <c r="GI30" s="1" t="s">
        <v>225</v>
      </c>
      <c r="GJ30" s="19">
        <f t="shared" ref="GJ30" ca="1" si="1400">SUM(GJ$10:GJ$28)</f>
        <v>-53072.195736523987</v>
      </c>
      <c r="GK30" s="44"/>
      <c r="GL30" s="44"/>
      <c r="GM30" s="1" t="s">
        <v>225</v>
      </c>
      <c r="GN30" s="19">
        <f t="shared" ref="GN30" ca="1" si="1401">SUM(GN$10:GN$28)</f>
        <v>-147072.19573652398</v>
      </c>
      <c r="GO30" s="44"/>
      <c r="GP30" s="44"/>
      <c r="GQ30" s="1" t="s">
        <v>225</v>
      </c>
      <c r="GR30" s="19">
        <f t="shared" ref="GR30" ca="1" si="1402">SUM(GR$10:GR$28)</f>
        <v>-53072.195736523987</v>
      </c>
      <c r="GS30" s="44"/>
      <c r="GT30" s="44"/>
      <c r="GU30" s="1" t="s">
        <v>225</v>
      </c>
      <c r="GV30" s="19">
        <f t="shared" ref="GV30" ca="1" si="1403">SUM(GV$10:GV$28)</f>
        <v>-53072.195736523987</v>
      </c>
      <c r="GW30" s="44"/>
      <c r="GX30" s="44"/>
      <c r="GY30" s="1" t="s">
        <v>225</v>
      </c>
      <c r="GZ30" s="19">
        <f t="shared" ref="GZ30" ca="1" si="1404">SUM(GZ$10:GZ$28)</f>
        <v>-147072.19573652398</v>
      </c>
      <c r="HA30" s="44"/>
      <c r="HB30" s="44"/>
      <c r="HC30" s="1" t="s">
        <v>225</v>
      </c>
      <c r="HD30" s="19">
        <f t="shared" ref="HD30" ca="1" si="1405">SUM(HD$10:HD$28)</f>
        <v>-53072.195736523987</v>
      </c>
      <c r="HE30" s="44"/>
      <c r="HF30" s="44"/>
      <c r="HG30" s="1" t="s">
        <v>225</v>
      </c>
      <c r="HH30" s="19">
        <f t="shared" ref="HH30" ca="1" si="1406">SUM(HH$10:HH$28)</f>
        <v>-53072.195736523987</v>
      </c>
      <c r="HI30" s="44"/>
      <c r="HJ30" s="44"/>
      <c r="HK30" s="1" t="s">
        <v>225</v>
      </c>
      <c r="HL30" s="19">
        <f t="shared" ref="HL30" ca="1" si="1407">SUM(HL$10:HL$28)</f>
        <v>-160577.995736524</v>
      </c>
      <c r="HM30" s="44"/>
      <c r="HN30" s="44"/>
      <c r="HO30" s="1" t="s">
        <v>225</v>
      </c>
      <c r="HP30" s="19">
        <f t="shared" ref="HP30" ca="1" si="1408">SUM(HP$10:HP$28)</f>
        <v>-57277.99573652399</v>
      </c>
      <c r="HQ30" s="44"/>
      <c r="HR30" s="44"/>
      <c r="HS30" s="1" t="s">
        <v>225</v>
      </c>
      <c r="HT30" s="19">
        <f t="shared" ref="HT30" ca="1" si="1409">SUM(HT$10:HT$28)</f>
        <v>-57277.99573652399</v>
      </c>
      <c r="HU30" s="44"/>
      <c r="HV30" s="44"/>
      <c r="HW30" s="1" t="s">
        <v>225</v>
      </c>
      <c r="HX30" s="19">
        <f t="shared" ref="HX30" ca="1" si="1410">SUM(HX$10:HX$28)</f>
        <v>-160577.995736524</v>
      </c>
      <c r="HY30" s="44"/>
      <c r="HZ30" s="44"/>
      <c r="IA30" s="1" t="s">
        <v>225</v>
      </c>
      <c r="IB30" s="19">
        <f t="shared" ref="IB30" ca="1" si="1411">SUM(IB$10:IB$28)</f>
        <v>-57277.99573652399</v>
      </c>
      <c r="IC30" s="44"/>
      <c r="ID30" s="44"/>
      <c r="IE30" s="1" t="s">
        <v>225</v>
      </c>
      <c r="IF30" s="19">
        <f t="shared" ref="IF30" ca="1" si="1412">SUM(IF$10:IF$28)</f>
        <v>-57277.99573652399</v>
      </c>
      <c r="IG30" s="44"/>
      <c r="IH30" s="44"/>
      <c r="II30" s="1" t="s">
        <v>225</v>
      </c>
      <c r="IJ30" s="19">
        <f t="shared" ref="IJ30" ca="1" si="1413">SUM(IJ$10:IJ$28)</f>
        <v>-174083.79573652401</v>
      </c>
      <c r="IK30" s="44"/>
      <c r="IL30" s="44"/>
      <c r="IM30" s="1" t="s">
        <v>225</v>
      </c>
      <c r="IN30" s="19">
        <f t="shared" ref="IN30" ca="1" si="1414">SUM(IN$10:IN$28)</f>
        <v>-61483.795736523985</v>
      </c>
      <c r="IO30" s="44"/>
      <c r="IP30" s="44"/>
      <c r="IQ30" s="1" t="s">
        <v>225</v>
      </c>
      <c r="IR30" s="19">
        <f t="shared" ref="IR30" ca="1" si="1415">SUM(IR$10:IR$28)</f>
        <v>-61483.795736523985</v>
      </c>
      <c r="IS30" s="44"/>
      <c r="IT30" s="44"/>
      <c r="IU30" s="1" t="s">
        <v>225</v>
      </c>
      <c r="IV30" s="19">
        <f t="shared" ref="IV30" ca="1" si="1416">SUM(IV$10:IV$28)</f>
        <v>-174083.79573652401</v>
      </c>
      <c r="IW30" s="44"/>
      <c r="IX30" s="44"/>
      <c r="IY30" s="1" t="s">
        <v>225</v>
      </c>
      <c r="IZ30" s="19">
        <f t="shared" ref="IZ30" ca="1" si="1417">SUM(IZ$10:IZ$28)</f>
        <v>-61483.795736523985</v>
      </c>
      <c r="JA30" s="44"/>
      <c r="JB30" s="44"/>
      <c r="JC30" s="1" t="s">
        <v>225</v>
      </c>
      <c r="JD30" s="19">
        <f t="shared" ref="JD30" ca="1" si="1418">SUM(JD$10:JD$28)</f>
        <v>-61483.795736523985</v>
      </c>
      <c r="JE30" s="44"/>
      <c r="JF30" s="44"/>
      <c r="JG30" s="1" t="s">
        <v>225</v>
      </c>
      <c r="JH30" s="19">
        <f t="shared" ref="JH30" ca="1" si="1419">SUM(JH$10:JH$28)</f>
        <v>-180283.79573652401</v>
      </c>
      <c r="JI30" s="44"/>
      <c r="JJ30" s="44"/>
      <c r="JK30" s="1" t="s">
        <v>225</v>
      </c>
      <c r="JL30" s="19">
        <f t="shared" ref="JL30" ca="1" si="1420">SUM(JL$10:JL$28)</f>
        <v>-65689.595736523988</v>
      </c>
      <c r="JM30" s="44"/>
      <c r="JN30" s="44"/>
      <c r="JO30" s="1" t="s">
        <v>225</v>
      </c>
      <c r="JP30" s="19">
        <f t="shared" ref="JP30" ca="1" si="1421">SUM(JP$10:JP$28)</f>
        <v>-65689.595736523988</v>
      </c>
      <c r="JQ30" s="44"/>
      <c r="JR30" s="44"/>
      <c r="JS30" s="1" t="s">
        <v>225</v>
      </c>
      <c r="JT30" s="19">
        <f t="shared" ref="JT30" ca="1" si="1422">SUM(JT$10:JT$28)</f>
        <v>-187589.59573652397</v>
      </c>
      <c r="JU30" s="44"/>
      <c r="JV30" s="44"/>
      <c r="JW30" s="1" t="s">
        <v>225</v>
      </c>
      <c r="JX30" s="19">
        <f t="shared" ref="JX30" ca="1" si="1423">SUM(JX$10:JX$28)</f>
        <v>-65689.595736523988</v>
      </c>
      <c r="JY30" s="44"/>
      <c r="JZ30" s="44"/>
      <c r="KA30" s="1" t="s">
        <v>225</v>
      </c>
      <c r="KB30" s="19">
        <f t="shared" ref="KB30" ca="1" si="1424">SUM(KB$10:KB$28)</f>
        <v>-65689.595736523988</v>
      </c>
      <c r="KC30" s="44"/>
      <c r="KD30" s="44"/>
      <c r="KE30" s="1" t="s">
        <v>225</v>
      </c>
      <c r="KF30" s="19">
        <f t="shared" ref="KF30" ca="1" si="1425">SUM(KF$10:KF$28)</f>
        <v>-106989.59573652399</v>
      </c>
      <c r="KG30" s="44"/>
      <c r="KH30" s="44"/>
    </row>
    <row r="31" spans="1:294" x14ac:dyDescent="0.25">
      <c r="C31" s="1" t="s">
        <v>227</v>
      </c>
      <c r="D31" s="19">
        <f ca="1">D$7+D$30</f>
        <v>-104301.995736524</v>
      </c>
      <c r="G31" s="1" t="s">
        <v>227</v>
      </c>
      <c r="H31" s="19">
        <f ca="1">H$7+H$30</f>
        <v>7098.0042634760139</v>
      </c>
      <c r="I31" s="44"/>
      <c r="K31" s="1" t="s">
        <v>227</v>
      </c>
      <c r="L31" s="19">
        <f t="shared" ref="L31" ca="1" si="1426">L$7+L$30</f>
        <v>7098.0042634760139</v>
      </c>
      <c r="M31" s="44"/>
      <c r="N31" s="44"/>
      <c r="O31" s="1" t="s">
        <v>227</v>
      </c>
      <c r="P31" s="19">
        <f t="shared" ref="P31" ca="1" si="1427">P$7+P$30</f>
        <v>-21801.99573652399</v>
      </c>
      <c r="Q31" s="44"/>
      <c r="R31" s="44"/>
      <c r="S31" s="1" t="s">
        <v>227</v>
      </c>
      <c r="T31" s="19">
        <f t="shared" ref="T31" ca="1" si="1428">T$7+T$30</f>
        <v>7098.0042634760139</v>
      </c>
      <c r="U31" s="44"/>
      <c r="V31" s="44"/>
      <c r="W31" s="1" t="s">
        <v>227</v>
      </c>
      <c r="X31" s="19">
        <f t="shared" ref="X31" ca="1" si="1429">X$7+X$30</f>
        <v>7098.0042634760139</v>
      </c>
      <c r="Y31" s="44"/>
      <c r="Z31" s="44"/>
      <c r="AA31" s="1" t="s">
        <v>227</v>
      </c>
      <c r="AB31" s="19">
        <f t="shared" ref="AB31" ca="1" si="1430">AB$7+AB$30</f>
        <v>-28952.395736523991</v>
      </c>
      <c r="AC31" s="44"/>
      <c r="AD31" s="44"/>
      <c r="AE31" s="1" t="s">
        <v>227</v>
      </c>
      <c r="AF31" s="19">
        <f t="shared" ref="AF31" ca="1" si="1431">AF$7+AF$30</f>
        <v>11868.204263476011</v>
      </c>
      <c r="AG31" s="44"/>
      <c r="AH31" s="44"/>
      <c r="AI31" s="1" t="s">
        <v>227</v>
      </c>
      <c r="AJ31" s="19">
        <f t="shared" ref="AJ31" ca="1" si="1432">AJ$7+AJ$30</f>
        <v>11868.204263476011</v>
      </c>
      <c r="AK31" s="44"/>
      <c r="AL31" s="44"/>
      <c r="AM31" s="1" t="s">
        <v>227</v>
      </c>
      <c r="AN31" s="19">
        <f t="shared" ref="AN31" ca="1" si="1433">AN$7+AN$30</f>
        <v>-26331.795736523985</v>
      </c>
      <c r="AO31" s="44"/>
      <c r="AP31" s="44"/>
      <c r="AQ31" s="1" t="s">
        <v>227</v>
      </c>
      <c r="AR31" s="19">
        <f t="shared" ref="AR31" ca="1" si="1434">AR$7+AR$30</f>
        <v>11868.204263476011</v>
      </c>
      <c r="AS31" s="44"/>
      <c r="AT31" s="44"/>
      <c r="AU31" s="1" t="s">
        <v>227</v>
      </c>
      <c r="AV31" s="19">
        <f t="shared" ref="AV31" ca="1" si="1435">AV$7+AV$30</f>
        <v>11023.404263476012</v>
      </c>
      <c r="AW31" s="44"/>
      <c r="AX31" s="44"/>
      <c r="AY31" s="1" t="s">
        <v>227</v>
      </c>
      <c r="AZ31" s="19">
        <f t="shared" ref="AZ31" ca="1" si="1436">AZ$7+AZ$30</f>
        <v>-30276.595736523988</v>
      </c>
      <c r="BA31" s="44"/>
      <c r="BB31" s="44"/>
      <c r="BC31" s="1" t="s">
        <v>227</v>
      </c>
      <c r="BD31" s="19">
        <f t="shared" ref="BD31" ca="1" si="1437">BD$7+BD$30</f>
        <v>11023.404263476012</v>
      </c>
      <c r="BE31" s="44"/>
      <c r="BF31" s="44"/>
      <c r="BG31" s="1" t="s">
        <v>227</v>
      </c>
      <c r="BH31" s="19">
        <f t="shared" ref="BH31" ca="1" si="1438">BH$7+BH$30</f>
        <v>16532.804263476013</v>
      </c>
      <c r="BI31" s="44"/>
      <c r="BJ31" s="44"/>
      <c r="BK31" s="1" t="s">
        <v>227</v>
      </c>
      <c r="BL31" s="19">
        <f t="shared" ref="BL31" ca="1" si="1439">BL$7+BL$30</f>
        <v>-30967.19573652398</v>
      </c>
      <c r="BM31" s="44"/>
      <c r="BN31" s="44"/>
      <c r="BO31" s="1" t="s">
        <v>227</v>
      </c>
      <c r="BP31" s="19">
        <f t="shared" ref="BP31" ca="1" si="1440">BP$7+BP$30</f>
        <v>16532.804263476013</v>
      </c>
      <c r="BQ31" s="44"/>
      <c r="BR31" s="44"/>
      <c r="BS31" s="1" t="s">
        <v>227</v>
      </c>
      <c r="BT31" s="19">
        <f t="shared" ref="BT31" ca="1" si="1441">BT$7+BT$30</f>
        <v>16532.804263476013</v>
      </c>
      <c r="BU31" s="44"/>
      <c r="BV31" s="44"/>
      <c r="BW31" s="1" t="s">
        <v>227</v>
      </c>
      <c r="BX31" s="19">
        <f t="shared" ref="BX31" ca="1" si="1442">BX$7+BX$30</f>
        <v>-34067.19573652398</v>
      </c>
      <c r="BY31" s="44"/>
      <c r="BZ31" s="44"/>
      <c r="CA31" s="1" t="s">
        <v>227</v>
      </c>
      <c r="CB31" s="19">
        <f t="shared" ref="CB31" ca="1" si="1443">CB$7+CB$30</f>
        <v>16532.804263476013</v>
      </c>
      <c r="CC31" s="44"/>
      <c r="CD31" s="44"/>
      <c r="CE31" s="1" t="s">
        <v>227</v>
      </c>
      <c r="CF31" s="19">
        <f t="shared" ref="CF31" ca="1" si="1444">CF$7+CF$30</f>
        <v>22042.204263476015</v>
      </c>
      <c r="CG31" s="44"/>
      <c r="CH31" s="44"/>
      <c r="CI31" s="1" t="s">
        <v>227</v>
      </c>
      <c r="CJ31" s="19">
        <f t="shared" ref="CJ31" ca="1" si="1445">CJ$7+CJ$30</f>
        <v>-34757.795736524</v>
      </c>
      <c r="CK31" s="44"/>
      <c r="CL31" s="44"/>
      <c r="CM31" s="1" t="s">
        <v>227</v>
      </c>
      <c r="CN31" s="19">
        <f t="shared" ref="CN31" ca="1" si="1446">CN$7+CN$30</f>
        <v>22042.204263476015</v>
      </c>
      <c r="CO31" s="44"/>
      <c r="CP31" s="44"/>
      <c r="CQ31" s="1" t="s">
        <v>227</v>
      </c>
      <c r="CR31" s="19">
        <f t="shared" ref="CR31" ca="1" si="1447">CR$7+CR$30</f>
        <v>22042.204263476015</v>
      </c>
      <c r="CS31" s="44"/>
      <c r="CT31" s="44"/>
      <c r="CU31" s="1" t="s">
        <v>227</v>
      </c>
      <c r="CV31" s="19">
        <f t="shared" ref="CV31" ca="1" si="1448">CV$7+CV$30</f>
        <v>-34757.795736524</v>
      </c>
      <c r="CW31" s="44"/>
      <c r="CX31" s="44"/>
      <c r="CY31" s="1" t="s">
        <v>227</v>
      </c>
      <c r="CZ31" s="19">
        <f t="shared" ref="CZ31" ca="1" si="1449">CZ$7+CZ$30</f>
        <v>22042.204263476015</v>
      </c>
      <c r="DA31" s="44"/>
      <c r="DB31" s="44"/>
      <c r="DC31" s="1" t="s">
        <v>227</v>
      </c>
      <c r="DD31" s="19">
        <f t="shared" ref="DD31" ca="1" si="1450">DD$7+DD$30</f>
        <v>22042.204263476015</v>
      </c>
      <c r="DE31" s="44"/>
      <c r="DF31" s="44"/>
      <c r="DG31" s="1" t="s">
        <v>227</v>
      </c>
      <c r="DH31" s="19">
        <f t="shared" ref="DH31" ca="1" si="1451">DH$7+DH$30</f>
        <v>-38548.395736523991</v>
      </c>
      <c r="DI31" s="44"/>
      <c r="DJ31" s="44"/>
      <c r="DK31" s="1" t="s">
        <v>227</v>
      </c>
      <c r="DL31" s="19">
        <f t="shared" ref="DL31" ca="1" si="1452">DL$7+DL$30</f>
        <v>27551.604263476009</v>
      </c>
      <c r="DM31" s="44"/>
      <c r="DN31" s="44"/>
      <c r="DO31" s="1" t="s">
        <v>227</v>
      </c>
      <c r="DP31" s="19">
        <f t="shared" ref="DP31" ca="1" si="1453">DP$7+DP$30</f>
        <v>27551.604263476009</v>
      </c>
      <c r="DQ31" s="44"/>
      <c r="DR31" s="44"/>
      <c r="DS31" s="1" t="s">
        <v>227</v>
      </c>
      <c r="DT31" s="19">
        <f t="shared" ref="DT31" ca="1" si="1454">DT$7+DT$30</f>
        <v>-38548.395736523991</v>
      </c>
      <c r="DU31" s="44"/>
      <c r="DV31" s="44"/>
      <c r="DW31" s="1" t="s">
        <v>227</v>
      </c>
      <c r="DX31" s="19">
        <f t="shared" ref="DX31" ca="1" si="1455">DX$7+DX$30</f>
        <v>26745.204263476015</v>
      </c>
      <c r="DY31" s="44"/>
      <c r="DZ31" s="44"/>
      <c r="EA31" s="1" t="s">
        <v>227</v>
      </c>
      <c r="EB31" s="19">
        <f t="shared" ref="EB31" ca="1" si="1456">EB$7+EB$30</f>
        <v>26745.204263476015</v>
      </c>
      <c r="EC31" s="44"/>
      <c r="ED31" s="44"/>
      <c r="EE31" s="1" t="s">
        <v>227</v>
      </c>
      <c r="EF31" s="19">
        <f t="shared" ref="EF31" ca="1" si="1457">EF$7+EF$30</f>
        <v>-45554.795736523985</v>
      </c>
      <c r="EG31" s="44"/>
      <c r="EH31" s="44"/>
      <c r="EI31" s="1" t="s">
        <v>227</v>
      </c>
      <c r="EJ31" s="19">
        <f t="shared" ref="EJ31" ca="1" si="1458">EJ$7+EJ$30</f>
        <v>32139.404263476012</v>
      </c>
      <c r="EK31" s="44"/>
      <c r="EL31" s="44"/>
      <c r="EM31" s="1" t="s">
        <v>227</v>
      </c>
      <c r="EN31" s="19">
        <f t="shared" ref="EN31" ca="1" si="1459">EN$7+EN$30</f>
        <v>32139.404263476012</v>
      </c>
      <c r="EO31" s="44"/>
      <c r="EP31" s="44"/>
      <c r="EQ31" s="1" t="s">
        <v>227</v>
      </c>
      <c r="ER31" s="19">
        <f t="shared" ref="ER31" ca="1" si="1460">ER$7+ER$30</f>
        <v>-43260.595736524003</v>
      </c>
      <c r="ES31" s="44"/>
      <c r="ET31" s="44"/>
      <c r="EU31" s="1" t="s">
        <v>227</v>
      </c>
      <c r="EV31" s="19">
        <f t="shared" ref="EV31" ca="1" si="1461">EV$7+EV$30</f>
        <v>32139.404263476012</v>
      </c>
      <c r="EW31" s="44"/>
      <c r="EX31" s="44"/>
      <c r="EY31" s="1" t="s">
        <v>227</v>
      </c>
      <c r="EZ31" s="19">
        <f t="shared" ref="EZ31" ca="1" si="1462">EZ$7+EZ$30</f>
        <v>32139.404263476012</v>
      </c>
      <c r="FA31" s="44"/>
      <c r="FB31" s="44"/>
      <c r="FC31" s="1" t="s">
        <v>227</v>
      </c>
      <c r="FD31" s="19">
        <f t="shared" ref="FD31" ca="1" si="1463">FD$7+FD$30</f>
        <v>-49460.595736524003</v>
      </c>
      <c r="FE31" s="44"/>
      <c r="FF31" s="44"/>
      <c r="FG31" s="1" t="s">
        <v>227</v>
      </c>
      <c r="FH31" s="19">
        <f t="shared" ref="FH31" ca="1" si="1464">FH$7+FH$30</f>
        <v>37533.604263476009</v>
      </c>
      <c r="FI31" s="44"/>
      <c r="FJ31" s="44"/>
      <c r="FK31" s="1" t="s">
        <v>227</v>
      </c>
      <c r="FL31" s="19">
        <f t="shared" ref="FL31" ca="1" si="1465">FL$7+FL$30</f>
        <v>37533.604263476009</v>
      </c>
      <c r="FM31" s="44"/>
      <c r="FN31" s="44"/>
      <c r="FO31" s="1" t="s">
        <v>227</v>
      </c>
      <c r="FP31" s="19">
        <f t="shared" ref="FP31" ca="1" si="1466">FP$7+FP$30</f>
        <v>-47166.395736523991</v>
      </c>
      <c r="FQ31" s="44"/>
      <c r="FR31" s="44"/>
      <c r="FS31" s="1" t="s">
        <v>227</v>
      </c>
      <c r="FT31" s="19">
        <f t="shared" ref="FT31" ca="1" si="1467">FT$7+FT$30</f>
        <v>37533.604263476009</v>
      </c>
      <c r="FU31" s="44"/>
      <c r="FV31" s="44"/>
      <c r="FW31" s="1" t="s">
        <v>227</v>
      </c>
      <c r="FX31" s="19">
        <f t="shared" ref="FX31" ca="1" si="1468">FX$7+FX$30</f>
        <v>37533.604263476009</v>
      </c>
      <c r="FY31" s="44"/>
      <c r="FZ31" s="44"/>
      <c r="GA31" s="1" t="s">
        <v>227</v>
      </c>
      <c r="GB31" s="19">
        <f t="shared" ref="GB31" ca="1" si="1469">GB$7+GB$30</f>
        <v>-50266.395736523991</v>
      </c>
      <c r="GC31" s="44"/>
      <c r="GD31" s="44"/>
      <c r="GE31" s="1" t="s">
        <v>227</v>
      </c>
      <c r="GF31" s="19">
        <f t="shared" ref="GF31" ca="1" si="1470">GF$7+GF$30</f>
        <v>37533.604263476009</v>
      </c>
      <c r="GG31" s="44"/>
      <c r="GH31" s="44"/>
      <c r="GI31" s="1" t="s">
        <v>227</v>
      </c>
      <c r="GJ31" s="19">
        <f t="shared" ref="GJ31" ca="1" si="1471">GJ$7+GJ$30</f>
        <v>42927.804263476013</v>
      </c>
      <c r="GK31" s="44"/>
      <c r="GL31" s="44"/>
      <c r="GM31" s="1" t="s">
        <v>227</v>
      </c>
      <c r="GN31" s="19">
        <f t="shared" ref="GN31" ca="1" si="1472">GN$7+GN$30</f>
        <v>-51072.19573652398</v>
      </c>
      <c r="GO31" s="44"/>
      <c r="GP31" s="44"/>
      <c r="GQ31" s="1" t="s">
        <v>227</v>
      </c>
      <c r="GR31" s="19">
        <f t="shared" ref="GR31" ca="1" si="1473">GR$7+GR$30</f>
        <v>42927.804263476013</v>
      </c>
      <c r="GS31" s="44"/>
      <c r="GT31" s="44"/>
      <c r="GU31" s="1" t="s">
        <v>227</v>
      </c>
      <c r="GV31" s="19">
        <f t="shared" ref="GV31" ca="1" si="1474">GV$7+GV$30</f>
        <v>42927.804263476013</v>
      </c>
      <c r="GW31" s="44"/>
      <c r="GX31" s="44"/>
      <c r="GY31" s="1" t="s">
        <v>227</v>
      </c>
      <c r="GZ31" s="19">
        <f t="shared" ref="GZ31" ca="1" si="1475">GZ$7+GZ$30</f>
        <v>-51072.19573652398</v>
      </c>
      <c r="HA31" s="44"/>
      <c r="HB31" s="44"/>
      <c r="HC31" s="1" t="s">
        <v>227</v>
      </c>
      <c r="HD31" s="19">
        <f t="shared" ref="HD31" ca="1" si="1476">HD$7+HD$30</f>
        <v>42927.804263476013</v>
      </c>
      <c r="HE31" s="44"/>
      <c r="HF31" s="44"/>
      <c r="HG31" s="1" t="s">
        <v>227</v>
      </c>
      <c r="HH31" s="19">
        <f t="shared" ref="HH31" ca="1" si="1477">HH$7+HH$30</f>
        <v>42927.804263476013</v>
      </c>
      <c r="HI31" s="44"/>
      <c r="HJ31" s="44"/>
      <c r="HK31" s="1" t="s">
        <v>227</v>
      </c>
      <c r="HL31" s="19">
        <f t="shared" ref="HL31" ca="1" si="1478">HL$7+HL$30</f>
        <v>-54977.995736523997</v>
      </c>
      <c r="HM31" s="44"/>
      <c r="HN31" s="44"/>
      <c r="HO31" s="1" t="s">
        <v>227</v>
      </c>
      <c r="HP31" s="19">
        <f t="shared" ref="HP31" ca="1" si="1479">HP$7+HP$30</f>
        <v>48322.00426347601</v>
      </c>
      <c r="HQ31" s="44"/>
      <c r="HR31" s="44"/>
      <c r="HS31" s="1" t="s">
        <v>227</v>
      </c>
      <c r="HT31" s="19">
        <f t="shared" ref="HT31" ca="1" si="1480">HT$7+HT$30</f>
        <v>48322.00426347601</v>
      </c>
      <c r="HU31" s="44"/>
      <c r="HV31" s="44"/>
      <c r="HW31" s="1" t="s">
        <v>227</v>
      </c>
      <c r="HX31" s="19">
        <f t="shared" ref="HX31" ca="1" si="1481">HX$7+HX$30</f>
        <v>-54977.995736523997</v>
      </c>
      <c r="HY31" s="44"/>
      <c r="HZ31" s="44"/>
      <c r="IA31" s="1" t="s">
        <v>227</v>
      </c>
      <c r="IB31" s="19">
        <f t="shared" ref="IB31" ca="1" si="1482">IB$7+IB$30</f>
        <v>48322.00426347601</v>
      </c>
      <c r="IC31" s="44"/>
      <c r="ID31" s="44"/>
      <c r="IE31" s="1" t="s">
        <v>227</v>
      </c>
      <c r="IF31" s="19">
        <f t="shared" ref="IF31" ca="1" si="1483">IF$7+IF$30</f>
        <v>48322.00426347601</v>
      </c>
      <c r="IG31" s="44"/>
      <c r="IH31" s="44"/>
      <c r="II31" s="1" t="s">
        <v>227</v>
      </c>
      <c r="IJ31" s="19">
        <f t="shared" ref="IJ31" ca="1" si="1484">IJ$7+IJ$30</f>
        <v>-58883.795736524015</v>
      </c>
      <c r="IK31" s="44"/>
      <c r="IL31" s="44"/>
      <c r="IM31" s="1" t="s">
        <v>227</v>
      </c>
      <c r="IN31" s="19">
        <f t="shared" ref="IN31" ca="1" si="1485">IN$7+IN$30</f>
        <v>53716.204263476015</v>
      </c>
      <c r="IO31" s="44"/>
      <c r="IP31" s="44"/>
      <c r="IQ31" s="1" t="s">
        <v>227</v>
      </c>
      <c r="IR31" s="19">
        <f t="shared" ref="IR31" ca="1" si="1486">IR$7+IR$30</f>
        <v>53716.204263476015</v>
      </c>
      <c r="IS31" s="44"/>
      <c r="IT31" s="44"/>
      <c r="IU31" s="1" t="s">
        <v>227</v>
      </c>
      <c r="IV31" s="19">
        <f t="shared" ref="IV31" ca="1" si="1487">IV$7+IV$30</f>
        <v>-58883.795736524015</v>
      </c>
      <c r="IW31" s="44"/>
      <c r="IX31" s="44"/>
      <c r="IY31" s="1" t="s">
        <v>227</v>
      </c>
      <c r="IZ31" s="19">
        <f t="shared" ref="IZ31" ca="1" si="1488">IZ$7+IZ$30</f>
        <v>53716.204263476015</v>
      </c>
      <c r="JA31" s="44"/>
      <c r="JB31" s="44"/>
      <c r="JC31" s="1" t="s">
        <v>227</v>
      </c>
      <c r="JD31" s="19">
        <f t="shared" ref="JD31" ca="1" si="1489">JD$7+JD$30</f>
        <v>53716.204263476015</v>
      </c>
      <c r="JE31" s="44"/>
      <c r="JF31" s="44"/>
      <c r="JG31" s="1" t="s">
        <v>227</v>
      </c>
      <c r="JH31" s="19">
        <f t="shared" ref="JH31" ca="1" si="1490">JH$7+JH$30</f>
        <v>-65083.795736524015</v>
      </c>
      <c r="JI31" s="44"/>
      <c r="JJ31" s="44"/>
      <c r="JK31" s="1" t="s">
        <v>227</v>
      </c>
      <c r="JL31" s="19">
        <f t="shared" ref="JL31" ca="1" si="1491">JL$7+JL$30</f>
        <v>59110.404263476012</v>
      </c>
      <c r="JM31" s="44"/>
      <c r="JN31" s="44"/>
      <c r="JO31" s="1" t="s">
        <v>227</v>
      </c>
      <c r="JP31" s="19">
        <f t="shared" ref="JP31" ca="1" si="1492">JP$7+JP$30</f>
        <v>59110.404263476012</v>
      </c>
      <c r="JQ31" s="44"/>
      <c r="JR31" s="44"/>
      <c r="JS31" s="1" t="s">
        <v>227</v>
      </c>
      <c r="JT31" s="19">
        <f t="shared" ref="JT31" ca="1" si="1493">JT$7+JT$30</f>
        <v>-62789.595736523974</v>
      </c>
      <c r="JU31" s="44"/>
      <c r="JV31" s="44"/>
      <c r="JW31" s="1" t="s">
        <v>227</v>
      </c>
      <c r="JX31" s="19">
        <f t="shared" ref="JX31" ca="1" si="1494">JX$7+JX$30</f>
        <v>59110.404263476012</v>
      </c>
      <c r="JY31" s="44"/>
      <c r="JZ31" s="44"/>
      <c r="KA31" s="1" t="s">
        <v>227</v>
      </c>
      <c r="KB31" s="19">
        <f t="shared" ref="KB31" ca="1" si="1495">KB$7+KB$30</f>
        <v>59110.404263476012</v>
      </c>
      <c r="KC31" s="44"/>
      <c r="KD31" s="44"/>
      <c r="KE31" s="1" t="s">
        <v>227</v>
      </c>
      <c r="KF31" s="19">
        <f t="shared" ref="KF31" ca="1" si="1496">KF$7+KF$30</f>
        <v>17810.404263476012</v>
      </c>
      <c r="KG31" s="44"/>
      <c r="KH31" s="44"/>
    </row>
    <row r="32" spans="1:294" x14ac:dyDescent="0.25">
      <c r="H32" s="44"/>
      <c r="I32" s="44"/>
      <c r="K32" s="37"/>
      <c r="L32" s="44"/>
      <c r="M32" s="44"/>
      <c r="N32" s="44"/>
      <c r="O32" s="37"/>
      <c r="P32" s="44"/>
      <c r="Q32" s="44"/>
      <c r="R32" s="44"/>
      <c r="S32" s="37"/>
      <c r="T32" s="44"/>
      <c r="U32" s="44"/>
      <c r="V32" s="44"/>
      <c r="W32" s="37"/>
      <c r="X32" s="44"/>
      <c r="Y32" s="44"/>
      <c r="Z32" s="44"/>
      <c r="AA32" s="37"/>
      <c r="AB32" s="44"/>
      <c r="AC32" s="44"/>
      <c r="AD32" s="44"/>
      <c r="AE32" s="37"/>
      <c r="AF32" s="44"/>
      <c r="AG32" s="44"/>
      <c r="AH32" s="44"/>
      <c r="AI32" s="37"/>
      <c r="AJ32" s="44"/>
      <c r="AK32" s="44"/>
      <c r="AL32" s="44"/>
      <c r="AM32" s="37"/>
      <c r="AN32" s="44"/>
      <c r="AO32" s="44"/>
      <c r="AP32" s="44"/>
      <c r="AQ32" s="37"/>
      <c r="AR32" s="44"/>
      <c r="AS32" s="44"/>
      <c r="AT32" s="44"/>
      <c r="AU32" s="37"/>
      <c r="AV32" s="44"/>
      <c r="AW32" s="44"/>
      <c r="AX32" s="44"/>
      <c r="AY32" s="37"/>
      <c r="AZ32" s="44"/>
      <c r="BA32" s="44"/>
      <c r="BB32" s="44"/>
      <c r="BC32" s="37"/>
      <c r="BD32" s="44"/>
      <c r="BE32" s="44"/>
      <c r="BF32" s="44"/>
      <c r="BG32" s="37"/>
      <c r="BH32" s="44"/>
      <c r="BI32" s="44"/>
      <c r="BJ32" s="44"/>
      <c r="BK32" s="37"/>
      <c r="BL32" s="44"/>
      <c r="BM32" s="44"/>
      <c r="BN32" s="44"/>
      <c r="BO32" s="37"/>
      <c r="BP32" s="44"/>
      <c r="BQ32" s="44"/>
      <c r="BR32" s="44"/>
      <c r="BS32" s="37"/>
      <c r="BT32" s="44"/>
      <c r="BU32" s="44"/>
      <c r="BV32" s="44"/>
      <c r="BW32" s="37"/>
      <c r="BX32" s="44"/>
      <c r="BY32" s="44"/>
      <c r="BZ32" s="44"/>
      <c r="CA32" s="37"/>
      <c r="CB32" s="44"/>
      <c r="CC32" s="44"/>
      <c r="CD32" s="44"/>
      <c r="CE32" s="37"/>
      <c r="CF32" s="44"/>
      <c r="CG32" s="44"/>
      <c r="CH32" s="44"/>
      <c r="CI32" s="37"/>
      <c r="CJ32" s="44"/>
      <c r="CK32" s="44"/>
      <c r="CL32" s="44"/>
      <c r="CM32" s="37"/>
      <c r="CN32" s="44"/>
      <c r="CO32" s="44"/>
      <c r="CP32" s="44"/>
      <c r="CQ32" s="37"/>
      <c r="CR32" s="44"/>
      <c r="CS32" s="44"/>
      <c r="CT32" s="44"/>
      <c r="CU32" s="37"/>
      <c r="CV32" s="44"/>
      <c r="CW32" s="44"/>
      <c r="CX32" s="44"/>
      <c r="CY32" s="37"/>
      <c r="CZ32" s="44"/>
      <c r="DA32" s="44"/>
      <c r="DB32" s="44"/>
      <c r="DC32" s="37"/>
      <c r="DD32" s="44"/>
      <c r="DE32" s="44"/>
      <c r="DF32" s="44"/>
      <c r="DG32" s="37"/>
      <c r="DH32" s="44"/>
      <c r="DI32" s="44"/>
      <c r="DJ32" s="44"/>
      <c r="DK32" s="37"/>
      <c r="DL32" s="44"/>
      <c r="DM32" s="44"/>
      <c r="DN32" s="44"/>
      <c r="DO32" s="37"/>
      <c r="DP32" s="44"/>
      <c r="DQ32" s="44"/>
      <c r="DR32" s="44"/>
      <c r="DS32" s="37"/>
      <c r="DT32" s="44"/>
      <c r="DU32" s="44"/>
      <c r="DV32" s="44"/>
      <c r="DW32" s="37"/>
      <c r="DX32" s="44"/>
      <c r="DY32" s="44"/>
      <c r="DZ32" s="44"/>
      <c r="EA32" s="37"/>
      <c r="EB32" s="44"/>
      <c r="EC32" s="44"/>
      <c r="ED32" s="44"/>
      <c r="EE32" s="37"/>
      <c r="EF32" s="44"/>
      <c r="EG32" s="44"/>
      <c r="EH32" s="44"/>
      <c r="EI32" s="37"/>
      <c r="EJ32" s="44"/>
      <c r="EK32" s="44"/>
      <c r="EL32" s="44"/>
      <c r="EM32" s="37"/>
      <c r="EN32" s="44"/>
      <c r="EO32" s="44"/>
      <c r="EP32" s="44"/>
      <c r="EQ32" s="37"/>
      <c r="ER32" s="44"/>
      <c r="ES32" s="44"/>
      <c r="ET32" s="44"/>
      <c r="EU32" s="37"/>
      <c r="EV32" s="44"/>
      <c r="EW32" s="44"/>
      <c r="EX32" s="44"/>
      <c r="EY32" s="37"/>
      <c r="EZ32" s="44"/>
      <c r="FA32" s="44"/>
      <c r="FB32" s="44"/>
      <c r="FC32" s="37"/>
      <c r="FD32" s="44"/>
      <c r="FE32" s="44"/>
      <c r="FF32" s="44"/>
      <c r="FG32" s="37"/>
      <c r="FH32" s="44"/>
      <c r="FI32" s="44"/>
      <c r="FJ32" s="44"/>
      <c r="FK32" s="37"/>
      <c r="FL32" s="44"/>
      <c r="FM32" s="44"/>
      <c r="FN32" s="44"/>
      <c r="FO32" s="37"/>
      <c r="FP32" s="44"/>
      <c r="FQ32" s="44"/>
      <c r="FR32" s="44"/>
      <c r="FS32" s="37"/>
      <c r="FT32" s="44"/>
      <c r="FU32" s="44"/>
      <c r="FV32" s="44"/>
      <c r="FW32" s="37"/>
      <c r="FX32" s="44"/>
      <c r="FY32" s="44"/>
      <c r="FZ32" s="44"/>
      <c r="GA32" s="37"/>
      <c r="GB32" s="44"/>
      <c r="GC32" s="44"/>
      <c r="GD32" s="44"/>
      <c r="GE32" s="37"/>
      <c r="GF32" s="44"/>
      <c r="GG32" s="44"/>
      <c r="GH32" s="44"/>
      <c r="GI32" s="37"/>
      <c r="GJ32" s="44"/>
      <c r="GK32" s="44"/>
      <c r="GL32" s="44"/>
      <c r="GM32" s="37"/>
      <c r="GN32" s="44"/>
      <c r="GO32" s="44"/>
      <c r="GP32" s="44"/>
      <c r="GQ32" s="37"/>
      <c r="GR32" s="44"/>
      <c r="GS32" s="44"/>
      <c r="GT32" s="44"/>
      <c r="GU32" s="37"/>
      <c r="GV32" s="44"/>
      <c r="GW32" s="44"/>
      <c r="GX32" s="44"/>
      <c r="GY32" s="37"/>
      <c r="GZ32" s="44"/>
      <c r="HA32" s="44"/>
      <c r="HB32" s="44"/>
      <c r="HC32" s="37"/>
      <c r="HD32" s="44"/>
      <c r="HE32" s="44"/>
      <c r="HF32" s="44"/>
      <c r="HG32" s="37"/>
      <c r="HH32" s="44"/>
      <c r="HI32" s="44"/>
      <c r="HJ32" s="44"/>
      <c r="HK32" s="37"/>
      <c r="HL32" s="44"/>
      <c r="HM32" s="44"/>
      <c r="HN32" s="44"/>
      <c r="HO32" s="37"/>
      <c r="HP32" s="44"/>
      <c r="HQ32" s="44"/>
      <c r="HR32" s="44"/>
      <c r="HS32" s="37"/>
      <c r="HT32" s="44"/>
      <c r="HU32" s="44"/>
      <c r="HV32" s="44"/>
      <c r="HW32" s="37"/>
      <c r="HX32" s="44"/>
      <c r="HY32" s="44"/>
      <c r="HZ32" s="44"/>
      <c r="IA32" s="37"/>
      <c r="IB32" s="44"/>
      <c r="IC32" s="44"/>
      <c r="ID32" s="44"/>
      <c r="IE32" s="37"/>
      <c r="IF32" s="44"/>
      <c r="IG32" s="44"/>
      <c r="IH32" s="44"/>
      <c r="II32" s="37"/>
      <c r="IJ32" s="44"/>
      <c r="IK32" s="44"/>
      <c r="IL32" s="44"/>
      <c r="IM32" s="37"/>
      <c r="IN32" s="44"/>
      <c r="IO32" s="44"/>
      <c r="IP32" s="44"/>
      <c r="IQ32" s="37"/>
      <c r="IR32" s="44"/>
      <c r="IS32" s="44"/>
      <c r="IT32" s="44"/>
      <c r="IU32" s="37"/>
      <c r="IV32" s="44"/>
      <c r="IW32" s="44"/>
      <c r="IX32" s="44"/>
      <c r="IY32" s="37"/>
      <c r="IZ32" s="44"/>
      <c r="JA32" s="44"/>
      <c r="JB32" s="44"/>
      <c r="JC32" s="37"/>
      <c r="JD32" s="44"/>
      <c r="JE32" s="44"/>
      <c r="JF32" s="44"/>
      <c r="JG32" s="37"/>
      <c r="JH32" s="44"/>
      <c r="JI32" s="44"/>
      <c r="JJ32" s="44"/>
      <c r="JK32" s="37"/>
      <c r="JL32" s="44"/>
      <c r="JM32" s="44"/>
      <c r="JN32" s="44"/>
      <c r="JO32" s="37"/>
      <c r="JP32" s="44"/>
      <c r="JQ32" s="44"/>
      <c r="JR32" s="44"/>
      <c r="JS32" s="37"/>
      <c r="JT32" s="44"/>
      <c r="JU32" s="44"/>
      <c r="JV32" s="44"/>
      <c r="JW32" s="37"/>
      <c r="JX32" s="44"/>
      <c r="JY32" s="44"/>
      <c r="JZ32" s="44"/>
      <c r="KA32" s="37"/>
      <c r="KB32" s="44"/>
      <c r="KC32" s="44"/>
      <c r="KD32" s="44"/>
      <c r="KE32" s="37"/>
      <c r="KF32" s="44"/>
      <c r="KG32" s="44"/>
      <c r="KH32" s="44"/>
    </row>
    <row r="33" spans="1:294" x14ac:dyDescent="0.25">
      <c r="C33" s="1" t="s">
        <v>221</v>
      </c>
      <c r="D33" s="63">
        <f ca="1">D$31</f>
        <v>-104301.995736524</v>
      </c>
      <c r="G33" s="1" t="s">
        <v>221</v>
      </c>
      <c r="H33" s="63">
        <f ca="1">D$33+H31</f>
        <v>-97203.99147304798</v>
      </c>
      <c r="I33" s="44"/>
      <c r="K33" s="1" t="s">
        <v>221</v>
      </c>
      <c r="L33" s="63">
        <f t="shared" ref="L33" ca="1" si="1497">H$33+L31</f>
        <v>-90105.987209571962</v>
      </c>
      <c r="M33" s="44"/>
      <c r="N33" s="44"/>
      <c r="O33" s="1" t="s">
        <v>221</v>
      </c>
      <c r="P33" s="63">
        <f t="shared" ref="P33" ca="1" si="1498">L$33+P31</f>
        <v>-111907.98294609596</v>
      </c>
      <c r="Q33" s="44"/>
      <c r="R33" s="44"/>
      <c r="S33" s="1" t="s">
        <v>221</v>
      </c>
      <c r="T33" s="63">
        <f t="shared" ref="T33" ca="1" si="1499">P$33+T31</f>
        <v>-104809.97868261994</v>
      </c>
      <c r="U33" s="44"/>
      <c r="V33" s="44"/>
      <c r="W33" s="1" t="s">
        <v>221</v>
      </c>
      <c r="X33" s="63">
        <f t="shared" ref="X33" ca="1" si="1500">T$33+X31</f>
        <v>-97711.974419143924</v>
      </c>
      <c r="Y33" s="44"/>
      <c r="Z33" s="44"/>
      <c r="AA33" s="1" t="s">
        <v>221</v>
      </c>
      <c r="AB33" s="63">
        <f t="shared" ref="AB33" ca="1" si="1501">X$33+AB31</f>
        <v>-126664.37015566792</v>
      </c>
      <c r="AC33" s="44"/>
      <c r="AD33" s="44"/>
      <c r="AE33" s="1" t="s">
        <v>221</v>
      </c>
      <c r="AF33" s="63">
        <f t="shared" ref="AF33" ca="1" si="1502">AB$33+AF31</f>
        <v>-114796.1658921919</v>
      </c>
      <c r="AG33" s="44"/>
      <c r="AH33" s="44"/>
      <c r="AI33" s="1" t="s">
        <v>221</v>
      </c>
      <c r="AJ33" s="63">
        <f t="shared" ref="AJ33" ca="1" si="1503">AF$33+AJ31</f>
        <v>-102927.96162871589</v>
      </c>
      <c r="AK33" s="44"/>
      <c r="AL33" s="44"/>
      <c r="AM33" s="1" t="s">
        <v>221</v>
      </c>
      <c r="AN33" s="63">
        <f t="shared" ref="AN33" ca="1" si="1504">AJ$33+AN31</f>
        <v>-129259.75736523987</v>
      </c>
      <c r="AO33" s="44"/>
      <c r="AP33" s="44"/>
      <c r="AQ33" s="1" t="s">
        <v>221</v>
      </c>
      <c r="AR33" s="63">
        <f t="shared" ref="AR33" ca="1" si="1505">AN$33+AR31</f>
        <v>-117391.55310176386</v>
      </c>
      <c r="AS33" s="44"/>
      <c r="AT33" s="44"/>
      <c r="AU33" s="1" t="s">
        <v>221</v>
      </c>
      <c r="AV33" s="63">
        <f t="shared" ref="AV33" ca="1" si="1506">AR$33+AV31</f>
        <v>-106368.14883828785</v>
      </c>
      <c r="AW33" s="44"/>
      <c r="AX33" s="44"/>
      <c r="AY33" s="1" t="s">
        <v>221</v>
      </c>
      <c r="AZ33" s="63">
        <f t="shared" ref="AZ33" ca="1" si="1507">AV$33+AZ31</f>
        <v>-136644.74457481183</v>
      </c>
      <c r="BA33" s="44"/>
      <c r="BB33" s="44"/>
      <c r="BC33" s="1" t="s">
        <v>221</v>
      </c>
      <c r="BD33" s="63">
        <f t="shared" ref="BD33" ca="1" si="1508">AZ$33+BD31</f>
        <v>-125621.34031133582</v>
      </c>
      <c r="BE33" s="44"/>
      <c r="BF33" s="44"/>
      <c r="BG33" s="1" t="s">
        <v>221</v>
      </c>
      <c r="BH33" s="63">
        <f t="shared" ref="BH33" ca="1" si="1509">BD$33+BH31</f>
        <v>-109088.53604785982</v>
      </c>
      <c r="BI33" s="44"/>
      <c r="BJ33" s="44"/>
      <c r="BK33" s="1" t="s">
        <v>221</v>
      </c>
      <c r="BL33" s="63">
        <f t="shared" ref="BL33" ca="1" si="1510">BH$33+BL31</f>
        <v>-140055.7317843838</v>
      </c>
      <c r="BM33" s="44"/>
      <c r="BN33" s="44"/>
      <c r="BO33" s="1" t="s">
        <v>221</v>
      </c>
      <c r="BP33" s="63">
        <f t="shared" ref="BP33" ca="1" si="1511">BL$33+BP31</f>
        <v>-123522.92752090778</v>
      </c>
      <c r="BQ33" s="44"/>
      <c r="BR33" s="44"/>
      <c r="BS33" s="1" t="s">
        <v>221</v>
      </c>
      <c r="BT33" s="63">
        <f t="shared" ref="BT33" ca="1" si="1512">BP$33+BT31</f>
        <v>-106990.12325743175</v>
      </c>
      <c r="BU33" s="44"/>
      <c r="BV33" s="44"/>
      <c r="BW33" s="1" t="s">
        <v>221</v>
      </c>
      <c r="BX33" s="63">
        <f t="shared" ref="BX33" ca="1" si="1513">BT$33+BX31</f>
        <v>-141057.31899395573</v>
      </c>
      <c r="BY33" s="44"/>
      <c r="BZ33" s="44"/>
      <c r="CA33" s="1" t="s">
        <v>221</v>
      </c>
      <c r="CB33" s="63">
        <f t="shared" ref="CB33" ca="1" si="1514">BX$33+CB31</f>
        <v>-124524.51473047971</v>
      </c>
      <c r="CC33" s="44"/>
      <c r="CD33" s="44"/>
      <c r="CE33" s="1" t="s">
        <v>221</v>
      </c>
      <c r="CF33" s="63">
        <f t="shared" ref="CF33" ca="1" si="1515">CB$33+CF31</f>
        <v>-102482.3104670037</v>
      </c>
      <c r="CG33" s="44"/>
      <c r="CH33" s="44"/>
      <c r="CI33" s="1" t="s">
        <v>221</v>
      </c>
      <c r="CJ33" s="63">
        <f t="shared" ref="CJ33" ca="1" si="1516">CF$33+CJ31</f>
        <v>-137240.10620352771</v>
      </c>
      <c r="CK33" s="44"/>
      <c r="CL33" s="44"/>
      <c r="CM33" s="1" t="s">
        <v>221</v>
      </c>
      <c r="CN33" s="63">
        <f t="shared" ref="CN33" ca="1" si="1517">CJ$33+CN31</f>
        <v>-115197.9019400517</v>
      </c>
      <c r="CO33" s="44"/>
      <c r="CP33" s="44"/>
      <c r="CQ33" s="1" t="s">
        <v>221</v>
      </c>
      <c r="CR33" s="63">
        <f t="shared" ref="CR33" ca="1" si="1518">CN$33+CR31</f>
        <v>-93155.697676575684</v>
      </c>
      <c r="CS33" s="44"/>
      <c r="CT33" s="44"/>
      <c r="CU33" s="1" t="s">
        <v>221</v>
      </c>
      <c r="CV33" s="63">
        <f t="shared" ref="CV33" ca="1" si="1519">CR$33+CV31</f>
        <v>-127913.49341309968</v>
      </c>
      <c r="CW33" s="44"/>
      <c r="CX33" s="44"/>
      <c r="CY33" s="1" t="s">
        <v>221</v>
      </c>
      <c r="CZ33" s="63">
        <f t="shared" ref="CZ33" ca="1" si="1520">CV$33+CZ31</f>
        <v>-105871.28914962367</v>
      </c>
      <c r="DA33" s="44"/>
      <c r="DB33" s="44"/>
      <c r="DC33" s="1" t="s">
        <v>221</v>
      </c>
      <c r="DD33" s="63">
        <f t="shared" ref="DD33" ca="1" si="1521">CZ$33+DD31</f>
        <v>-83829.084886147655</v>
      </c>
      <c r="DE33" s="44"/>
      <c r="DF33" s="44"/>
      <c r="DG33" s="1" t="s">
        <v>221</v>
      </c>
      <c r="DH33" s="63">
        <f t="shared" ref="DH33" ca="1" si="1522">DD$33+DH31</f>
        <v>-122377.48062267165</v>
      </c>
      <c r="DI33" s="44"/>
      <c r="DJ33" s="44"/>
      <c r="DK33" s="1" t="s">
        <v>221</v>
      </c>
      <c r="DL33" s="63">
        <f t="shared" ref="DL33" ca="1" si="1523">DH$33+DL31</f>
        <v>-94825.876359195638</v>
      </c>
      <c r="DM33" s="44"/>
      <c r="DN33" s="44"/>
      <c r="DO33" s="1" t="s">
        <v>221</v>
      </c>
      <c r="DP33" s="63">
        <f t="shared" ref="DP33" ca="1" si="1524">DL$33+DP31</f>
        <v>-67274.272095719629</v>
      </c>
      <c r="DQ33" s="44"/>
      <c r="DR33" s="44"/>
      <c r="DS33" s="1" t="s">
        <v>221</v>
      </c>
      <c r="DT33" s="63">
        <f t="shared" ref="DT33" ca="1" si="1525">DP$33+DT31</f>
        <v>-105822.66783224362</v>
      </c>
      <c r="DU33" s="44"/>
      <c r="DV33" s="44"/>
      <c r="DW33" s="1" t="s">
        <v>221</v>
      </c>
      <c r="DX33" s="63">
        <f t="shared" ref="DX33" ca="1" si="1526">DT$33+DX31</f>
        <v>-79077.463568767605</v>
      </c>
      <c r="DY33" s="44"/>
      <c r="DZ33" s="44"/>
      <c r="EA33" s="1" t="s">
        <v>221</v>
      </c>
      <c r="EB33" s="63">
        <f t="shared" ref="EB33" ca="1" si="1527">DX$33+EB31</f>
        <v>-52332.259305291591</v>
      </c>
      <c r="EC33" s="44"/>
      <c r="ED33" s="44"/>
      <c r="EE33" s="1" t="s">
        <v>221</v>
      </c>
      <c r="EF33" s="63">
        <f t="shared" ref="EF33" ca="1" si="1528">EB$33+EF31</f>
        <v>-97887.055041815576</v>
      </c>
      <c r="EG33" s="44"/>
      <c r="EH33" s="44"/>
      <c r="EI33" s="1" t="s">
        <v>221</v>
      </c>
      <c r="EJ33" s="63">
        <f t="shared" ref="EJ33" ca="1" si="1529">EF$33+EJ31</f>
        <v>-65747.650778339565</v>
      </c>
      <c r="EK33" s="44"/>
      <c r="EL33" s="44"/>
      <c r="EM33" s="1" t="s">
        <v>221</v>
      </c>
      <c r="EN33" s="63">
        <f t="shared" ref="EN33" ca="1" si="1530">EJ$33+EN31</f>
        <v>-33608.246514863553</v>
      </c>
      <c r="EO33" s="44"/>
      <c r="EP33" s="44"/>
      <c r="EQ33" s="1" t="s">
        <v>221</v>
      </c>
      <c r="ER33" s="63">
        <f t="shared" ref="ER33" ca="1" si="1531">EN$33+ER31</f>
        <v>-76868.842251387556</v>
      </c>
      <c r="ES33" s="44"/>
      <c r="ET33" s="44"/>
      <c r="EU33" s="1" t="s">
        <v>221</v>
      </c>
      <c r="EV33" s="63">
        <f t="shared" ref="EV33" ca="1" si="1532">ER$33+EV31</f>
        <v>-44729.437987911544</v>
      </c>
      <c r="EW33" s="44"/>
      <c r="EX33" s="44"/>
      <c r="EY33" s="1" t="s">
        <v>221</v>
      </c>
      <c r="EZ33" s="63">
        <f t="shared" ref="EZ33" ca="1" si="1533">EV$33+EZ31</f>
        <v>-12590.033724435532</v>
      </c>
      <c r="FA33" s="44"/>
      <c r="FB33" s="44"/>
      <c r="FC33" s="1" t="s">
        <v>221</v>
      </c>
      <c r="FD33" s="63">
        <f t="shared" ref="FD33" ca="1" si="1534">EZ$33+FD31</f>
        <v>-62050.629460959535</v>
      </c>
      <c r="FE33" s="44"/>
      <c r="FF33" s="44"/>
      <c r="FG33" s="1" t="s">
        <v>221</v>
      </c>
      <c r="FH33" s="63">
        <f t="shared" ref="FH33" ca="1" si="1535">FD$33+FH31</f>
        <v>-24517.025197483526</v>
      </c>
      <c r="FI33" s="44"/>
      <c r="FJ33" s="44"/>
      <c r="FK33" s="1" t="s">
        <v>221</v>
      </c>
      <c r="FL33" s="63">
        <f t="shared" ref="FL33" ca="1" si="1536">FH$33+FL31</f>
        <v>13016.579065992482</v>
      </c>
      <c r="FM33" s="44"/>
      <c r="FN33" s="44"/>
      <c r="FO33" s="1" t="s">
        <v>221</v>
      </c>
      <c r="FP33" s="63">
        <f t="shared" ref="FP33" ca="1" si="1537">FL$33+FP31</f>
        <v>-34149.816670531509</v>
      </c>
      <c r="FQ33" s="44"/>
      <c r="FR33" s="44"/>
      <c r="FS33" s="1" t="s">
        <v>221</v>
      </c>
      <c r="FT33" s="63">
        <f t="shared" ref="FT33" ca="1" si="1538">FP$33+FT31</f>
        <v>3383.7875929444999</v>
      </c>
      <c r="FU33" s="44"/>
      <c r="FV33" s="44"/>
      <c r="FW33" s="1" t="s">
        <v>221</v>
      </c>
      <c r="FX33" s="63">
        <f t="shared" ref="FX33" ca="1" si="1539">FT$33+FX31</f>
        <v>40917.391856420509</v>
      </c>
      <c r="FY33" s="44"/>
      <c r="FZ33" s="44"/>
      <c r="GA33" s="1" t="s">
        <v>221</v>
      </c>
      <c r="GB33" s="63">
        <f t="shared" ref="GB33" ca="1" si="1540">FX$33+GB31</f>
        <v>-9349.0038801034825</v>
      </c>
      <c r="GC33" s="44"/>
      <c r="GD33" s="44"/>
      <c r="GE33" s="1" t="s">
        <v>221</v>
      </c>
      <c r="GF33" s="63">
        <f t="shared" ref="GF33" ca="1" si="1541">GB$33+GF31</f>
        <v>28184.600383372526</v>
      </c>
      <c r="GG33" s="44"/>
      <c r="GH33" s="44"/>
      <c r="GI33" s="1" t="s">
        <v>221</v>
      </c>
      <c r="GJ33" s="63">
        <f t="shared" ref="GJ33" ca="1" si="1542">GF$33+GJ31</f>
        <v>71112.404646848532</v>
      </c>
      <c r="GK33" s="44"/>
      <c r="GL33" s="44"/>
      <c r="GM33" s="1" t="s">
        <v>221</v>
      </c>
      <c r="GN33" s="63">
        <f t="shared" ref="GN33" ca="1" si="1543">GJ$33+GN31</f>
        <v>20040.208910324553</v>
      </c>
      <c r="GO33" s="44"/>
      <c r="GP33" s="44"/>
      <c r="GQ33" s="1" t="s">
        <v>221</v>
      </c>
      <c r="GR33" s="63">
        <f t="shared" ref="GR33" ca="1" si="1544">GN$33+GR31</f>
        <v>62968.013173800566</v>
      </c>
      <c r="GS33" s="44"/>
      <c r="GT33" s="44"/>
      <c r="GU33" s="1" t="s">
        <v>221</v>
      </c>
      <c r="GV33" s="63">
        <f t="shared" ref="GV33" ca="1" si="1545">GR$33+GV31</f>
        <v>105895.81743727658</v>
      </c>
      <c r="GW33" s="44"/>
      <c r="GX33" s="44"/>
      <c r="GY33" s="1" t="s">
        <v>221</v>
      </c>
      <c r="GZ33" s="63">
        <f t="shared" ref="GZ33" ca="1" si="1546">GV$33+GZ31</f>
        <v>54823.621700752599</v>
      </c>
      <c r="HA33" s="44"/>
      <c r="HB33" s="44"/>
      <c r="HC33" s="1" t="s">
        <v>221</v>
      </c>
      <c r="HD33" s="63">
        <f t="shared" ref="HD33" ca="1" si="1547">GZ$33+HD31</f>
        <v>97751.425964228605</v>
      </c>
      <c r="HE33" s="44"/>
      <c r="HF33" s="44"/>
      <c r="HG33" s="1" t="s">
        <v>221</v>
      </c>
      <c r="HH33" s="63">
        <f t="shared" ref="HH33" ca="1" si="1548">HD$33+HH31</f>
        <v>140679.23022770463</v>
      </c>
      <c r="HI33" s="44"/>
      <c r="HJ33" s="44"/>
      <c r="HK33" s="1" t="s">
        <v>221</v>
      </c>
      <c r="HL33" s="63">
        <f t="shared" ref="HL33" ca="1" si="1549">HH$33+HL31</f>
        <v>85701.234491180629</v>
      </c>
      <c r="HM33" s="44"/>
      <c r="HN33" s="44"/>
      <c r="HO33" s="1" t="s">
        <v>221</v>
      </c>
      <c r="HP33" s="63">
        <f t="shared" ref="HP33" ca="1" si="1550">HL$33+HP31</f>
        <v>134023.23875465663</v>
      </c>
      <c r="HQ33" s="44"/>
      <c r="HR33" s="44"/>
      <c r="HS33" s="1" t="s">
        <v>221</v>
      </c>
      <c r="HT33" s="63">
        <f t="shared" ref="HT33" ca="1" si="1551">HP$33+HT31</f>
        <v>182345.24301813263</v>
      </c>
      <c r="HU33" s="44"/>
      <c r="HV33" s="44"/>
      <c r="HW33" s="1" t="s">
        <v>221</v>
      </c>
      <c r="HX33" s="63">
        <f t="shared" ref="HX33" ca="1" si="1552">HT$33+HX31</f>
        <v>127367.24728160864</v>
      </c>
      <c r="HY33" s="44"/>
      <c r="HZ33" s="44"/>
      <c r="IA33" s="1" t="s">
        <v>221</v>
      </c>
      <c r="IB33" s="63">
        <f t="shared" ref="IB33" ca="1" si="1553">HX$33+IB31</f>
        <v>175689.25154508464</v>
      </c>
      <c r="IC33" s="44"/>
      <c r="ID33" s="44"/>
      <c r="IE33" s="1" t="s">
        <v>221</v>
      </c>
      <c r="IF33" s="63">
        <f t="shared" ref="IF33" ca="1" si="1554">IB$33+IF31</f>
        <v>224011.25580856064</v>
      </c>
      <c r="IG33" s="44"/>
      <c r="IH33" s="44"/>
      <c r="II33" s="1" t="s">
        <v>221</v>
      </c>
      <c r="IJ33" s="63">
        <f t="shared" ref="IJ33" ca="1" si="1555">IF$33+IJ31</f>
        <v>165127.46007203663</v>
      </c>
      <c r="IK33" s="44"/>
      <c r="IL33" s="44"/>
      <c r="IM33" s="1" t="s">
        <v>221</v>
      </c>
      <c r="IN33" s="63">
        <f t="shared" ref="IN33" ca="1" si="1556">IJ$33+IN31</f>
        <v>218843.66433551264</v>
      </c>
      <c r="IO33" s="44"/>
      <c r="IP33" s="44"/>
      <c r="IQ33" s="1" t="s">
        <v>221</v>
      </c>
      <c r="IR33" s="63">
        <f t="shared" ref="IR33" ca="1" si="1557">IN$33+IR31</f>
        <v>272559.86859898863</v>
      </c>
      <c r="IS33" s="44"/>
      <c r="IT33" s="44"/>
      <c r="IU33" s="1" t="s">
        <v>221</v>
      </c>
      <c r="IV33" s="63">
        <f t="shared" ref="IV33" ca="1" si="1558">IR$33+IV31</f>
        <v>213676.07286246461</v>
      </c>
      <c r="IW33" s="44"/>
      <c r="IX33" s="44"/>
      <c r="IY33" s="1" t="s">
        <v>221</v>
      </c>
      <c r="IZ33" s="63">
        <f t="shared" ref="IZ33" ca="1" si="1559">IV$33+IZ31</f>
        <v>267392.27712594066</v>
      </c>
      <c r="JA33" s="44"/>
      <c r="JB33" s="44"/>
      <c r="JC33" s="1" t="s">
        <v>221</v>
      </c>
      <c r="JD33" s="63">
        <f t="shared" ref="JD33" ca="1" si="1560">IZ$33+JD31</f>
        <v>321108.48138941667</v>
      </c>
      <c r="JE33" s="44"/>
      <c r="JF33" s="44"/>
      <c r="JG33" s="1" t="s">
        <v>221</v>
      </c>
      <c r="JH33" s="63">
        <f t="shared" ref="JH33" ca="1" si="1561">JD$33+JH31</f>
        <v>256024.68565289266</v>
      </c>
      <c r="JI33" s="44"/>
      <c r="JJ33" s="44"/>
      <c r="JK33" s="1" t="s">
        <v>221</v>
      </c>
      <c r="JL33" s="63">
        <f t="shared" ref="JL33" ca="1" si="1562">JH$33+JL31</f>
        <v>315135.08991636866</v>
      </c>
      <c r="JM33" s="44"/>
      <c r="JN33" s="44"/>
      <c r="JO33" s="1" t="s">
        <v>221</v>
      </c>
      <c r="JP33" s="63">
        <f t="shared" ref="JP33" ca="1" si="1563">JL$33+JP31</f>
        <v>374245.49417984468</v>
      </c>
      <c r="JQ33" s="44"/>
      <c r="JR33" s="44"/>
      <c r="JS33" s="1" t="s">
        <v>221</v>
      </c>
      <c r="JT33" s="63">
        <f t="shared" ref="JT33" ca="1" si="1564">JP$33+JT31</f>
        <v>311455.89844332071</v>
      </c>
      <c r="JU33" s="44"/>
      <c r="JV33" s="44"/>
      <c r="JW33" s="1" t="s">
        <v>221</v>
      </c>
      <c r="JX33" s="63">
        <f t="shared" ref="JX33" ca="1" si="1565">JT$33+JX31</f>
        <v>370566.30270679673</v>
      </c>
      <c r="JY33" s="44"/>
      <c r="JZ33" s="44"/>
      <c r="KA33" s="1" t="s">
        <v>221</v>
      </c>
      <c r="KB33" s="63">
        <f t="shared" ref="KB33" ca="1" si="1566">JX$33+KB31</f>
        <v>429676.70697027276</v>
      </c>
      <c r="KC33" s="44"/>
      <c r="KD33" s="44"/>
      <c r="KE33" s="1" t="s">
        <v>221</v>
      </c>
      <c r="KF33" s="63">
        <f t="shared" ref="KF33" ca="1" si="1567">KB$33+KF31</f>
        <v>447487.11123374879</v>
      </c>
      <c r="KG33" s="44"/>
      <c r="KH33" s="44"/>
    </row>
    <row r="35" spans="1:294" x14ac:dyDescent="0.25">
      <c r="A35" s="122" t="s">
        <v>1</v>
      </c>
      <c r="B35" s="122" t="s">
        <v>1</v>
      </c>
      <c r="C35" s="122" t="s">
        <v>1</v>
      </c>
      <c r="D35" s="123"/>
      <c r="E35" s="123"/>
      <c r="F35" s="123"/>
      <c r="G35" s="122" t="s">
        <v>1</v>
      </c>
      <c r="H35" s="122" t="s">
        <v>1</v>
      </c>
      <c r="I35" s="122" t="s">
        <v>1</v>
      </c>
      <c r="J35" s="122" t="s">
        <v>1</v>
      </c>
      <c r="K35" s="122" t="s">
        <v>1</v>
      </c>
      <c r="L35" s="122" t="s">
        <v>1</v>
      </c>
      <c r="M35" s="122" t="s">
        <v>1</v>
      </c>
      <c r="N35" s="122" t="s">
        <v>1</v>
      </c>
      <c r="O35" s="122" t="s">
        <v>1</v>
      </c>
      <c r="P35" s="122" t="s">
        <v>1</v>
      </c>
      <c r="Q35" s="122" t="s">
        <v>1</v>
      </c>
      <c r="R35" s="122" t="s">
        <v>1</v>
      </c>
      <c r="S35" s="122" t="s">
        <v>1</v>
      </c>
      <c r="T35" s="122" t="s">
        <v>1</v>
      </c>
      <c r="U35" s="122" t="s">
        <v>1</v>
      </c>
      <c r="V35" s="122" t="s">
        <v>1</v>
      </c>
      <c r="W35" s="122" t="s">
        <v>1</v>
      </c>
      <c r="X35" s="122" t="s">
        <v>1</v>
      </c>
      <c r="Y35" s="122" t="s">
        <v>1</v>
      </c>
      <c r="Z35" s="122" t="s">
        <v>1</v>
      </c>
      <c r="AA35" s="122" t="s">
        <v>1</v>
      </c>
      <c r="AB35" s="122" t="s">
        <v>1</v>
      </c>
      <c r="AC35" s="122" t="s">
        <v>1</v>
      </c>
      <c r="AD35" s="122" t="s">
        <v>1</v>
      </c>
      <c r="AE35" s="122" t="s">
        <v>1</v>
      </c>
      <c r="AF35" s="122" t="s">
        <v>1</v>
      </c>
      <c r="AG35" s="122" t="s">
        <v>1</v>
      </c>
      <c r="AH35" s="122" t="s">
        <v>1</v>
      </c>
      <c r="AI35" s="122" t="s">
        <v>1</v>
      </c>
      <c r="AJ35" s="122" t="s">
        <v>1</v>
      </c>
      <c r="AK35" s="122" t="s">
        <v>1</v>
      </c>
      <c r="AL35" s="122" t="s">
        <v>1</v>
      </c>
      <c r="AM35" s="122" t="s">
        <v>1</v>
      </c>
      <c r="AN35" s="122" t="s">
        <v>1</v>
      </c>
      <c r="AO35" s="122" t="s">
        <v>1</v>
      </c>
      <c r="AP35" s="122" t="s">
        <v>1</v>
      </c>
      <c r="AQ35" s="122" t="s">
        <v>1</v>
      </c>
      <c r="AR35" s="122" t="s">
        <v>1</v>
      </c>
      <c r="AS35" s="122" t="s">
        <v>1</v>
      </c>
      <c r="AT35" s="122" t="s">
        <v>1</v>
      </c>
      <c r="AU35" s="122" t="s">
        <v>1</v>
      </c>
      <c r="AV35" s="122" t="s">
        <v>1</v>
      </c>
      <c r="AW35" s="122" t="s">
        <v>1</v>
      </c>
      <c r="AX35" s="122" t="s">
        <v>1</v>
      </c>
      <c r="AY35" s="122" t="s">
        <v>1</v>
      </c>
      <c r="AZ35" s="122" t="s">
        <v>1</v>
      </c>
      <c r="BA35" s="122" t="s">
        <v>1</v>
      </c>
      <c r="BB35" s="122" t="s">
        <v>1</v>
      </c>
      <c r="BC35" s="122" t="s">
        <v>1</v>
      </c>
      <c r="BD35" s="122" t="s">
        <v>1</v>
      </c>
      <c r="BE35" s="122" t="s">
        <v>1</v>
      </c>
      <c r="BF35" s="122" t="s">
        <v>1</v>
      </c>
      <c r="BG35" s="122" t="s">
        <v>1</v>
      </c>
      <c r="BH35" s="122" t="s">
        <v>1</v>
      </c>
      <c r="BI35" s="122" t="s">
        <v>1</v>
      </c>
      <c r="BJ35" s="122" t="s">
        <v>1</v>
      </c>
      <c r="BK35" s="122" t="s">
        <v>1</v>
      </c>
      <c r="BL35" s="122" t="s">
        <v>1</v>
      </c>
      <c r="BM35" s="122" t="s">
        <v>1</v>
      </c>
      <c r="BN35" s="122" t="s">
        <v>1</v>
      </c>
      <c r="BO35" s="122" t="s">
        <v>1</v>
      </c>
      <c r="BP35" s="122" t="s">
        <v>1</v>
      </c>
      <c r="BQ35" s="122" t="s">
        <v>1</v>
      </c>
      <c r="BR35" s="122" t="s">
        <v>1</v>
      </c>
      <c r="BS35" s="122" t="s">
        <v>1</v>
      </c>
      <c r="BT35" s="122" t="s">
        <v>1</v>
      </c>
      <c r="BU35" s="122" t="s">
        <v>1</v>
      </c>
      <c r="BV35" s="122" t="s">
        <v>1</v>
      </c>
      <c r="BW35" s="122" t="s">
        <v>1</v>
      </c>
      <c r="BX35" s="122" t="s">
        <v>1</v>
      </c>
      <c r="BY35" s="122" t="s">
        <v>1</v>
      </c>
      <c r="BZ35" s="122" t="s">
        <v>1</v>
      </c>
      <c r="CA35" s="122" t="s">
        <v>1</v>
      </c>
      <c r="CB35" s="122" t="s">
        <v>1</v>
      </c>
      <c r="CC35" s="122" t="s">
        <v>1</v>
      </c>
      <c r="CD35" s="122" t="s">
        <v>1</v>
      </c>
      <c r="CE35" s="122" t="s">
        <v>1</v>
      </c>
      <c r="CF35" s="122" t="s">
        <v>1</v>
      </c>
      <c r="CG35" s="122" t="s">
        <v>1</v>
      </c>
      <c r="CH35" s="122" t="s">
        <v>1</v>
      </c>
      <c r="CI35" s="122" t="s">
        <v>1</v>
      </c>
      <c r="CJ35" s="122" t="s">
        <v>1</v>
      </c>
      <c r="CK35" s="122" t="s">
        <v>1</v>
      </c>
      <c r="CL35" s="122" t="s">
        <v>1</v>
      </c>
      <c r="CM35" s="122" t="s">
        <v>1</v>
      </c>
      <c r="CN35" s="122" t="s">
        <v>1</v>
      </c>
      <c r="CO35" s="122" t="s">
        <v>1</v>
      </c>
      <c r="CP35" s="122" t="s">
        <v>1</v>
      </c>
      <c r="CQ35" s="122" t="s">
        <v>1</v>
      </c>
      <c r="CR35" s="122" t="s">
        <v>1</v>
      </c>
      <c r="CS35" s="122" t="s">
        <v>1</v>
      </c>
      <c r="CT35" s="122" t="s">
        <v>1</v>
      </c>
      <c r="CU35" s="122" t="s">
        <v>1</v>
      </c>
      <c r="CV35" s="122" t="s">
        <v>1</v>
      </c>
      <c r="CW35" s="122" t="s">
        <v>1</v>
      </c>
    </row>
    <row r="36" spans="1:294" x14ac:dyDescent="0.25">
      <c r="C36" s="128" t="s">
        <v>242</v>
      </c>
      <c r="G36" s="37" t="s">
        <v>232</v>
      </c>
      <c r="H36" s="44"/>
    </row>
    <row r="37" spans="1:294" x14ac:dyDescent="0.25">
      <c r="C37" s="125">
        <v>0.01</v>
      </c>
    </row>
    <row r="38" spans="1:294" x14ac:dyDescent="0.25">
      <c r="C38" s="124">
        <f ca="1">NPV($C$37,H31:IN31)+D31</f>
        <v>95405.392221983551</v>
      </c>
      <c r="J38" s="35"/>
    </row>
    <row r="39" spans="1:294" x14ac:dyDescent="0.25">
      <c r="E39" s="35"/>
    </row>
    <row r="42" spans="1:294" x14ac:dyDescent="0.25">
      <c r="D42" s="37"/>
    </row>
    <row r="44" spans="1:294" x14ac:dyDescent="0.25">
      <c r="D44" s="66"/>
    </row>
  </sheetData>
  <phoneticPr fontId="22" type="noConversion"/>
  <conditionalFormatting sqref="A30:XFD33">
    <cfRule type="cellIs" dxfId="3" priority="4" operator="lessThanOrEqual">
      <formula>0</formula>
    </cfRule>
  </conditionalFormatting>
  <conditionalFormatting sqref="C33 G33 K33 O33 S33 W33 AA33 AE33 AI33 AM33 AQ33 AU33 AY33 BC33 BG33 BK33 BO33 BS33 BW33 CA33 CE33 CI33 CM33 CQ33 CU33 CY33 DC33 DG33 DK33 DO33 DS33 DW33 EA33 EE33 EI33 EM33 EQ33 EU33 EY33 FC33 FG33 FK33 FO33 FS33 FW33 GA33 GE33 GI33 GM33 GQ33 GU33 GY33 HC33 HG33 HK33 HO33 HS33 HW33 IA33 IE33 II33 IM33 IQ33 IU33 IY33 JC33 JG33 JK33 JO33 JS33 JW33 KA33 KE33">
    <cfRule type="cellIs" dxfId="2" priority="1" operator="lessThanOrEqual">
      <formula>0</formula>
    </cfRule>
  </conditionalFormatting>
  <pageMargins left="0.511811024" right="0.511811024" top="0.78740157499999996" bottom="0.78740157499999996" header="0.31496062000000002" footer="0.31496062000000002"/>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F9061-106D-47CF-8A19-998B66B9D2CC}">
  <dimension ref="A1:C13"/>
  <sheetViews>
    <sheetView showGridLines="0" workbookViewId="0">
      <selection activeCell="F36" sqref="F36"/>
    </sheetView>
  </sheetViews>
  <sheetFormatPr defaultRowHeight="15" x14ac:dyDescent="0.25"/>
  <cols>
    <col min="1" max="1" width="28.85546875" style="35" customWidth="1"/>
    <col min="2" max="2" width="35.42578125" style="35" bestFit="1" customWidth="1"/>
    <col min="3" max="3" width="12.5703125" style="35" customWidth="1"/>
    <col min="4" max="4" width="9.140625" style="35" customWidth="1"/>
    <col min="5" max="7" width="9.140625" style="35"/>
    <col min="8" max="8" width="15.28515625" style="35" customWidth="1"/>
    <col min="9" max="16384" width="9.140625" style="35"/>
  </cols>
  <sheetData>
    <row r="1" spans="1:3" x14ac:dyDescent="0.25">
      <c r="A1" s="126" t="s">
        <v>233</v>
      </c>
      <c r="B1" s="126" t="s">
        <v>241</v>
      </c>
      <c r="C1" s="126" t="s">
        <v>234</v>
      </c>
    </row>
    <row r="2" spans="1:3" x14ac:dyDescent="0.25">
      <c r="A2" s="44" t="s">
        <v>235</v>
      </c>
      <c r="B2" s="51">
        <v>0</v>
      </c>
      <c r="C2" s="61">
        <v>4.4999999999999998E-2</v>
      </c>
    </row>
    <row r="3" spans="1:3" x14ac:dyDescent="0.25">
      <c r="A3" s="44" t="s">
        <v>236</v>
      </c>
      <c r="B3" s="51">
        <v>180000.01</v>
      </c>
      <c r="C3" s="61">
        <v>7.8E-2</v>
      </c>
    </row>
    <row r="4" spans="1:3" x14ac:dyDescent="0.25">
      <c r="A4" s="44" t="s">
        <v>237</v>
      </c>
      <c r="B4" s="51">
        <v>360000.01</v>
      </c>
      <c r="C4" s="46">
        <v>0.1</v>
      </c>
    </row>
    <row r="5" spans="1:3" x14ac:dyDescent="0.25">
      <c r="A5" s="44" t="s">
        <v>238</v>
      </c>
      <c r="B5" s="51">
        <v>720000.01</v>
      </c>
      <c r="C5" s="61">
        <v>0.112</v>
      </c>
    </row>
    <row r="6" spans="1:3" x14ac:dyDescent="0.25">
      <c r="A6" s="44" t="s">
        <v>239</v>
      </c>
      <c r="B6" s="51">
        <v>1800000.01</v>
      </c>
      <c r="C6" s="61">
        <v>0.14699999999999999</v>
      </c>
    </row>
    <row r="7" spans="1:3" x14ac:dyDescent="0.25">
      <c r="A7" s="44" t="s">
        <v>240</v>
      </c>
      <c r="B7" s="51">
        <v>3600000.01</v>
      </c>
      <c r="C7" s="46">
        <v>0.3</v>
      </c>
    </row>
    <row r="13" spans="1:3" x14ac:dyDescent="0.25">
      <c r="C13" s="127"/>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F22F-08BE-4411-BF44-FA7067751074}">
  <dimension ref="A2:H29"/>
  <sheetViews>
    <sheetView showGridLines="0" workbookViewId="0">
      <selection activeCell="M27" sqref="M27"/>
    </sheetView>
  </sheetViews>
  <sheetFormatPr defaultRowHeight="15" x14ac:dyDescent="0.25"/>
  <cols>
    <col min="1" max="5" width="15.5703125" style="44" customWidth="1"/>
    <col min="6" max="6" width="7.85546875" style="35" bestFit="1" customWidth="1"/>
    <col min="7" max="7" width="16.5703125" style="35" bestFit="1" customWidth="1"/>
    <col min="8" max="8" width="28.85546875" style="35" bestFit="1" customWidth="1"/>
    <col min="9" max="16384" width="9.140625" style="35"/>
  </cols>
  <sheetData>
    <row r="2" spans="1:8" x14ac:dyDescent="0.25">
      <c r="A2" s="126" t="s">
        <v>243</v>
      </c>
      <c r="B2" s="126" t="s">
        <v>244</v>
      </c>
      <c r="C2" s="126" t="s">
        <v>245</v>
      </c>
      <c r="D2" s="126" t="s">
        <v>246</v>
      </c>
      <c r="E2" s="126" t="s">
        <v>247</v>
      </c>
      <c r="F2" s="126" t="s">
        <v>185</v>
      </c>
      <c r="G2" s="126" t="s">
        <v>248</v>
      </c>
      <c r="H2" s="126" t="s">
        <v>249</v>
      </c>
    </row>
    <row r="3" spans="1:8" x14ac:dyDescent="0.25">
      <c r="A3" s="63">
        <v>0</v>
      </c>
      <c r="B3" s="63">
        <f>A3*G3</f>
        <v>0</v>
      </c>
      <c r="C3" s="63">
        <v>2000</v>
      </c>
      <c r="D3" s="63">
        <f>A3*H3</f>
        <v>0</v>
      </c>
      <c r="E3" s="63">
        <f>SUM(D3+C3)</f>
        <v>2000</v>
      </c>
      <c r="F3" s="63">
        <f>B3-E3</f>
        <v>-2000</v>
      </c>
      <c r="G3" s="63">
        <f>'Fluxo de Caixa'!$A$3</f>
        <v>40</v>
      </c>
      <c r="H3" s="63">
        <v>31</v>
      </c>
    </row>
    <row r="4" spans="1:8" x14ac:dyDescent="0.25">
      <c r="A4" s="63">
        <v>50</v>
      </c>
      <c r="B4" s="63">
        <f t="shared" ref="B4:B9" si="0">A4*G4</f>
        <v>2000</v>
      </c>
      <c r="C4" s="63">
        <v>2000</v>
      </c>
      <c r="D4" s="63">
        <f t="shared" ref="D4:D9" si="1">A4*H4</f>
        <v>1550</v>
      </c>
      <c r="E4" s="63">
        <f t="shared" ref="E4:E9" si="2">SUM(D4+C4)</f>
        <v>3550</v>
      </c>
      <c r="F4" s="63">
        <f t="shared" ref="F4:F9" si="3">B4-E4</f>
        <v>-1550</v>
      </c>
      <c r="G4" s="63">
        <f>'Fluxo de Caixa'!$A$3</f>
        <v>40</v>
      </c>
      <c r="H4" s="63">
        <v>31</v>
      </c>
    </row>
    <row r="5" spans="1:8" x14ac:dyDescent="0.25">
      <c r="A5" s="63">
        <v>100</v>
      </c>
      <c r="B5" s="63">
        <f t="shared" si="0"/>
        <v>4000</v>
      </c>
      <c r="C5" s="63">
        <v>2000</v>
      </c>
      <c r="D5" s="63">
        <f t="shared" si="1"/>
        <v>3100</v>
      </c>
      <c r="E5" s="63">
        <f t="shared" si="2"/>
        <v>5100</v>
      </c>
      <c r="F5" s="63">
        <f t="shared" si="3"/>
        <v>-1100</v>
      </c>
      <c r="G5" s="63">
        <f>'Fluxo de Caixa'!$A$3</f>
        <v>40</v>
      </c>
      <c r="H5" s="63">
        <v>31</v>
      </c>
    </row>
    <row r="6" spans="1:8" x14ac:dyDescent="0.25">
      <c r="A6" s="63">
        <v>150</v>
      </c>
      <c r="B6" s="63">
        <f t="shared" si="0"/>
        <v>6000</v>
      </c>
      <c r="C6" s="63">
        <v>2000</v>
      </c>
      <c r="D6" s="63">
        <f t="shared" si="1"/>
        <v>4650</v>
      </c>
      <c r="E6" s="63">
        <f t="shared" si="2"/>
        <v>6650</v>
      </c>
      <c r="F6" s="63">
        <f t="shared" si="3"/>
        <v>-650</v>
      </c>
      <c r="G6" s="63">
        <f>'Fluxo de Caixa'!$A$3</f>
        <v>40</v>
      </c>
      <c r="H6" s="63">
        <v>31</v>
      </c>
    </row>
    <row r="7" spans="1:8" x14ac:dyDescent="0.25">
      <c r="A7" s="63">
        <v>200</v>
      </c>
      <c r="B7" s="63">
        <f t="shared" si="0"/>
        <v>8000</v>
      </c>
      <c r="C7" s="63">
        <v>2000</v>
      </c>
      <c r="D7" s="63">
        <f t="shared" si="1"/>
        <v>6200</v>
      </c>
      <c r="E7" s="63">
        <f t="shared" si="2"/>
        <v>8200</v>
      </c>
      <c r="F7" s="63">
        <f t="shared" si="3"/>
        <v>-200</v>
      </c>
      <c r="G7" s="63">
        <f>'Fluxo de Caixa'!$A$3</f>
        <v>40</v>
      </c>
      <c r="H7" s="63">
        <v>31</v>
      </c>
    </row>
    <row r="8" spans="1:8" x14ac:dyDescent="0.25">
      <c r="A8" s="63">
        <v>250</v>
      </c>
      <c r="B8" s="63">
        <f t="shared" si="0"/>
        <v>10000</v>
      </c>
      <c r="C8" s="63">
        <v>2000</v>
      </c>
      <c r="D8" s="63">
        <f t="shared" si="1"/>
        <v>7750</v>
      </c>
      <c r="E8" s="63">
        <f t="shared" si="2"/>
        <v>9750</v>
      </c>
      <c r="F8" s="63">
        <f t="shared" si="3"/>
        <v>250</v>
      </c>
      <c r="G8" s="63">
        <f>'Fluxo de Caixa'!$A$3</f>
        <v>40</v>
      </c>
      <c r="H8" s="63">
        <v>31</v>
      </c>
    </row>
    <row r="9" spans="1:8" x14ac:dyDescent="0.25">
      <c r="A9" s="63">
        <v>300</v>
      </c>
      <c r="B9" s="63">
        <f t="shared" si="0"/>
        <v>12000</v>
      </c>
      <c r="C9" s="63">
        <v>2000</v>
      </c>
      <c r="D9" s="63">
        <f t="shared" si="1"/>
        <v>9300</v>
      </c>
      <c r="E9" s="63">
        <f t="shared" si="2"/>
        <v>11300</v>
      </c>
      <c r="F9" s="63">
        <f t="shared" si="3"/>
        <v>700</v>
      </c>
      <c r="G9" s="63">
        <f>'Fluxo de Caixa'!$A$3</f>
        <v>40</v>
      </c>
      <c r="H9" s="63">
        <v>31</v>
      </c>
    </row>
    <row r="10" spans="1:8" x14ac:dyDescent="0.25">
      <c r="A10" s="63"/>
      <c r="B10" s="63"/>
      <c r="C10" s="63"/>
      <c r="D10" s="63"/>
      <c r="E10" s="63"/>
      <c r="F10" s="63"/>
      <c r="G10" s="63"/>
      <c r="H10" s="63"/>
    </row>
    <row r="11" spans="1:8" x14ac:dyDescent="0.25">
      <c r="A11" s="63"/>
      <c r="B11" s="63"/>
      <c r="C11" s="63"/>
      <c r="D11" s="63"/>
      <c r="E11" s="63"/>
      <c r="F11" s="63"/>
      <c r="G11" s="63"/>
      <c r="H11" s="63"/>
    </row>
    <row r="12" spans="1:8" x14ac:dyDescent="0.25">
      <c r="A12" s="63"/>
      <c r="B12" s="63"/>
      <c r="C12" s="63"/>
      <c r="D12" s="63"/>
      <c r="E12" s="63"/>
      <c r="F12" s="63"/>
      <c r="G12" s="63"/>
      <c r="H12" s="63"/>
    </row>
    <row r="13" spans="1:8" x14ac:dyDescent="0.25">
      <c r="A13" s="63"/>
      <c r="B13" s="63"/>
      <c r="C13" s="63"/>
      <c r="D13" s="63"/>
      <c r="E13" s="63"/>
      <c r="F13" s="63"/>
      <c r="G13" s="63"/>
      <c r="H13" s="63"/>
    </row>
    <row r="14" spans="1:8" x14ac:dyDescent="0.25">
      <c r="A14" s="63"/>
      <c r="B14" s="63"/>
      <c r="C14" s="63"/>
      <c r="D14" s="63"/>
      <c r="E14" s="63"/>
      <c r="F14" s="63"/>
      <c r="G14" s="63"/>
      <c r="H14" s="63"/>
    </row>
    <row r="15" spans="1:8" x14ac:dyDescent="0.25">
      <c r="A15" s="63"/>
      <c r="B15" s="63"/>
      <c r="C15" s="63"/>
      <c r="D15" s="63"/>
      <c r="E15" s="63"/>
      <c r="F15" s="63"/>
      <c r="G15" s="63"/>
      <c r="H15" s="63"/>
    </row>
    <row r="16" spans="1:8" x14ac:dyDescent="0.25">
      <c r="A16" s="63"/>
      <c r="B16" s="63"/>
      <c r="C16" s="63"/>
      <c r="D16" s="63"/>
      <c r="E16" s="63"/>
      <c r="F16" s="63"/>
      <c r="G16" s="63"/>
      <c r="H16" s="63"/>
    </row>
    <row r="17" spans="1:8" x14ac:dyDescent="0.25">
      <c r="A17" s="63"/>
      <c r="B17" s="63"/>
      <c r="C17" s="63"/>
      <c r="D17" s="63"/>
      <c r="E17" s="63"/>
      <c r="F17" s="63"/>
      <c r="G17" s="63"/>
      <c r="H17" s="63"/>
    </row>
    <row r="18" spans="1:8" x14ac:dyDescent="0.25">
      <c r="A18" s="63"/>
      <c r="B18" s="63"/>
      <c r="C18" s="63"/>
      <c r="D18" s="63"/>
      <c r="E18" s="63"/>
      <c r="F18" s="63"/>
      <c r="G18" s="63"/>
      <c r="H18" s="63"/>
    </row>
    <row r="19" spans="1:8" x14ac:dyDescent="0.25">
      <c r="A19" s="63"/>
      <c r="B19" s="63"/>
      <c r="C19" s="63"/>
      <c r="D19" s="63"/>
      <c r="E19" s="63"/>
      <c r="F19" s="63"/>
      <c r="G19" s="63"/>
      <c r="H19" s="63"/>
    </row>
    <row r="20" spans="1:8" x14ac:dyDescent="0.25">
      <c r="A20" s="63"/>
      <c r="B20" s="63"/>
      <c r="C20" s="63"/>
      <c r="D20" s="63"/>
      <c r="E20" s="63"/>
      <c r="F20" s="63"/>
      <c r="G20" s="63"/>
      <c r="H20" s="63"/>
    </row>
    <row r="21" spans="1:8" x14ac:dyDescent="0.25">
      <c r="A21" s="63"/>
      <c r="B21" s="63"/>
      <c r="C21" s="63"/>
      <c r="D21" s="63"/>
      <c r="E21" s="63"/>
      <c r="F21" s="63"/>
      <c r="G21" s="63"/>
      <c r="H21" s="63"/>
    </row>
    <row r="22" spans="1:8" x14ac:dyDescent="0.25">
      <c r="A22" s="63"/>
      <c r="B22" s="63"/>
      <c r="C22" s="63"/>
      <c r="D22" s="63"/>
      <c r="E22" s="63"/>
      <c r="F22" s="63"/>
      <c r="G22" s="63"/>
      <c r="H22" s="63"/>
    </row>
    <row r="23" spans="1:8" x14ac:dyDescent="0.25">
      <c r="A23" s="63"/>
      <c r="B23" s="63"/>
      <c r="C23" s="63"/>
      <c r="D23" s="63"/>
      <c r="E23" s="63"/>
      <c r="F23" s="63"/>
      <c r="G23" s="63"/>
      <c r="H23" s="63"/>
    </row>
    <row r="24" spans="1:8" x14ac:dyDescent="0.25">
      <c r="A24" s="63"/>
      <c r="B24" s="63"/>
      <c r="C24" s="63"/>
      <c r="D24" s="63"/>
      <c r="E24" s="63"/>
      <c r="F24" s="63"/>
      <c r="G24" s="63"/>
      <c r="H24" s="63"/>
    </row>
    <row r="25" spans="1:8" x14ac:dyDescent="0.25">
      <c r="A25" s="63"/>
      <c r="B25" s="63"/>
      <c r="C25" s="63"/>
      <c r="D25" s="63"/>
      <c r="E25" s="63"/>
      <c r="F25" s="63"/>
      <c r="G25" s="63"/>
      <c r="H25" s="63"/>
    </row>
    <row r="26" spans="1:8" x14ac:dyDescent="0.25">
      <c r="A26" s="63"/>
      <c r="B26" s="63"/>
      <c r="C26" s="63"/>
      <c r="D26" s="63"/>
      <c r="E26" s="63"/>
      <c r="F26" s="63"/>
      <c r="G26" s="63"/>
      <c r="H26" s="63"/>
    </row>
    <row r="27" spans="1:8" x14ac:dyDescent="0.25">
      <c r="A27" s="63"/>
      <c r="B27" s="63"/>
      <c r="C27" s="63"/>
      <c r="D27" s="63"/>
      <c r="E27" s="63"/>
      <c r="F27" s="63"/>
      <c r="G27" s="63"/>
      <c r="H27" s="63"/>
    </row>
    <row r="28" spans="1:8" x14ac:dyDescent="0.25">
      <c r="A28" s="63"/>
      <c r="B28" s="63"/>
      <c r="C28" s="63"/>
      <c r="D28" s="63"/>
      <c r="E28" s="63"/>
      <c r="F28" s="63"/>
      <c r="G28" s="63"/>
      <c r="H28" s="63"/>
    </row>
    <row r="29" spans="1:8" x14ac:dyDescent="0.25">
      <c r="A29" s="63"/>
      <c r="B29" s="63"/>
      <c r="C29" s="63"/>
      <c r="D29" s="63"/>
      <c r="E29" s="63"/>
      <c r="F29" s="63"/>
      <c r="G29" s="63"/>
      <c r="H29" s="63"/>
    </row>
  </sheetData>
  <pageMargins left="0.511811024" right="0.511811024" top="0.78740157499999996" bottom="0.78740157499999996" header="0.31496062000000002" footer="0.31496062000000002"/>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C1B3D-85D4-4CF4-91C7-CBA85E24A44E}">
  <dimension ref="A1:KD45"/>
  <sheetViews>
    <sheetView showGridLines="0" tabSelected="1" workbookViewId="0">
      <selection activeCell="KD1" sqref="KD1"/>
    </sheetView>
  </sheetViews>
  <sheetFormatPr defaultColWidth="8.85546875" defaultRowHeight="15" outlineLevelRow="1" x14ac:dyDescent="0.25"/>
  <cols>
    <col min="1" max="1" width="25.7109375" style="44" bestFit="1" customWidth="1"/>
    <col min="2" max="2" width="2.28515625" style="35" bestFit="1" customWidth="1"/>
    <col min="3" max="3" width="27.5703125" style="37" bestFit="1" customWidth="1"/>
    <col min="4" max="4" width="12.85546875" style="44" bestFit="1" customWidth="1"/>
    <col min="5" max="5" width="16.42578125" style="44" bestFit="1" customWidth="1"/>
    <col min="6" max="6" width="3.7109375" style="44" customWidth="1"/>
    <col min="7" max="7" width="23.7109375" style="37" customWidth="1"/>
    <col min="8" max="8" width="11.42578125" style="35" bestFit="1" customWidth="1"/>
    <col min="9" max="9" width="16.42578125" style="35" bestFit="1" customWidth="1"/>
    <col min="10" max="10" width="2.85546875" style="44" bestFit="1" customWidth="1"/>
    <col min="11" max="11" width="23.85546875" style="35" bestFit="1" customWidth="1"/>
    <col min="12" max="12" width="11.42578125" style="35" bestFit="1" customWidth="1"/>
    <col min="13" max="13" width="16.42578125" style="35" bestFit="1" customWidth="1"/>
    <col min="14" max="14" width="2.28515625" style="35" bestFit="1" customWidth="1"/>
    <col min="15" max="15" width="23.85546875" style="35" bestFit="1" customWidth="1"/>
    <col min="16" max="16" width="11.42578125" style="35" bestFit="1" customWidth="1"/>
    <col min="17" max="17" width="16.42578125" style="35" bestFit="1" customWidth="1"/>
    <col min="18" max="18" width="2.28515625" style="35" bestFit="1" customWidth="1"/>
    <col min="19" max="19" width="23.85546875" style="35" bestFit="1" customWidth="1"/>
    <col min="20" max="20" width="11.42578125" style="35" bestFit="1" customWidth="1"/>
    <col min="21" max="21" width="16.42578125" style="35" bestFit="1" customWidth="1"/>
    <col min="22" max="22" width="2.28515625" style="35" bestFit="1" customWidth="1"/>
    <col min="23" max="23" width="23.85546875" style="35" bestFit="1" customWidth="1"/>
    <col min="24" max="24" width="11.42578125" style="35" bestFit="1" customWidth="1"/>
    <col min="25" max="25" width="16.42578125" style="35" bestFit="1" customWidth="1"/>
    <col min="26" max="26" width="2.28515625" style="35" bestFit="1" customWidth="1"/>
    <col min="27" max="27" width="23.85546875" style="35" bestFit="1" customWidth="1"/>
    <col min="28" max="28" width="11.42578125" style="35" bestFit="1" customWidth="1"/>
    <col min="29" max="29" width="16.42578125" style="35" bestFit="1" customWidth="1"/>
    <col min="30" max="30" width="2.28515625" style="35" bestFit="1" customWidth="1"/>
    <col min="31" max="31" width="23.85546875" style="35" bestFit="1" customWidth="1"/>
    <col min="32" max="32" width="11.42578125" style="35" bestFit="1" customWidth="1"/>
    <col min="33" max="33" width="16.42578125" style="35" bestFit="1" customWidth="1"/>
    <col min="34" max="34" width="2.28515625" style="35" bestFit="1" customWidth="1"/>
    <col min="35" max="35" width="23.85546875" style="35" bestFit="1" customWidth="1"/>
    <col min="36" max="36" width="11.42578125" style="35" bestFit="1" customWidth="1"/>
    <col min="37" max="37" width="16.42578125" style="35" bestFit="1" customWidth="1"/>
    <col min="38" max="38" width="2.28515625" style="35" bestFit="1" customWidth="1"/>
    <col min="39" max="39" width="23.85546875" style="35" bestFit="1" customWidth="1"/>
    <col min="40" max="40" width="11.42578125" style="35" bestFit="1" customWidth="1"/>
    <col min="41" max="41" width="16.42578125" style="35" bestFit="1" customWidth="1"/>
    <col min="42" max="42" width="2.28515625" style="35" bestFit="1" customWidth="1"/>
    <col min="43" max="43" width="23.85546875" style="35" bestFit="1" customWidth="1"/>
    <col min="44" max="44" width="11.42578125" style="35" bestFit="1" customWidth="1"/>
    <col min="45" max="45" width="16.42578125" style="35" bestFit="1" customWidth="1"/>
    <col min="46" max="46" width="2.28515625" style="35" bestFit="1" customWidth="1"/>
    <col min="47" max="47" width="23.85546875" style="35" bestFit="1" customWidth="1"/>
    <col min="48" max="48" width="11.42578125" style="35" bestFit="1" customWidth="1"/>
    <col min="49" max="49" width="16.42578125" style="35" bestFit="1" customWidth="1"/>
    <col min="50" max="50" width="2.28515625" style="35" bestFit="1" customWidth="1"/>
    <col min="51" max="51" width="23.85546875" style="35" bestFit="1" customWidth="1"/>
    <col min="52" max="52" width="11.42578125" style="35" bestFit="1" customWidth="1"/>
    <col min="53" max="53" width="16.42578125" style="35" bestFit="1" customWidth="1"/>
    <col min="54" max="54" width="2.28515625" style="35" bestFit="1" customWidth="1"/>
    <col min="55" max="55" width="23.85546875" style="35" bestFit="1" customWidth="1"/>
    <col min="56" max="56" width="11.42578125" style="35" bestFit="1" customWidth="1"/>
    <col min="57" max="57" width="16.42578125" style="35" bestFit="1" customWidth="1"/>
    <col min="58" max="58" width="2.28515625" style="35" bestFit="1" customWidth="1"/>
    <col min="59" max="59" width="23.85546875" style="35" bestFit="1" customWidth="1"/>
    <col min="60" max="60" width="11.42578125" style="35" bestFit="1" customWidth="1"/>
    <col min="61" max="61" width="16.42578125" style="35" bestFit="1" customWidth="1"/>
    <col min="62" max="62" width="2.28515625" style="35" bestFit="1" customWidth="1"/>
    <col min="63" max="63" width="23.85546875" style="35" bestFit="1" customWidth="1"/>
    <col min="64" max="64" width="11.42578125" style="35" bestFit="1" customWidth="1"/>
    <col min="65" max="65" width="16.42578125" style="35" bestFit="1" customWidth="1"/>
    <col min="66" max="66" width="2.28515625" style="35" bestFit="1" customWidth="1"/>
    <col min="67" max="67" width="23.85546875" style="35" bestFit="1" customWidth="1"/>
    <col min="68" max="68" width="11.42578125" style="35" bestFit="1" customWidth="1"/>
    <col min="69" max="69" width="16.42578125" style="35" bestFit="1" customWidth="1"/>
    <col min="70" max="70" width="2.28515625" style="35" bestFit="1" customWidth="1"/>
    <col min="71" max="71" width="23.85546875" style="35" bestFit="1" customWidth="1"/>
    <col min="72" max="72" width="11.42578125" style="35" bestFit="1" customWidth="1"/>
    <col min="73" max="73" width="16.42578125" style="35" bestFit="1" customWidth="1"/>
    <col min="74" max="74" width="2.28515625" style="35" bestFit="1" customWidth="1"/>
    <col min="75" max="75" width="23.85546875" style="35" bestFit="1" customWidth="1"/>
    <col min="76" max="76" width="11.28515625" style="35" bestFit="1" customWidth="1"/>
    <col min="77" max="77" width="16.42578125" style="35" bestFit="1" customWidth="1"/>
    <col min="78" max="78" width="2.28515625" style="35" bestFit="1" customWidth="1"/>
    <col min="79" max="79" width="23.85546875" style="35" bestFit="1" customWidth="1"/>
    <col min="80" max="80" width="11.28515625" style="35" bestFit="1" customWidth="1"/>
    <col min="81" max="81" width="16.42578125" style="35" bestFit="1" customWidth="1"/>
    <col min="82" max="82" width="2.28515625" style="35" bestFit="1" customWidth="1"/>
    <col min="83" max="83" width="23.85546875" style="35" bestFit="1" customWidth="1"/>
    <col min="84" max="84" width="10.140625" style="35" bestFit="1" customWidth="1"/>
    <col min="85" max="85" width="16.42578125" style="35" bestFit="1" customWidth="1"/>
    <col min="86" max="86" width="2.28515625" style="35" bestFit="1" customWidth="1"/>
    <col min="87" max="87" width="23.85546875" style="35" bestFit="1" customWidth="1"/>
    <col min="88" max="88" width="11.28515625" style="35" bestFit="1" customWidth="1"/>
    <col min="89" max="89" width="16.42578125" style="35" bestFit="1" customWidth="1"/>
    <col min="90" max="90" width="2.28515625" style="35" bestFit="1" customWidth="1"/>
    <col min="91" max="91" width="23.85546875" style="35" bestFit="1" customWidth="1"/>
    <col min="92" max="92" width="11.28515625" style="35" bestFit="1" customWidth="1"/>
    <col min="93" max="93" width="16.42578125" style="35" bestFit="1" customWidth="1"/>
    <col min="94" max="94" width="2.28515625" style="35" bestFit="1" customWidth="1"/>
    <col min="95" max="95" width="23.85546875" style="35" bestFit="1" customWidth="1"/>
    <col min="96" max="96" width="11.42578125" style="35" bestFit="1" customWidth="1"/>
    <col min="97" max="97" width="16.42578125" style="35" bestFit="1" customWidth="1"/>
    <col min="98" max="98" width="2.28515625" style="35" bestFit="1" customWidth="1"/>
    <col min="99" max="99" width="23.7109375" style="35" customWidth="1"/>
    <col min="100" max="100" width="11.42578125" style="35" bestFit="1" customWidth="1"/>
    <col min="101" max="101" width="16.42578125" style="35" bestFit="1" customWidth="1"/>
    <col min="102" max="102" width="8.85546875" style="35"/>
    <col min="103" max="103" width="23.85546875" style="35" bestFit="1" customWidth="1"/>
    <col min="104" max="104" width="11.42578125" style="35" bestFit="1" customWidth="1"/>
    <col min="105" max="105" width="16.42578125" style="35" bestFit="1" customWidth="1"/>
    <col min="106" max="106" width="8.85546875" style="35"/>
    <col min="107" max="107" width="23.85546875" style="35" bestFit="1" customWidth="1"/>
    <col min="108" max="108" width="11.42578125" style="35" bestFit="1" customWidth="1"/>
    <col min="109" max="109" width="16.42578125" style="35" bestFit="1" customWidth="1"/>
    <col min="110" max="110" width="8.85546875" style="35"/>
    <col min="111" max="111" width="23.85546875" style="35" bestFit="1" customWidth="1"/>
    <col min="112" max="112" width="11.42578125" style="35" bestFit="1" customWidth="1"/>
    <col min="113" max="113" width="16.42578125" style="35" bestFit="1" customWidth="1"/>
    <col min="114" max="114" width="8.85546875" style="35"/>
    <col min="115" max="115" width="23.85546875" style="35" bestFit="1" customWidth="1"/>
    <col min="116" max="116" width="11.42578125" style="35" bestFit="1" customWidth="1"/>
    <col min="117" max="117" width="16.42578125" style="35" bestFit="1" customWidth="1"/>
    <col min="118" max="118" width="8.85546875" style="35"/>
    <col min="119" max="119" width="23.85546875" style="35" bestFit="1" customWidth="1"/>
    <col min="120" max="120" width="11.42578125" style="35" bestFit="1" customWidth="1"/>
    <col min="121" max="121" width="16.42578125" style="35" bestFit="1" customWidth="1"/>
    <col min="122" max="122" width="8.85546875" style="35"/>
    <col min="123" max="123" width="23.85546875" style="35" bestFit="1" customWidth="1"/>
    <col min="124" max="124" width="11.42578125" style="35" bestFit="1" customWidth="1"/>
    <col min="125" max="125" width="16.42578125" style="35" bestFit="1" customWidth="1"/>
    <col min="126" max="126" width="8.85546875" style="35"/>
    <col min="127" max="127" width="23.85546875" style="35" bestFit="1" customWidth="1"/>
    <col min="128" max="128" width="11.42578125" style="35" bestFit="1" customWidth="1"/>
    <col min="129" max="129" width="16.42578125" style="35" bestFit="1" customWidth="1"/>
    <col min="130" max="130" width="8.85546875" style="35"/>
    <col min="131" max="131" width="23.85546875" style="35" bestFit="1" customWidth="1"/>
    <col min="132" max="132" width="11.42578125" style="35" bestFit="1" customWidth="1"/>
    <col min="133" max="133" width="16.42578125" style="35" bestFit="1" customWidth="1"/>
    <col min="134" max="134" width="8.85546875" style="35"/>
    <col min="135" max="135" width="23.85546875" style="35" bestFit="1" customWidth="1"/>
    <col min="136" max="136" width="11.42578125" style="35" bestFit="1" customWidth="1"/>
    <col min="137" max="137" width="16.42578125" style="35" bestFit="1" customWidth="1"/>
    <col min="138" max="138" width="8.85546875" style="35"/>
    <col min="139" max="139" width="23.85546875" style="35" bestFit="1" customWidth="1"/>
    <col min="140" max="140" width="11.42578125" style="35" bestFit="1" customWidth="1"/>
    <col min="141" max="141" width="16.42578125" style="35" bestFit="1" customWidth="1"/>
    <col min="142" max="142" width="8.85546875" style="35"/>
    <col min="143" max="143" width="23.85546875" style="35" bestFit="1" customWidth="1"/>
    <col min="144" max="144" width="11.42578125" style="35" bestFit="1" customWidth="1"/>
    <col min="145" max="145" width="16.42578125" style="35" bestFit="1" customWidth="1"/>
    <col min="146" max="146" width="8.85546875" style="35"/>
    <col min="147" max="147" width="23.85546875" style="35" bestFit="1" customWidth="1"/>
    <col min="148" max="148" width="11.42578125" style="35" bestFit="1" customWidth="1"/>
    <col min="149" max="149" width="16.42578125" style="35" bestFit="1" customWidth="1"/>
    <col min="150" max="150" width="8.85546875" style="35"/>
    <col min="151" max="151" width="23.85546875" style="35" bestFit="1" customWidth="1"/>
    <col min="152" max="152" width="10.140625" style="35" bestFit="1" customWidth="1"/>
    <col min="153" max="153" width="16.42578125" style="35" bestFit="1" customWidth="1"/>
    <col min="154" max="154" width="8.85546875" style="35"/>
    <col min="155" max="155" width="23.85546875" style="35" bestFit="1" customWidth="1"/>
    <col min="156" max="156" width="10.140625" style="35" bestFit="1" customWidth="1"/>
    <col min="157" max="157" width="16.42578125" style="35" bestFit="1" customWidth="1"/>
    <col min="158" max="158" width="8.85546875" style="35"/>
    <col min="159" max="159" width="23.85546875" style="35" bestFit="1" customWidth="1"/>
    <col min="160" max="160" width="11.28515625" style="35" bestFit="1" customWidth="1"/>
    <col min="161" max="161" width="16.42578125" style="35" bestFit="1" customWidth="1"/>
    <col min="162" max="162" width="8.85546875" style="35"/>
    <col min="163" max="163" width="23.85546875" style="35" bestFit="1" customWidth="1"/>
    <col min="164" max="164" width="10.5703125" style="35" bestFit="1" customWidth="1"/>
    <col min="165" max="165" width="16.42578125" style="35" bestFit="1" customWidth="1"/>
    <col min="166" max="166" width="8.85546875" style="35"/>
    <col min="167" max="167" width="23.85546875" style="35" bestFit="1" customWidth="1"/>
    <col min="168" max="168" width="10.5703125" style="35" bestFit="1" customWidth="1"/>
    <col min="169" max="169" width="16.42578125" style="35" bestFit="1" customWidth="1"/>
    <col min="170" max="170" width="8.85546875" style="35"/>
    <col min="171" max="171" width="23.85546875" style="35" bestFit="1" customWidth="1"/>
    <col min="172" max="172" width="11.28515625" style="35" bestFit="1" customWidth="1"/>
    <col min="173" max="173" width="16.42578125" style="35" bestFit="1" customWidth="1"/>
    <col min="174" max="174" width="8.85546875" style="35"/>
    <col min="175" max="175" width="23.85546875" style="35" bestFit="1" customWidth="1"/>
    <col min="176" max="176" width="10.5703125" style="35" bestFit="1" customWidth="1"/>
    <col min="177" max="177" width="16.42578125" style="35" bestFit="1" customWidth="1"/>
    <col min="178" max="178" width="8.85546875" style="35"/>
    <col min="179" max="179" width="23.85546875" style="35" bestFit="1" customWidth="1"/>
    <col min="180" max="180" width="10.5703125" style="35" bestFit="1" customWidth="1"/>
    <col min="181" max="181" width="16.42578125" style="35" bestFit="1" customWidth="1"/>
    <col min="182" max="182" width="8.85546875" style="35"/>
    <col min="183" max="183" width="23.85546875" style="35" bestFit="1" customWidth="1"/>
    <col min="184" max="184" width="11.28515625" style="35" bestFit="1" customWidth="1"/>
    <col min="185" max="185" width="16.42578125" style="35" bestFit="1" customWidth="1"/>
    <col min="186" max="186" width="8.85546875" style="35"/>
    <col min="187" max="187" width="23.85546875" style="35" bestFit="1" customWidth="1"/>
    <col min="188" max="188" width="13.28515625" style="35" bestFit="1" customWidth="1"/>
    <col min="189" max="189" width="16.42578125" style="35" bestFit="1" customWidth="1"/>
    <col min="190" max="190" width="8.85546875" style="35"/>
    <col min="191" max="191" width="23.85546875" style="35" bestFit="1" customWidth="1"/>
    <col min="192" max="192" width="11.42578125" style="35" bestFit="1" customWidth="1"/>
    <col min="193" max="193" width="16.42578125" style="35" bestFit="1" customWidth="1"/>
    <col min="194" max="194" width="8.85546875" style="35"/>
    <col min="195" max="195" width="23.85546875" style="35" bestFit="1" customWidth="1"/>
    <col min="196" max="196" width="11.42578125" style="35" bestFit="1" customWidth="1"/>
    <col min="197" max="197" width="16.42578125" style="35" bestFit="1" customWidth="1"/>
    <col min="198" max="198" width="8.85546875" style="35"/>
    <col min="199" max="199" width="23.85546875" style="35" bestFit="1" customWidth="1"/>
    <col min="200" max="200" width="11.42578125" style="35" bestFit="1" customWidth="1"/>
    <col min="201" max="201" width="16.42578125" style="35" bestFit="1" customWidth="1"/>
    <col min="202" max="202" width="8.85546875" style="35"/>
    <col min="203" max="203" width="23.85546875" style="35" bestFit="1" customWidth="1"/>
    <col min="204" max="204" width="11.42578125" style="35" bestFit="1" customWidth="1"/>
    <col min="205" max="205" width="16.42578125" style="35" bestFit="1" customWidth="1"/>
    <col min="206" max="206" width="8.85546875" style="35"/>
    <col min="207" max="207" width="23.85546875" style="35" bestFit="1" customWidth="1"/>
    <col min="208" max="208" width="11.42578125" style="35" bestFit="1" customWidth="1"/>
    <col min="209" max="209" width="16.42578125" style="35" bestFit="1" customWidth="1"/>
    <col min="210" max="210" width="8.85546875" style="35"/>
    <col min="211" max="211" width="23.85546875" style="35" bestFit="1" customWidth="1"/>
    <col min="212" max="212" width="11.42578125" style="35" bestFit="1" customWidth="1"/>
    <col min="213" max="213" width="16.42578125" style="35" bestFit="1" customWidth="1"/>
    <col min="214" max="214" width="8.85546875" style="35"/>
    <col min="215" max="215" width="23.85546875" style="35" bestFit="1" customWidth="1"/>
    <col min="216" max="216" width="11.42578125" style="35" bestFit="1" customWidth="1"/>
    <col min="217" max="217" width="16.42578125" style="35" bestFit="1" customWidth="1"/>
    <col min="218" max="218" width="8.85546875" style="35"/>
    <col min="219" max="219" width="23.85546875" style="35" bestFit="1" customWidth="1"/>
    <col min="220" max="220" width="11.42578125" style="35" bestFit="1" customWidth="1"/>
    <col min="221" max="221" width="16.42578125" style="35" bestFit="1" customWidth="1"/>
    <col min="222" max="222" width="8.85546875" style="35"/>
    <col min="223" max="223" width="23.85546875" style="35" bestFit="1" customWidth="1"/>
    <col min="224" max="224" width="10.5703125" style="35" bestFit="1" customWidth="1"/>
    <col min="225" max="225" width="16.42578125" style="35" bestFit="1" customWidth="1"/>
    <col min="226" max="226" width="8.85546875" style="35"/>
    <col min="227" max="227" width="23.85546875" style="35" bestFit="1" customWidth="1"/>
    <col min="228" max="228" width="10.5703125" style="35" bestFit="1" customWidth="1"/>
    <col min="229" max="229" width="16.42578125" style="35" bestFit="1" customWidth="1"/>
    <col min="230" max="230" width="8.85546875" style="35"/>
    <col min="231" max="231" width="23.85546875" style="35" bestFit="1" customWidth="1"/>
    <col min="232" max="232" width="11.28515625" style="35" bestFit="1" customWidth="1"/>
    <col min="233" max="233" width="16.42578125" style="35" bestFit="1" customWidth="1"/>
    <col min="234" max="234" width="8.85546875" style="35"/>
    <col min="235" max="235" width="23.85546875" style="35" bestFit="1" customWidth="1"/>
    <col min="236" max="236" width="10.5703125" style="35" bestFit="1" customWidth="1"/>
    <col min="237" max="237" width="16.42578125" style="35" bestFit="1" customWidth="1"/>
    <col min="238" max="238" width="8.85546875" style="35"/>
    <col min="239" max="239" width="23.85546875" style="35" bestFit="1" customWidth="1"/>
    <col min="240" max="240" width="10.5703125" style="35" bestFit="1" customWidth="1"/>
    <col min="241" max="241" width="16.42578125" style="35" bestFit="1" customWidth="1"/>
    <col min="242" max="242" width="8.85546875" style="35"/>
    <col min="243" max="243" width="23.85546875" style="35" bestFit="1" customWidth="1"/>
    <col min="244" max="244" width="11.42578125" style="35" bestFit="1" customWidth="1"/>
    <col min="245" max="245" width="16.42578125" style="35" bestFit="1" customWidth="1"/>
    <col min="246" max="246" width="8.85546875" style="35"/>
    <col min="247" max="247" width="23.85546875" style="35" bestFit="1" customWidth="1"/>
    <col min="248" max="248" width="10.5703125" style="35" bestFit="1" customWidth="1"/>
    <col min="249" max="249" width="16.42578125" style="35" bestFit="1" customWidth="1"/>
    <col min="250" max="250" width="8.85546875" style="35"/>
    <col min="251" max="251" width="23.85546875" style="35" bestFit="1" customWidth="1"/>
    <col min="252" max="252" width="10.5703125" style="35" bestFit="1" customWidth="1"/>
    <col min="253" max="253" width="16.42578125" style="35" bestFit="1" customWidth="1"/>
    <col min="254" max="254" width="8.85546875" style="35"/>
    <col min="255" max="255" width="23.85546875" style="35" bestFit="1" customWidth="1"/>
    <col min="256" max="256" width="11.28515625" style="35" bestFit="1" customWidth="1"/>
    <col min="257" max="257" width="16.42578125" style="35" bestFit="1" customWidth="1"/>
    <col min="258" max="258" width="8.85546875" style="35"/>
    <col min="259" max="259" width="23.85546875" style="35" bestFit="1" customWidth="1"/>
    <col min="260" max="260" width="10.5703125" style="35" bestFit="1" customWidth="1"/>
    <col min="261" max="261" width="16.42578125" style="35" bestFit="1" customWidth="1"/>
    <col min="262" max="262" width="8.85546875" style="35"/>
    <col min="263" max="263" width="23.85546875" style="35" bestFit="1" customWidth="1"/>
    <col min="264" max="264" width="10.5703125" style="35" bestFit="1" customWidth="1"/>
    <col min="265" max="265" width="16.42578125" style="35" bestFit="1" customWidth="1"/>
    <col min="266" max="266" width="8.85546875" style="35"/>
    <col min="267" max="267" width="23.85546875" style="35" bestFit="1" customWidth="1"/>
    <col min="268" max="268" width="11.28515625" style="35" bestFit="1" customWidth="1"/>
    <col min="269" max="269" width="16.42578125" style="35" bestFit="1" customWidth="1"/>
    <col min="270" max="270" width="8.85546875" style="35"/>
    <col min="271" max="271" width="23.85546875" style="35" bestFit="1" customWidth="1"/>
    <col min="272" max="272" width="10.5703125" style="35" bestFit="1" customWidth="1"/>
    <col min="273" max="273" width="16.42578125" style="35" bestFit="1" customWidth="1"/>
    <col min="274" max="274" width="8.85546875" style="35"/>
    <col min="275" max="275" width="23.85546875" style="35" bestFit="1" customWidth="1"/>
    <col min="276" max="276" width="10.5703125" style="35" bestFit="1" customWidth="1"/>
    <col min="277" max="277" width="16.42578125" style="35" bestFit="1" customWidth="1"/>
    <col min="278" max="278" width="8.85546875" style="35"/>
    <col min="279" max="279" width="23.85546875" style="35" bestFit="1" customWidth="1"/>
    <col min="280" max="280" width="11.42578125" style="35" bestFit="1" customWidth="1"/>
    <col min="281" max="281" width="16.42578125" style="35" bestFit="1" customWidth="1"/>
    <col min="282" max="282" width="8.85546875" style="35"/>
    <col min="283" max="283" width="23.85546875" style="35" bestFit="1" customWidth="1"/>
    <col min="284" max="284" width="10.5703125" style="35" bestFit="1" customWidth="1"/>
    <col min="285" max="285" width="16.42578125" style="35" bestFit="1" customWidth="1"/>
    <col min="286" max="286" width="8.85546875" style="35"/>
    <col min="287" max="287" width="23.85546875" style="35" bestFit="1" customWidth="1"/>
    <col min="288" max="288" width="10.5703125" style="35" bestFit="1" customWidth="1"/>
    <col min="289" max="289" width="16.42578125" style="35" bestFit="1" customWidth="1"/>
    <col min="290" max="16384" width="8.85546875" style="35"/>
  </cols>
  <sheetData>
    <row r="1" spans="1:290" x14ac:dyDescent="0.25">
      <c r="A1" s="99" t="s">
        <v>207</v>
      </c>
      <c r="C1" s="98">
        <v>0</v>
      </c>
      <c r="D1" s="129"/>
      <c r="E1" s="63"/>
      <c r="F1" s="63"/>
      <c r="G1" s="98">
        <f>C$1+1</f>
        <v>1</v>
      </c>
      <c r="H1" s="130"/>
      <c r="I1" s="63"/>
      <c r="J1" s="63"/>
      <c r="K1" s="98">
        <f t="shared" ref="K1" si="0">G$1+1</f>
        <v>2</v>
      </c>
      <c r="L1" s="130"/>
      <c r="M1" s="63"/>
      <c r="N1" s="63"/>
      <c r="O1" s="98">
        <f t="shared" ref="O1" si="1">K$1+1</f>
        <v>3</v>
      </c>
      <c r="P1" s="130"/>
      <c r="Q1" s="63"/>
      <c r="R1" s="63"/>
      <c r="S1" s="98">
        <f t="shared" ref="S1" si="2">O$1+1</f>
        <v>4</v>
      </c>
      <c r="T1" s="130"/>
      <c r="U1" s="63"/>
      <c r="V1" s="63"/>
      <c r="W1" s="98">
        <f t="shared" ref="W1" si="3">S$1+1</f>
        <v>5</v>
      </c>
      <c r="X1" s="130"/>
      <c r="Y1" s="63"/>
      <c r="Z1" s="63"/>
      <c r="AA1" s="98">
        <f t="shared" ref="AA1" si="4">W$1+1</f>
        <v>6</v>
      </c>
      <c r="AB1" s="130"/>
      <c r="AC1" s="63"/>
      <c r="AD1" s="63"/>
      <c r="AE1" s="98">
        <f t="shared" ref="AE1" si="5">AA$1+1</f>
        <v>7</v>
      </c>
      <c r="AF1" s="130"/>
      <c r="AG1" s="63"/>
      <c r="AH1" s="63"/>
      <c r="AI1" s="98">
        <f t="shared" ref="AI1" si="6">AE$1+1</f>
        <v>8</v>
      </c>
      <c r="AJ1" s="130"/>
      <c r="AK1" s="63"/>
      <c r="AL1" s="63"/>
      <c r="AM1" s="98">
        <f t="shared" ref="AM1" si="7">AI$1+1</f>
        <v>9</v>
      </c>
      <c r="AN1" s="130"/>
      <c r="AO1" s="63"/>
      <c r="AP1" s="63"/>
      <c r="AQ1" s="98">
        <f t="shared" ref="AQ1" si="8">AM$1+1</f>
        <v>10</v>
      </c>
      <c r="AR1" s="130"/>
      <c r="AS1" s="63"/>
      <c r="AT1" s="63"/>
      <c r="AU1" s="98">
        <f t="shared" ref="AU1" si="9">AQ$1+1</f>
        <v>11</v>
      </c>
      <c r="AV1" s="130"/>
      <c r="AW1" s="63"/>
      <c r="AX1" s="63"/>
      <c r="AY1" s="98">
        <f t="shared" ref="AY1" si="10">AU$1+1</f>
        <v>12</v>
      </c>
      <c r="AZ1" s="130"/>
      <c r="BA1" s="63"/>
      <c r="BB1" s="63"/>
      <c r="BC1" s="98">
        <f t="shared" ref="BC1" si="11">AY$1+1</f>
        <v>13</v>
      </c>
      <c r="BD1" s="130"/>
      <c r="BE1" s="63"/>
      <c r="BF1" s="63"/>
      <c r="BG1" s="98">
        <f t="shared" ref="BG1" si="12">BC$1+1</f>
        <v>14</v>
      </c>
      <c r="BH1" s="130"/>
      <c r="BI1" s="63"/>
      <c r="BJ1" s="63"/>
      <c r="BK1" s="98">
        <f t="shared" ref="BK1" si="13">BG$1+1</f>
        <v>15</v>
      </c>
      <c r="BL1" s="130"/>
      <c r="BM1" s="63"/>
      <c r="BN1" s="63"/>
      <c r="BO1" s="98">
        <f t="shared" ref="BO1" si="14">BK$1+1</f>
        <v>16</v>
      </c>
      <c r="BP1" s="130"/>
      <c r="BQ1" s="63"/>
      <c r="BR1" s="63"/>
      <c r="BS1" s="98">
        <f t="shared" ref="BS1" si="15">BO$1+1</f>
        <v>17</v>
      </c>
      <c r="BT1" s="130"/>
      <c r="BU1" s="63"/>
      <c r="BV1" s="63"/>
      <c r="BW1" s="98">
        <f t="shared" ref="BW1" si="16">BS$1+1</f>
        <v>18</v>
      </c>
      <c r="BX1" s="130"/>
      <c r="BY1" s="63"/>
      <c r="BZ1" s="63"/>
      <c r="CA1" s="98">
        <f t="shared" ref="CA1" si="17">BW$1+1</f>
        <v>19</v>
      </c>
      <c r="CB1" s="130"/>
      <c r="CC1" s="63"/>
      <c r="CD1" s="63"/>
      <c r="CE1" s="98">
        <f t="shared" ref="CE1" si="18">CA$1+1</f>
        <v>20</v>
      </c>
      <c r="CF1" s="130"/>
      <c r="CG1" s="63"/>
      <c r="CH1" s="63"/>
      <c r="CI1" s="98">
        <f t="shared" ref="CI1" si="19">CE$1+1</f>
        <v>21</v>
      </c>
      <c r="CJ1" s="130"/>
      <c r="CK1" s="63"/>
      <c r="CL1" s="63"/>
      <c r="CM1" s="98">
        <f t="shared" ref="CM1" si="20">CI$1+1</f>
        <v>22</v>
      </c>
      <c r="CN1" s="130"/>
      <c r="CO1" s="63"/>
      <c r="CP1" s="63"/>
      <c r="CQ1" s="98">
        <f t="shared" ref="CQ1" si="21">CM$1+1</f>
        <v>23</v>
      </c>
      <c r="CR1" s="130"/>
      <c r="CS1" s="63"/>
      <c r="CT1" s="63"/>
      <c r="CU1" s="98">
        <f t="shared" ref="CU1" si="22">CQ$1+1</f>
        <v>24</v>
      </c>
      <c r="CV1" s="130"/>
      <c r="CW1" s="63"/>
      <c r="CX1" s="63"/>
      <c r="CY1" s="98">
        <f t="shared" ref="CY1" si="23">CU$1+1</f>
        <v>25</v>
      </c>
      <c r="CZ1" s="130"/>
      <c r="DA1" s="63"/>
      <c r="DB1" s="63"/>
      <c r="DC1" s="98">
        <f t="shared" ref="DC1" si="24">CY$1+1</f>
        <v>26</v>
      </c>
      <c r="DD1" s="130"/>
      <c r="DE1" s="63"/>
      <c r="DF1" s="63"/>
      <c r="DG1" s="98">
        <f t="shared" ref="DG1" si="25">DC$1+1</f>
        <v>27</v>
      </c>
      <c r="DH1" s="130"/>
      <c r="DI1" s="63"/>
      <c r="DJ1" s="63"/>
      <c r="DK1" s="98">
        <f t="shared" ref="DK1" si="26">DG$1+1</f>
        <v>28</v>
      </c>
      <c r="DL1" s="130"/>
      <c r="DM1" s="63"/>
      <c r="DN1" s="63"/>
      <c r="DO1" s="98">
        <f t="shared" ref="DO1" si="27">DK$1+1</f>
        <v>29</v>
      </c>
      <c r="DP1" s="130"/>
      <c r="DQ1" s="63"/>
      <c r="DR1" s="63"/>
      <c r="DS1" s="98">
        <f t="shared" ref="DS1" si="28">DO$1+1</f>
        <v>30</v>
      </c>
      <c r="DT1" s="130"/>
      <c r="DU1" s="63"/>
      <c r="DV1" s="63"/>
      <c r="DW1" s="98">
        <f t="shared" ref="DW1" si="29">DS$1+1</f>
        <v>31</v>
      </c>
      <c r="DX1" s="130"/>
      <c r="DY1" s="63"/>
      <c r="DZ1" s="63"/>
      <c r="EA1" s="98">
        <f t="shared" ref="EA1" si="30">DW$1+1</f>
        <v>32</v>
      </c>
      <c r="EB1" s="130"/>
      <c r="EC1" s="63"/>
      <c r="ED1" s="63"/>
      <c r="EE1" s="98">
        <f t="shared" ref="EE1" si="31">EA$1+1</f>
        <v>33</v>
      </c>
      <c r="EF1" s="130"/>
      <c r="EG1" s="63"/>
      <c r="EH1" s="63"/>
      <c r="EI1" s="98">
        <f t="shared" ref="EI1" si="32">EE$1+1</f>
        <v>34</v>
      </c>
      <c r="EJ1" s="130"/>
      <c r="EK1" s="63"/>
      <c r="EL1" s="63"/>
      <c r="EM1" s="98">
        <f t="shared" ref="EM1" si="33">EI$1+1</f>
        <v>35</v>
      </c>
      <c r="EN1" s="130"/>
      <c r="EO1" s="63"/>
      <c r="EP1" s="63"/>
      <c r="EQ1" s="98">
        <f t="shared" ref="EQ1" si="34">EM$1+1</f>
        <v>36</v>
      </c>
      <c r="ER1" s="130"/>
      <c r="ES1" s="63"/>
      <c r="ET1" s="63"/>
      <c r="EU1" s="98">
        <f t="shared" ref="EU1" si="35">EQ$1+1</f>
        <v>37</v>
      </c>
      <c r="EV1" s="130"/>
      <c r="EW1" s="63"/>
      <c r="EX1" s="63"/>
      <c r="EY1" s="98">
        <f t="shared" ref="EY1" si="36">EU$1+1</f>
        <v>38</v>
      </c>
      <c r="EZ1" s="130"/>
      <c r="FA1" s="63"/>
      <c r="FB1" s="63"/>
      <c r="FC1" s="98">
        <f t="shared" ref="FC1" si="37">EY$1+1</f>
        <v>39</v>
      </c>
      <c r="FD1" s="130"/>
      <c r="FE1" s="63"/>
      <c r="FF1" s="63"/>
      <c r="FG1" s="98">
        <f t="shared" ref="FG1" si="38">FC$1+1</f>
        <v>40</v>
      </c>
      <c r="FH1" s="130"/>
      <c r="FI1" s="63"/>
      <c r="FJ1" s="63"/>
      <c r="FK1" s="98">
        <f t="shared" ref="FK1" si="39">FG$1+1</f>
        <v>41</v>
      </c>
      <c r="FL1" s="130"/>
      <c r="FM1" s="63"/>
      <c r="FN1" s="63"/>
      <c r="FO1" s="98">
        <f t="shared" ref="FO1" si="40">FK$1+1</f>
        <v>42</v>
      </c>
      <c r="FP1" s="130"/>
      <c r="FQ1" s="63"/>
      <c r="FR1" s="63"/>
      <c r="FS1" s="98">
        <f t="shared" ref="FS1" si="41">FO$1+1</f>
        <v>43</v>
      </c>
      <c r="FT1" s="130"/>
      <c r="FU1" s="63"/>
      <c r="FV1" s="63"/>
      <c r="FW1" s="98">
        <f t="shared" ref="FW1" si="42">FS$1+1</f>
        <v>44</v>
      </c>
      <c r="FX1" s="130"/>
      <c r="FY1" s="63"/>
      <c r="FZ1" s="63"/>
      <c r="GA1" s="98">
        <f t="shared" ref="GA1" si="43">FW$1+1</f>
        <v>45</v>
      </c>
      <c r="GB1" s="130"/>
      <c r="GC1" s="63"/>
      <c r="GD1" s="63"/>
      <c r="GE1" s="98">
        <f t="shared" ref="GE1" si="44">GA$1+1</f>
        <v>46</v>
      </c>
      <c r="GF1" s="130"/>
      <c r="GG1" s="63"/>
      <c r="GH1" s="63"/>
      <c r="GI1" s="98">
        <f t="shared" ref="GI1" si="45">GE$1+1</f>
        <v>47</v>
      </c>
      <c r="GJ1" s="130"/>
      <c r="GK1" s="63"/>
      <c r="GL1" s="63"/>
      <c r="GM1" s="98">
        <f t="shared" ref="GM1" si="46">GI$1+1</f>
        <v>48</v>
      </c>
      <c r="GN1" s="130"/>
      <c r="GO1" s="63"/>
      <c r="GP1" s="63"/>
      <c r="GQ1" s="98">
        <f t="shared" ref="GQ1" si="47">GM$1+1</f>
        <v>49</v>
      </c>
      <c r="GR1" s="130"/>
      <c r="GS1" s="63"/>
      <c r="GT1" s="63"/>
      <c r="GU1" s="98">
        <f t="shared" ref="GU1" si="48">GQ$1+1</f>
        <v>50</v>
      </c>
      <c r="GV1" s="130"/>
      <c r="GW1" s="63"/>
      <c r="GX1" s="63"/>
      <c r="GY1" s="98">
        <f t="shared" ref="GY1" si="49">GU$1+1</f>
        <v>51</v>
      </c>
      <c r="GZ1" s="130"/>
      <c r="HA1" s="63"/>
      <c r="HB1" s="63"/>
      <c r="HC1" s="98">
        <f t="shared" ref="HC1" si="50">GY$1+1</f>
        <v>52</v>
      </c>
      <c r="HD1" s="130"/>
      <c r="HE1" s="63"/>
      <c r="HF1" s="63"/>
      <c r="HG1" s="98">
        <f t="shared" ref="HG1" si="51">HC$1+1</f>
        <v>53</v>
      </c>
      <c r="HH1" s="130"/>
      <c r="HI1" s="63"/>
      <c r="HJ1" s="63"/>
      <c r="HK1" s="98">
        <f t="shared" ref="HK1" si="52">HG$1+1</f>
        <v>54</v>
      </c>
      <c r="HL1" s="130"/>
      <c r="HM1" s="63"/>
      <c r="HN1" s="63"/>
      <c r="HO1" s="98">
        <f t="shared" ref="HO1" si="53">HK$1+1</f>
        <v>55</v>
      </c>
      <c r="HP1" s="130"/>
      <c r="HQ1" s="63"/>
      <c r="HR1" s="63"/>
      <c r="HS1" s="98">
        <f t="shared" ref="HS1" si="54">HO$1+1</f>
        <v>56</v>
      </c>
      <c r="HT1" s="130"/>
      <c r="HU1" s="63"/>
      <c r="HV1" s="63"/>
      <c r="HW1" s="98">
        <f t="shared" ref="HW1" si="55">HS$1+1</f>
        <v>57</v>
      </c>
      <c r="HX1" s="130"/>
      <c r="HY1" s="63"/>
      <c r="HZ1" s="63"/>
      <c r="IA1" s="98">
        <f t="shared" ref="IA1" si="56">HW$1+1</f>
        <v>58</v>
      </c>
      <c r="IB1" s="130"/>
      <c r="IC1" s="63"/>
      <c r="ID1" s="63"/>
      <c r="IE1" s="98">
        <f t="shared" ref="IE1" si="57">IA$1+1</f>
        <v>59</v>
      </c>
      <c r="IF1" s="130"/>
      <c r="IG1" s="63"/>
      <c r="IH1" s="63"/>
      <c r="II1" s="98">
        <f t="shared" ref="II1" si="58">IE$1+1</f>
        <v>60</v>
      </c>
      <c r="IJ1" s="130"/>
      <c r="IK1" s="63"/>
      <c r="IL1" s="63"/>
      <c r="IM1" s="98">
        <f t="shared" ref="IM1" si="59">II$1+1</f>
        <v>61</v>
      </c>
      <c r="IN1" s="130"/>
      <c r="IO1" s="63"/>
      <c r="IP1" s="63"/>
      <c r="IQ1" s="98">
        <f t="shared" ref="IQ1" si="60">IM$1+1</f>
        <v>62</v>
      </c>
      <c r="IR1" s="130"/>
      <c r="IS1" s="63"/>
      <c r="IT1" s="63"/>
      <c r="IU1" s="98">
        <f t="shared" ref="IU1" si="61">IQ$1+1</f>
        <v>63</v>
      </c>
      <c r="IV1" s="130"/>
      <c r="IW1" s="63"/>
      <c r="IX1" s="63"/>
      <c r="IY1" s="98">
        <f t="shared" ref="IY1" si="62">IU$1+1</f>
        <v>64</v>
      </c>
      <c r="IZ1" s="130"/>
      <c r="JA1" s="63"/>
      <c r="JB1" s="63"/>
      <c r="JC1" s="98">
        <f t="shared" ref="JC1" si="63">IY$1+1</f>
        <v>65</v>
      </c>
      <c r="JD1" s="130"/>
      <c r="JE1" s="63"/>
      <c r="JF1" s="63"/>
      <c r="JG1" s="98">
        <f t="shared" ref="JG1" si="64">JC$1+1</f>
        <v>66</v>
      </c>
      <c r="JH1" s="130"/>
      <c r="JI1" s="63"/>
      <c r="JJ1" s="63"/>
      <c r="JK1" s="98">
        <f t="shared" ref="JK1" si="65">JG$1+1</f>
        <v>67</v>
      </c>
      <c r="JL1" s="130"/>
      <c r="JM1" s="63"/>
      <c r="JN1" s="63"/>
      <c r="JO1" s="98">
        <f t="shared" ref="JO1" si="66">JK$1+1</f>
        <v>68</v>
      </c>
      <c r="JP1" s="130"/>
      <c r="JQ1" s="63"/>
      <c r="JR1" s="63"/>
      <c r="JS1" s="98">
        <f t="shared" ref="JS1" si="67">JO$1+1</f>
        <v>69</v>
      </c>
      <c r="JT1" s="130"/>
      <c r="JU1" s="63"/>
      <c r="JV1" s="63"/>
      <c r="JW1" s="98">
        <f t="shared" ref="JW1" si="68">JS$1+1</f>
        <v>70</v>
      </c>
      <c r="JX1" s="130"/>
      <c r="JY1" s="63"/>
      <c r="JZ1" s="63"/>
      <c r="KA1" s="98">
        <f t="shared" ref="KA1" si="69">JW$1+1</f>
        <v>71</v>
      </c>
      <c r="KB1" s="130"/>
      <c r="KC1" s="63"/>
      <c r="KD1" s="63"/>
    </row>
    <row r="2" spans="1:290" x14ac:dyDescent="0.25">
      <c r="A2" s="99"/>
      <c r="C2" s="98"/>
      <c r="D2" s="100">
        <v>3009.5561329010466</v>
      </c>
      <c r="E2" s="63"/>
      <c r="F2" s="63"/>
      <c r="G2" s="98"/>
      <c r="H2" s="100">
        <v>3008.671718477487</v>
      </c>
      <c r="I2" s="63"/>
      <c r="J2" s="63"/>
      <c r="K2" s="98"/>
      <c r="L2" s="100">
        <v>3100.2967897932185</v>
      </c>
      <c r="M2" s="63"/>
      <c r="N2" s="63"/>
      <c r="O2" s="98"/>
      <c r="P2" s="100">
        <v>3238.957611584909</v>
      </c>
      <c r="Q2" s="63"/>
      <c r="R2" s="63"/>
      <c r="S2" s="98"/>
      <c r="T2" s="100">
        <v>3241.5394306905823</v>
      </c>
      <c r="U2" s="63"/>
      <c r="V2" s="63"/>
      <c r="W2" s="98"/>
      <c r="X2" s="100">
        <v>3251.2331245405098</v>
      </c>
      <c r="Y2" s="63"/>
      <c r="Z2" s="63"/>
      <c r="AA2" s="98"/>
      <c r="AB2" s="100">
        <v>3257.209010777507</v>
      </c>
      <c r="AC2" s="63"/>
      <c r="AD2" s="63"/>
      <c r="AE2" s="98"/>
      <c r="AF2" s="100">
        <v>3248.3231707943487</v>
      </c>
      <c r="AG2" s="63"/>
      <c r="AH2" s="63"/>
      <c r="AI2" s="98"/>
      <c r="AJ2" s="100">
        <v>3239.7479514326892</v>
      </c>
      <c r="AK2" s="63"/>
      <c r="AL2" s="63"/>
      <c r="AM2" s="98"/>
      <c r="AN2" s="100">
        <v>3226.6864890646234</v>
      </c>
      <c r="AO2" s="63"/>
      <c r="AP2" s="63"/>
      <c r="AQ2" s="98"/>
      <c r="AR2" s="100">
        <v>3215.968663894816</v>
      </c>
      <c r="AS2" s="63"/>
      <c r="AT2" s="63"/>
      <c r="AU2" s="98"/>
      <c r="AV2" s="100">
        <v>3221.1423204259404</v>
      </c>
      <c r="AW2" s="63"/>
      <c r="AX2" s="63"/>
      <c r="AY2" s="98"/>
      <c r="AZ2" s="100">
        <v>3244.7378244481624</v>
      </c>
      <c r="BA2" s="63"/>
      <c r="BB2" s="63"/>
      <c r="BC2" s="98"/>
      <c r="BD2" s="100">
        <v>3220.2555528639737</v>
      </c>
      <c r="BE2" s="63"/>
      <c r="BF2" s="63"/>
      <c r="BG2" s="98"/>
      <c r="BH2" s="100">
        <v>3202.8580086718944</v>
      </c>
      <c r="BI2" s="63"/>
      <c r="BJ2" s="63"/>
      <c r="BK2" s="98"/>
      <c r="BL2" s="100">
        <v>3321.4741563808543</v>
      </c>
      <c r="BM2" s="63"/>
      <c r="BN2" s="63"/>
      <c r="BO2" s="98"/>
      <c r="BP2" s="100">
        <v>3305.3801277998059</v>
      </c>
      <c r="BQ2" s="63"/>
      <c r="BR2" s="63"/>
      <c r="BS2" s="98"/>
      <c r="BT2" s="100">
        <v>3053.2826467447549</v>
      </c>
      <c r="BU2" s="63"/>
      <c r="BV2" s="63"/>
      <c r="BW2" s="98"/>
      <c r="BX2" s="100">
        <v>3025.2514017969193</v>
      </c>
      <c r="BY2" s="63"/>
      <c r="BZ2" s="63"/>
      <c r="CA2" s="98"/>
      <c r="CB2" s="100">
        <v>3027.4385165540093</v>
      </c>
      <c r="CC2" s="63"/>
      <c r="CD2" s="63"/>
      <c r="CE2" s="98"/>
      <c r="CF2" s="100">
        <v>3037.7925898251979</v>
      </c>
      <c r="CG2" s="63"/>
      <c r="CH2" s="63"/>
      <c r="CI2" s="98"/>
      <c r="CJ2" s="100">
        <v>3042.0530251491359</v>
      </c>
      <c r="CK2" s="63"/>
      <c r="CL2" s="63"/>
      <c r="CM2" s="98"/>
      <c r="CN2" s="100">
        <v>3059.5972362857333</v>
      </c>
      <c r="CO2" s="63"/>
      <c r="CP2" s="63"/>
      <c r="CQ2" s="98"/>
      <c r="CR2" s="100">
        <v>3048.5022625301826</v>
      </c>
      <c r="CS2" s="63"/>
      <c r="CT2" s="63"/>
      <c r="CU2" s="98"/>
      <c r="CV2" s="100">
        <v>3049.7794350207719</v>
      </c>
      <c r="CW2" s="63"/>
      <c r="CX2" s="63"/>
      <c r="CY2" s="98"/>
      <c r="CZ2" s="100">
        <v>3060.1641436429072</v>
      </c>
      <c r="DA2" s="63"/>
      <c r="DB2" s="63"/>
      <c r="DC2" s="98"/>
      <c r="DD2" s="100">
        <v>3044.68551827905</v>
      </c>
      <c r="DE2" s="63"/>
      <c r="DF2" s="63"/>
      <c r="DG2" s="98"/>
      <c r="DH2" s="100">
        <v>3103.1444159941075</v>
      </c>
      <c r="DI2" s="63"/>
      <c r="DJ2" s="63"/>
      <c r="DK2" s="98"/>
      <c r="DL2" s="100">
        <v>3127.4741889490228</v>
      </c>
      <c r="DM2" s="63"/>
      <c r="DN2" s="63"/>
      <c r="DO2" s="98"/>
      <c r="DP2" s="100">
        <v>3130.4288215265087</v>
      </c>
      <c r="DQ2" s="63"/>
      <c r="DR2" s="63"/>
      <c r="DS2" s="98"/>
      <c r="DT2" s="100">
        <v>3137.1741579406216</v>
      </c>
      <c r="DU2" s="63"/>
      <c r="DV2" s="63"/>
      <c r="DW2" s="98"/>
      <c r="DX2" s="100">
        <v>3144.3526734463239</v>
      </c>
      <c r="DY2" s="63"/>
      <c r="DZ2" s="63"/>
      <c r="EA2" s="98"/>
      <c r="EB2" s="100">
        <v>3150.8623537291373</v>
      </c>
      <c r="EC2" s="63"/>
      <c r="ED2" s="63"/>
      <c r="EE2" s="98"/>
      <c r="EF2" s="100">
        <v>3147.572410186337</v>
      </c>
      <c r="EG2" s="63"/>
      <c r="EH2" s="63"/>
      <c r="EI2" s="98"/>
      <c r="EJ2" s="100">
        <v>3147.7863665155724</v>
      </c>
      <c r="EK2" s="63"/>
      <c r="EL2" s="63"/>
      <c r="EM2" s="98"/>
      <c r="EN2" s="100">
        <v>3158.979318625411</v>
      </c>
      <c r="EO2" s="63"/>
      <c r="EP2" s="63"/>
      <c r="EQ2" s="98"/>
      <c r="ER2" s="100">
        <v>3512.4367425271921</v>
      </c>
      <c r="ES2" s="63"/>
      <c r="ET2" s="63"/>
      <c r="EU2" s="98"/>
      <c r="EV2" s="100">
        <v>3689.7368757879526</v>
      </c>
      <c r="EW2" s="63"/>
      <c r="EX2" s="63"/>
      <c r="EY2" s="98"/>
      <c r="EZ2" s="100">
        <v>4484.3078839775981</v>
      </c>
      <c r="FA2" s="63"/>
      <c r="FB2" s="63"/>
      <c r="FC2" s="98"/>
      <c r="FD2" s="100">
        <v>4459.8183851666827</v>
      </c>
      <c r="FE2" s="63"/>
      <c r="FF2" s="63"/>
      <c r="FG2" s="98"/>
      <c r="FH2" s="100">
        <v>4477.1001665060858</v>
      </c>
      <c r="FI2" s="63"/>
      <c r="FJ2" s="63"/>
      <c r="FK2" s="98"/>
      <c r="FL2" s="100">
        <v>4466.4312665707575</v>
      </c>
      <c r="FM2" s="63"/>
      <c r="FN2" s="63"/>
      <c r="FO2" s="98"/>
      <c r="FP2" s="100">
        <v>4480.3050463505715</v>
      </c>
      <c r="FQ2" s="63"/>
      <c r="FR2" s="63"/>
      <c r="FS2" s="98"/>
      <c r="FT2" s="100">
        <v>4478.5788821612878</v>
      </c>
      <c r="FU2" s="63"/>
      <c r="FV2" s="63"/>
      <c r="FW2" s="98"/>
      <c r="FX2" s="100">
        <v>4474.1333656797697</v>
      </c>
      <c r="FY2" s="63"/>
      <c r="FZ2" s="63"/>
      <c r="GA2" s="98"/>
      <c r="GB2" s="100">
        <v>4466.5502437012692</v>
      </c>
      <c r="GC2" s="63"/>
      <c r="GD2" s="63"/>
      <c r="GE2" s="98"/>
      <c r="GF2" s="100">
        <v>4432.7793870019077</v>
      </c>
      <c r="GG2" s="63"/>
      <c r="GH2" s="63"/>
      <c r="GI2" s="98"/>
      <c r="GJ2" s="100">
        <v>4402.5464698319156</v>
      </c>
      <c r="GK2" s="63"/>
      <c r="GL2" s="63"/>
      <c r="GM2" s="98"/>
      <c r="GN2" s="100">
        <v>4392.2310753630154</v>
      </c>
      <c r="GO2" s="63"/>
      <c r="GP2" s="63"/>
      <c r="GQ2" s="98"/>
      <c r="GR2" s="100">
        <v>4338.4846177934423</v>
      </c>
      <c r="GS2" s="63"/>
      <c r="GT2" s="63"/>
      <c r="GU2" s="98"/>
      <c r="GV2" s="100">
        <v>4354.1506181267596</v>
      </c>
      <c r="GW2" s="63"/>
      <c r="GX2" s="63"/>
      <c r="GY2" s="98"/>
      <c r="GZ2" s="100">
        <v>4359.6043921378941</v>
      </c>
      <c r="HA2" s="63"/>
      <c r="HB2" s="63"/>
      <c r="HC2" s="98"/>
      <c r="HD2" s="100">
        <v>4046.0281192810398</v>
      </c>
      <c r="HE2" s="63"/>
      <c r="HF2" s="63"/>
      <c r="HG2" s="98"/>
      <c r="HH2" s="100">
        <v>3949.2069328439247</v>
      </c>
      <c r="HI2" s="63"/>
      <c r="HJ2" s="63"/>
      <c r="HK2" s="98"/>
      <c r="HL2" s="100">
        <v>3791.7470187504991</v>
      </c>
      <c r="HM2" s="63"/>
      <c r="HN2" s="63"/>
      <c r="HO2" s="98"/>
      <c r="HP2" s="100">
        <v>3782.9769195707063</v>
      </c>
      <c r="HQ2" s="63"/>
      <c r="HR2" s="63"/>
      <c r="HS2" s="98"/>
      <c r="HT2" s="100">
        <v>3728.2871120404229</v>
      </c>
      <c r="HU2" s="63"/>
      <c r="HV2" s="63"/>
      <c r="HW2" s="98"/>
      <c r="HX2" s="100">
        <v>3523.2305941433178</v>
      </c>
      <c r="HY2" s="63"/>
      <c r="HZ2" s="63"/>
      <c r="IA2" s="98"/>
      <c r="IB2" s="100">
        <v>3030.2380135307294</v>
      </c>
      <c r="IC2" s="63"/>
      <c r="ID2" s="63"/>
      <c r="IE2" s="98"/>
      <c r="IF2" s="100">
        <v>3020.6441000559362</v>
      </c>
      <c r="IG2" s="63"/>
      <c r="IH2" s="63"/>
      <c r="II2" s="98"/>
      <c r="IJ2" s="100">
        <v>2999.4652517803906</v>
      </c>
      <c r="IK2" s="63"/>
      <c r="IL2" s="63"/>
      <c r="IM2" s="98"/>
      <c r="IN2" s="100">
        <v>3012.2811541492292</v>
      </c>
      <c r="IO2" s="63"/>
      <c r="IP2" s="63"/>
      <c r="IQ2" s="98"/>
      <c r="IR2" s="100">
        <v>3000.7492839807928</v>
      </c>
      <c r="IS2" s="63"/>
      <c r="IT2" s="63"/>
      <c r="IU2" s="98"/>
      <c r="IV2" s="100">
        <v>2990.4371336301128</v>
      </c>
      <c r="IW2" s="63"/>
      <c r="IX2" s="63"/>
      <c r="IY2" s="98"/>
      <c r="IZ2" s="100">
        <v>2993.631018202932</v>
      </c>
      <c r="JA2" s="63"/>
      <c r="JB2" s="63"/>
      <c r="JC2" s="98"/>
      <c r="JD2" s="100">
        <v>2983.7818506195376</v>
      </c>
      <c r="JE2" s="63"/>
      <c r="JF2" s="63"/>
      <c r="JG2" s="98"/>
      <c r="JH2" s="100">
        <v>2975.6525601091112</v>
      </c>
      <c r="JI2" s="63"/>
      <c r="JJ2" s="63"/>
      <c r="JK2" s="98"/>
      <c r="JL2" s="100">
        <v>2942.0378036091633</v>
      </c>
      <c r="JM2" s="63"/>
      <c r="JN2" s="63"/>
      <c r="JO2" s="98"/>
      <c r="JP2" s="100">
        <v>2999.3351217935729</v>
      </c>
      <c r="JQ2" s="63"/>
      <c r="JR2" s="63"/>
      <c r="JS2" s="98"/>
      <c r="JT2" s="100">
        <v>3050.8804450745661</v>
      </c>
      <c r="JU2" s="63"/>
      <c r="JV2" s="63"/>
      <c r="JW2" s="98"/>
      <c r="JX2" s="100">
        <v>3046.0076130000989</v>
      </c>
      <c r="JY2" s="63"/>
      <c r="JZ2" s="63"/>
      <c r="KA2" s="98"/>
      <c r="KB2" s="100">
        <v>3103.6496144858579</v>
      </c>
      <c r="KC2" s="63"/>
      <c r="KD2" s="63"/>
    </row>
    <row r="3" spans="1:290" s="44" customFormat="1" x14ac:dyDescent="0.25">
      <c r="A3" s="100">
        <v>3100</v>
      </c>
      <c r="B3" s="35"/>
      <c r="C3" s="98" t="s">
        <v>203</v>
      </c>
      <c r="D3" s="89" t="s">
        <v>146</v>
      </c>
      <c r="E3" s="63"/>
      <c r="F3" s="63"/>
      <c r="G3" s="98" t="s">
        <v>203</v>
      </c>
      <c r="H3" s="89" t="s">
        <v>146</v>
      </c>
      <c r="I3" s="63"/>
      <c r="J3" s="63"/>
      <c r="K3" s="98" t="s">
        <v>203</v>
      </c>
      <c r="L3" s="89" t="s">
        <v>146</v>
      </c>
      <c r="M3" s="63"/>
      <c r="N3" s="63"/>
      <c r="O3" s="98" t="s">
        <v>203</v>
      </c>
      <c r="P3" s="89" t="s">
        <v>146</v>
      </c>
      <c r="Q3" s="63"/>
      <c r="R3" s="63"/>
      <c r="S3" s="98" t="s">
        <v>203</v>
      </c>
      <c r="T3" s="89" t="s">
        <v>146</v>
      </c>
      <c r="U3" s="63"/>
      <c r="V3" s="63"/>
      <c r="W3" s="98" t="s">
        <v>203</v>
      </c>
      <c r="X3" s="89" t="s">
        <v>146</v>
      </c>
      <c r="Y3" s="63"/>
      <c r="Z3" s="63"/>
      <c r="AA3" s="98" t="s">
        <v>203</v>
      </c>
      <c r="AB3" s="89" t="s">
        <v>146</v>
      </c>
      <c r="AC3" s="63"/>
      <c r="AD3" s="63"/>
      <c r="AE3" s="98" t="s">
        <v>203</v>
      </c>
      <c r="AF3" s="89" t="s">
        <v>146</v>
      </c>
      <c r="AG3" s="63"/>
      <c r="AH3" s="63"/>
      <c r="AI3" s="98" t="s">
        <v>203</v>
      </c>
      <c r="AJ3" s="89" t="s">
        <v>146</v>
      </c>
      <c r="AK3" s="63"/>
      <c r="AL3" s="63"/>
      <c r="AM3" s="98" t="s">
        <v>203</v>
      </c>
      <c r="AN3" s="89" t="s">
        <v>146</v>
      </c>
      <c r="AO3" s="63"/>
      <c r="AP3" s="63"/>
      <c r="AQ3" s="98" t="s">
        <v>203</v>
      </c>
      <c r="AR3" s="89" t="s">
        <v>146</v>
      </c>
      <c r="AS3" s="63"/>
      <c r="AT3" s="63"/>
      <c r="AU3" s="98" t="s">
        <v>203</v>
      </c>
      <c r="AV3" s="89" t="s">
        <v>146</v>
      </c>
      <c r="AW3" s="63"/>
      <c r="AX3" s="63"/>
      <c r="AY3" s="98" t="s">
        <v>203</v>
      </c>
      <c r="AZ3" s="89" t="s">
        <v>146</v>
      </c>
      <c r="BA3" s="63"/>
      <c r="BB3" s="63"/>
      <c r="BC3" s="98" t="s">
        <v>203</v>
      </c>
      <c r="BD3" s="89" t="s">
        <v>146</v>
      </c>
      <c r="BE3" s="63"/>
      <c r="BF3" s="63"/>
      <c r="BG3" s="98" t="s">
        <v>203</v>
      </c>
      <c r="BH3" s="89" t="s">
        <v>146</v>
      </c>
      <c r="BI3" s="63"/>
      <c r="BJ3" s="63"/>
      <c r="BK3" s="98" t="s">
        <v>203</v>
      </c>
      <c r="BL3" s="89" t="s">
        <v>146</v>
      </c>
      <c r="BM3" s="63"/>
      <c r="BN3" s="63"/>
      <c r="BO3" s="98" t="s">
        <v>203</v>
      </c>
      <c r="BP3" s="89" t="s">
        <v>146</v>
      </c>
      <c r="BQ3" s="63"/>
      <c r="BR3" s="63"/>
      <c r="BS3" s="98" t="s">
        <v>203</v>
      </c>
      <c r="BT3" s="89" t="s">
        <v>146</v>
      </c>
      <c r="BU3" s="63"/>
      <c r="BV3" s="63"/>
      <c r="BW3" s="98" t="s">
        <v>203</v>
      </c>
      <c r="BX3" s="89" t="s">
        <v>146</v>
      </c>
      <c r="BY3" s="63"/>
      <c r="BZ3" s="63"/>
      <c r="CA3" s="98" t="s">
        <v>203</v>
      </c>
      <c r="CB3" s="89" t="s">
        <v>146</v>
      </c>
      <c r="CC3" s="63"/>
      <c r="CD3" s="63"/>
      <c r="CE3" s="98" t="s">
        <v>203</v>
      </c>
      <c r="CF3" s="89" t="s">
        <v>146</v>
      </c>
      <c r="CG3" s="63"/>
      <c r="CH3" s="63"/>
      <c r="CI3" s="98" t="s">
        <v>203</v>
      </c>
      <c r="CJ3" s="89" t="s">
        <v>146</v>
      </c>
      <c r="CK3" s="63"/>
      <c r="CL3" s="63"/>
      <c r="CM3" s="98" t="s">
        <v>203</v>
      </c>
      <c r="CN3" s="89" t="s">
        <v>146</v>
      </c>
      <c r="CO3" s="63"/>
      <c r="CP3" s="63"/>
      <c r="CQ3" s="98" t="s">
        <v>203</v>
      </c>
      <c r="CR3" s="89" t="s">
        <v>146</v>
      </c>
      <c r="CS3" s="63"/>
      <c r="CT3" s="63"/>
      <c r="CU3" s="98" t="s">
        <v>203</v>
      </c>
      <c r="CV3" s="89" t="s">
        <v>146</v>
      </c>
      <c r="CW3" s="63"/>
      <c r="CX3" s="63"/>
      <c r="CY3" s="98" t="s">
        <v>203</v>
      </c>
      <c r="CZ3" s="89" t="s">
        <v>146</v>
      </c>
      <c r="DA3" s="63"/>
      <c r="DB3" s="63"/>
      <c r="DC3" s="98" t="s">
        <v>203</v>
      </c>
      <c r="DD3" s="89" t="s">
        <v>146</v>
      </c>
      <c r="DE3" s="63"/>
      <c r="DF3" s="63"/>
      <c r="DG3" s="98" t="s">
        <v>203</v>
      </c>
      <c r="DH3" s="89" t="s">
        <v>146</v>
      </c>
      <c r="DI3" s="63"/>
      <c r="DJ3" s="63"/>
      <c r="DK3" s="98" t="s">
        <v>203</v>
      </c>
      <c r="DL3" s="89" t="s">
        <v>146</v>
      </c>
      <c r="DM3" s="63"/>
      <c r="DN3" s="63"/>
      <c r="DO3" s="98" t="s">
        <v>203</v>
      </c>
      <c r="DP3" s="89" t="s">
        <v>146</v>
      </c>
      <c r="DQ3" s="63"/>
      <c r="DR3" s="63"/>
      <c r="DS3" s="98" t="s">
        <v>203</v>
      </c>
      <c r="DT3" s="89" t="s">
        <v>146</v>
      </c>
      <c r="DU3" s="63"/>
      <c r="DV3" s="63"/>
      <c r="DW3" s="98" t="s">
        <v>203</v>
      </c>
      <c r="DX3" s="89" t="s">
        <v>146</v>
      </c>
      <c r="DY3" s="63"/>
      <c r="DZ3" s="63"/>
      <c r="EA3" s="98" t="s">
        <v>203</v>
      </c>
      <c r="EB3" s="89" t="s">
        <v>146</v>
      </c>
      <c r="EC3" s="63"/>
      <c r="ED3" s="63"/>
      <c r="EE3" s="98" t="s">
        <v>203</v>
      </c>
      <c r="EF3" s="89" t="s">
        <v>146</v>
      </c>
      <c r="EG3" s="63"/>
      <c r="EH3" s="63"/>
      <c r="EI3" s="98" t="s">
        <v>203</v>
      </c>
      <c r="EJ3" s="89" t="s">
        <v>146</v>
      </c>
      <c r="EK3" s="63"/>
      <c r="EL3" s="63"/>
      <c r="EM3" s="98" t="s">
        <v>203</v>
      </c>
      <c r="EN3" s="89" t="s">
        <v>146</v>
      </c>
      <c r="EO3" s="63"/>
      <c r="EP3" s="63"/>
      <c r="EQ3" s="98" t="s">
        <v>203</v>
      </c>
      <c r="ER3" s="89" t="s">
        <v>146</v>
      </c>
      <c r="ES3" s="63"/>
      <c r="ET3" s="63"/>
      <c r="EU3" s="98" t="s">
        <v>203</v>
      </c>
      <c r="EV3" s="89" t="s">
        <v>146</v>
      </c>
      <c r="EW3" s="63"/>
      <c r="EX3" s="63"/>
      <c r="EY3" s="98" t="s">
        <v>203</v>
      </c>
      <c r="EZ3" s="89" t="s">
        <v>146</v>
      </c>
      <c r="FA3" s="63"/>
      <c r="FB3" s="63"/>
      <c r="FC3" s="98" t="s">
        <v>203</v>
      </c>
      <c r="FD3" s="89" t="s">
        <v>146</v>
      </c>
      <c r="FE3" s="63"/>
      <c r="FF3" s="63"/>
      <c r="FG3" s="98" t="s">
        <v>203</v>
      </c>
      <c r="FH3" s="89" t="s">
        <v>146</v>
      </c>
      <c r="FI3" s="63"/>
      <c r="FJ3" s="63"/>
      <c r="FK3" s="98" t="s">
        <v>203</v>
      </c>
      <c r="FL3" s="89" t="s">
        <v>146</v>
      </c>
      <c r="FM3" s="63"/>
      <c r="FN3" s="63"/>
      <c r="FO3" s="98" t="s">
        <v>203</v>
      </c>
      <c r="FP3" s="89" t="s">
        <v>146</v>
      </c>
      <c r="FQ3" s="63"/>
      <c r="FR3" s="63"/>
      <c r="FS3" s="98" t="s">
        <v>203</v>
      </c>
      <c r="FT3" s="89" t="s">
        <v>146</v>
      </c>
      <c r="FU3" s="63"/>
      <c r="FV3" s="63"/>
      <c r="FW3" s="98" t="s">
        <v>203</v>
      </c>
      <c r="FX3" s="89" t="s">
        <v>146</v>
      </c>
      <c r="FY3" s="63"/>
      <c r="FZ3" s="63"/>
      <c r="GA3" s="98" t="s">
        <v>203</v>
      </c>
      <c r="GB3" s="89" t="s">
        <v>146</v>
      </c>
      <c r="GC3" s="63"/>
      <c r="GD3" s="63"/>
      <c r="GE3" s="98" t="s">
        <v>203</v>
      </c>
      <c r="GF3" s="89" t="s">
        <v>146</v>
      </c>
      <c r="GG3" s="63"/>
      <c r="GH3" s="63"/>
      <c r="GI3" s="98" t="s">
        <v>203</v>
      </c>
      <c r="GJ3" s="89" t="s">
        <v>146</v>
      </c>
      <c r="GK3" s="63"/>
      <c r="GL3" s="63"/>
      <c r="GM3" s="98" t="s">
        <v>203</v>
      </c>
      <c r="GN3" s="89" t="s">
        <v>146</v>
      </c>
      <c r="GO3" s="63"/>
      <c r="GP3" s="63"/>
      <c r="GQ3" s="98" t="s">
        <v>203</v>
      </c>
      <c r="GR3" s="89" t="s">
        <v>146</v>
      </c>
      <c r="GS3" s="63"/>
      <c r="GT3" s="63"/>
      <c r="GU3" s="98" t="s">
        <v>203</v>
      </c>
      <c r="GV3" s="89" t="s">
        <v>146</v>
      </c>
      <c r="GW3" s="63"/>
      <c r="GX3" s="63"/>
      <c r="GY3" s="98" t="s">
        <v>203</v>
      </c>
      <c r="GZ3" s="89" t="s">
        <v>146</v>
      </c>
      <c r="HA3" s="63"/>
      <c r="HB3" s="63"/>
      <c r="HC3" s="98" t="s">
        <v>203</v>
      </c>
      <c r="HD3" s="89" t="s">
        <v>146</v>
      </c>
      <c r="HE3" s="63"/>
      <c r="HF3" s="63"/>
      <c r="HG3" s="98" t="s">
        <v>203</v>
      </c>
      <c r="HH3" s="89" t="s">
        <v>146</v>
      </c>
      <c r="HI3" s="63"/>
      <c r="HJ3" s="63"/>
      <c r="HK3" s="98" t="s">
        <v>203</v>
      </c>
      <c r="HL3" s="89" t="s">
        <v>146</v>
      </c>
      <c r="HM3" s="63"/>
      <c r="HN3" s="63"/>
      <c r="HO3" s="98" t="s">
        <v>203</v>
      </c>
      <c r="HP3" s="89" t="s">
        <v>146</v>
      </c>
      <c r="HQ3" s="63"/>
      <c r="HR3" s="63"/>
      <c r="HS3" s="98" t="s">
        <v>203</v>
      </c>
      <c r="HT3" s="89" t="s">
        <v>146</v>
      </c>
      <c r="HU3" s="63"/>
      <c r="HV3" s="63"/>
      <c r="HW3" s="98" t="s">
        <v>203</v>
      </c>
      <c r="HX3" s="89" t="s">
        <v>146</v>
      </c>
      <c r="HY3" s="63"/>
      <c r="HZ3" s="63"/>
      <c r="IA3" s="98" t="s">
        <v>203</v>
      </c>
      <c r="IB3" s="89" t="s">
        <v>146</v>
      </c>
      <c r="IC3" s="63"/>
      <c r="ID3" s="63"/>
      <c r="IE3" s="98" t="s">
        <v>203</v>
      </c>
      <c r="IF3" s="89" t="s">
        <v>146</v>
      </c>
      <c r="IG3" s="63"/>
      <c r="IH3" s="63"/>
      <c r="II3" s="98" t="s">
        <v>203</v>
      </c>
      <c r="IJ3" s="89" t="s">
        <v>146</v>
      </c>
      <c r="IK3" s="63"/>
      <c r="IL3" s="63"/>
      <c r="IM3" s="98" t="s">
        <v>203</v>
      </c>
      <c r="IN3" s="89" t="s">
        <v>146</v>
      </c>
      <c r="IO3" s="63"/>
      <c r="IP3" s="63"/>
      <c r="IQ3" s="98" t="s">
        <v>203</v>
      </c>
      <c r="IR3" s="89" t="s">
        <v>146</v>
      </c>
      <c r="IS3" s="63"/>
      <c r="IT3" s="63"/>
      <c r="IU3" s="98" t="s">
        <v>203</v>
      </c>
      <c r="IV3" s="89" t="s">
        <v>146</v>
      </c>
      <c r="IW3" s="63"/>
      <c r="IX3" s="63"/>
      <c r="IY3" s="98" t="s">
        <v>203</v>
      </c>
      <c r="IZ3" s="89" t="s">
        <v>146</v>
      </c>
      <c r="JA3" s="63"/>
      <c r="JB3" s="63"/>
      <c r="JC3" s="98" t="s">
        <v>203</v>
      </c>
      <c r="JD3" s="89" t="s">
        <v>146</v>
      </c>
      <c r="JE3" s="63"/>
      <c r="JF3" s="63"/>
      <c r="JG3" s="98" t="s">
        <v>203</v>
      </c>
      <c r="JH3" s="89" t="s">
        <v>146</v>
      </c>
      <c r="JI3" s="63"/>
      <c r="JJ3" s="63"/>
      <c r="JK3" s="98" t="s">
        <v>203</v>
      </c>
      <c r="JL3" s="89" t="s">
        <v>146</v>
      </c>
      <c r="JM3" s="63"/>
      <c r="JN3" s="63"/>
      <c r="JO3" s="98" t="s">
        <v>203</v>
      </c>
      <c r="JP3" s="89" t="s">
        <v>146</v>
      </c>
      <c r="JQ3" s="63"/>
      <c r="JR3" s="63"/>
      <c r="JS3" s="98" t="s">
        <v>203</v>
      </c>
      <c r="JT3" s="89" t="s">
        <v>146</v>
      </c>
      <c r="JU3" s="63"/>
      <c r="JV3" s="63"/>
      <c r="JW3" s="98" t="s">
        <v>203</v>
      </c>
      <c r="JX3" s="89" t="s">
        <v>146</v>
      </c>
      <c r="JY3" s="63"/>
      <c r="JZ3" s="63"/>
      <c r="KA3" s="98" t="s">
        <v>203</v>
      </c>
      <c r="KB3" s="89" t="s">
        <v>146</v>
      </c>
      <c r="KC3" s="63"/>
      <c r="KD3" s="63"/>
    </row>
    <row r="4" spans="1:290" x14ac:dyDescent="0.25">
      <c r="A4" s="118">
        <v>40</v>
      </c>
      <c r="C4" s="37" t="s">
        <v>205</v>
      </c>
      <c r="D4" s="63">
        <f>((D$5*60)/0.25)*D$6</f>
        <v>28800</v>
      </c>
      <c r="E4" s="83">
        <f ca="1">-(D$4+D$31)/D$31</f>
        <v>-0.78218148994514625</v>
      </c>
      <c r="F4" s="63"/>
      <c r="G4" s="37" t="s">
        <v>205</v>
      </c>
      <c r="H4" s="63">
        <f>((H$5*60)/0.25)*H$6</f>
        <v>28800</v>
      </c>
      <c r="I4" s="83">
        <f ca="1">-(H$4+H$31)/H$31</f>
        <v>0.33126866350077117</v>
      </c>
      <c r="J4" s="63"/>
      <c r="K4" s="37" t="s">
        <v>205</v>
      </c>
      <c r="L4" s="63">
        <f t="shared" ref="L4" si="70">((L$5*60)/0.25)*L$6</f>
        <v>28800</v>
      </c>
      <c r="M4" s="83">
        <f t="shared" ref="M4" ca="1" si="71">-(L$4+L$31)/L$31</f>
        <v>0.32705327923502781</v>
      </c>
      <c r="N4" s="63"/>
      <c r="O4" s="37" t="s">
        <v>205</v>
      </c>
      <c r="P4" s="63">
        <f t="shared" ref="P4" si="72">((P$5*60)/0.25)*P$6</f>
        <v>28800</v>
      </c>
      <c r="Q4" s="83">
        <f t="shared" ref="Q4" ca="1" si="73">-(P$4+P$31)/P$31</f>
        <v>-0.44569369143114529</v>
      </c>
      <c r="R4" s="63"/>
      <c r="S4" s="37" t="s">
        <v>205</v>
      </c>
      <c r="T4" s="63">
        <f t="shared" ref="T4" si="74">((T$5*60)/0.25)*T$6</f>
        <v>28800</v>
      </c>
      <c r="U4" s="83">
        <f t="shared" ref="U4" ca="1" si="75">-(T$4+T$31)/T$31</f>
        <v>0.32060718544290595</v>
      </c>
      <c r="V4" s="63"/>
      <c r="W4" s="37" t="s">
        <v>205</v>
      </c>
      <c r="X4" s="63">
        <f t="shared" ref="X4" si="76">((X$5*60)/0.25)*X$6</f>
        <v>28800</v>
      </c>
      <c r="Y4" s="83">
        <f t="shared" ref="Y4" ca="1" si="77">-(X$4+X$31)/X$31</f>
        <v>0.32016707605887662</v>
      </c>
      <c r="Z4" s="63"/>
      <c r="AA4" s="37" t="s">
        <v>205</v>
      </c>
      <c r="AB4" s="63">
        <f t="shared" ref="AB4" si="78">((AB$5*60)/0.25)*AB$6</f>
        <v>28800</v>
      </c>
      <c r="AC4" s="83">
        <f t="shared" ref="AC4" ca="1" si="79">-(AB$4+AB$31)/AB$31</f>
        <v>-0.51677529345026851</v>
      </c>
      <c r="AD4" s="63"/>
      <c r="AE4" s="37" t="s">
        <v>205</v>
      </c>
      <c r="AF4" s="63">
        <f t="shared" ref="AF4" si="80">((AF$5*60)/0.25)*AF$6</f>
        <v>38400</v>
      </c>
      <c r="AG4" s="83">
        <f t="shared" ref="AG4" ca="1" si="81">-(AF$4+AF$31)/AF$31</f>
        <v>0.43927394526967051</v>
      </c>
      <c r="AH4" s="63"/>
      <c r="AI4" s="37" t="s">
        <v>205</v>
      </c>
      <c r="AJ4" s="63">
        <f t="shared" ref="AJ4" si="82">((AJ$5*60)/0.25)*AJ$6</f>
        <v>38400</v>
      </c>
      <c r="AK4" s="83">
        <f t="shared" ref="AK4" ca="1" si="83">-(AJ$4+AJ$31)/AJ$31</f>
        <v>0.43973668900683893</v>
      </c>
      <c r="AL4" s="63"/>
      <c r="AM4" s="37" t="s">
        <v>205</v>
      </c>
      <c r="AN4" s="63">
        <f t="shared" ref="AN4" si="84">((AN$5*60)/0.25)*AN$6</f>
        <v>38400</v>
      </c>
      <c r="AO4" s="83">
        <f t="shared" ref="AO4" ca="1" si="85">-(AN$4+AN$31)/AN$31</f>
        <v>-0.42150134944737561</v>
      </c>
      <c r="AP4" s="63"/>
      <c r="AQ4" s="37" t="s">
        <v>205</v>
      </c>
      <c r="AR4" s="63">
        <f t="shared" ref="AR4" si="86">((AR$5*60)/0.25)*AR$6</f>
        <v>38400</v>
      </c>
      <c r="AS4" s="83">
        <f t="shared" ref="AS4" ca="1" si="87">-(AR$4+AR$31)/AR$31</f>
        <v>0.44102144641433766</v>
      </c>
      <c r="AT4" s="63"/>
      <c r="AU4" s="37" t="s">
        <v>205</v>
      </c>
      <c r="AV4" s="63">
        <f t="shared" ref="AV4" si="88">((AV$5*60)/0.25)*AV$6</f>
        <v>38400</v>
      </c>
      <c r="AW4" s="83">
        <f t="shared" ref="AW4" ca="1" si="89">-(AV$4+AV$31)/AV$31</f>
        <v>0.39647850017592895</v>
      </c>
      <c r="AX4" s="63"/>
      <c r="AY4" s="37" t="s">
        <v>205</v>
      </c>
      <c r="AZ4" s="63">
        <f t="shared" ref="AZ4" si="90">((AZ$5*60)/0.25)*AZ$6</f>
        <v>38400</v>
      </c>
      <c r="BA4" s="83">
        <f t="shared" ref="BA4" ca="1" si="91">-(AZ$4+AZ$31)/AZ$31</f>
        <v>-0.45688244370965181</v>
      </c>
      <c r="BB4" s="63"/>
      <c r="BC4" s="37" t="s">
        <v>205</v>
      </c>
      <c r="BD4" s="63">
        <f t="shared" ref="BD4" si="92">((BD$5*60)/0.25)*BD$6</f>
        <v>38400</v>
      </c>
      <c r="BE4" s="83">
        <f t="shared" ref="BE4" ca="1" si="93">-(BD$4+BD$31)/BD$31</f>
        <v>0.39652353630831755</v>
      </c>
      <c r="BF4" s="63"/>
      <c r="BG4" s="37" t="s">
        <v>205</v>
      </c>
      <c r="BH4" s="63">
        <f t="shared" ref="BH4" si="94">((BH$5*60)/0.25)*BH$6</f>
        <v>48000</v>
      </c>
      <c r="BI4" s="83">
        <f t="shared" ref="BI4" ca="1" si="95">-(BH$4+BH$31)/BH$31</f>
        <v>0.51919078606372571</v>
      </c>
      <c r="BJ4" s="63"/>
      <c r="BK4" s="37" t="s">
        <v>205</v>
      </c>
      <c r="BL4" s="63">
        <f t="shared" ref="BL4" si="96">((BL$5*60)/0.25)*BL$6</f>
        <v>48000</v>
      </c>
      <c r="BM4" s="83">
        <f t="shared" ref="BM4" ca="1" si="97">-(BL$4+BL$31)/BL$31</f>
        <v>-0.41864796229598877</v>
      </c>
      <c r="BN4" s="63"/>
      <c r="BO4" s="37" t="s">
        <v>205</v>
      </c>
      <c r="BP4" s="63">
        <f t="shared" ref="BP4" si="98">((BP$5*60)/0.25)*BP$6</f>
        <v>48000</v>
      </c>
      <c r="BQ4" s="83">
        <f t="shared" ref="BQ4" ca="1" si="99">-(BP$4+BP$31)/BP$31</f>
        <v>0.51305382953587009</v>
      </c>
      <c r="BR4" s="63"/>
      <c r="BS4" s="37" t="s">
        <v>205</v>
      </c>
      <c r="BT4" s="63">
        <f t="shared" ref="BT4" si="100">((BT$5*60)/0.25)*BT$6</f>
        <v>48000</v>
      </c>
      <c r="BU4" s="83">
        <f t="shared" ref="BU4" ca="1" si="101">-(BT$4+BT$31)/BT$31</f>
        <v>0.52823417193692579</v>
      </c>
      <c r="BV4" s="63"/>
      <c r="BW4" s="37" t="s">
        <v>205</v>
      </c>
      <c r="BX4" s="63">
        <f t="shared" ref="BX4" si="102">((BX$5*60)/0.25)*BX$6</f>
        <v>48000</v>
      </c>
      <c r="BY4" s="83">
        <f t="shared" ref="BY4" ca="1" si="103">-(BX$4+BX$31)/BX$31</f>
        <v>-0.40577720056859695</v>
      </c>
      <c r="BZ4" s="63"/>
      <c r="CA4" s="37" t="s">
        <v>205</v>
      </c>
      <c r="CB4" s="63">
        <f t="shared" ref="CB4" si="104">((CB$5*60)/0.25)*CB$6</f>
        <v>48000</v>
      </c>
      <c r="CC4" s="83">
        <f t="shared" ref="CC4" ca="1" si="105">-(CB$4+CB$31)/CB$31</f>
        <v>0.52980763816971077</v>
      </c>
      <c r="CD4" s="63"/>
      <c r="CE4" s="37" t="s">
        <v>205</v>
      </c>
      <c r="CF4" s="63">
        <f t="shared" ref="CF4" si="106">((CF$5*60)/0.25)*CF$6</f>
        <v>57600</v>
      </c>
      <c r="CG4" s="83">
        <f t="shared" ref="CG4" ca="1" si="107">-(CF$4+CF$31)/CF$31</f>
        <v>0.62416007493500858</v>
      </c>
      <c r="CH4" s="63"/>
      <c r="CI4" s="37" t="s">
        <v>205</v>
      </c>
      <c r="CJ4" s="63">
        <f t="shared" ref="CJ4" si="108">((CJ$5*60)/0.25)*CJ$6</f>
        <v>57600</v>
      </c>
      <c r="CK4" s="83">
        <f t="shared" ref="CK4" ca="1" si="109">-(CJ$4+CJ$31)/CJ$31</f>
        <v>-0.36861372047969032</v>
      </c>
      <c r="CL4" s="63"/>
      <c r="CM4" s="37" t="s">
        <v>205</v>
      </c>
      <c r="CN4" s="63">
        <f t="shared" ref="CN4" si="110">((CN$5*60)/0.25)*CN$6</f>
        <v>57600</v>
      </c>
      <c r="CO4" s="83">
        <f t="shared" ref="CO4" ca="1" si="111">-(CN$4+CN$31)/CN$31</f>
        <v>0.62266358036845115</v>
      </c>
      <c r="CP4" s="63"/>
      <c r="CQ4" s="37" t="s">
        <v>205</v>
      </c>
      <c r="CR4" s="63">
        <f t="shared" ref="CR4" si="112">((CR$5*60)/0.25)*CR$6</f>
        <v>57600</v>
      </c>
      <c r="CS4" s="83">
        <f t="shared" ref="CS4" ca="1" si="113">-(CR$4+CR$31)/CR$31</f>
        <v>0.62342470485551094</v>
      </c>
      <c r="CT4" s="63"/>
      <c r="CU4" s="37" t="s">
        <v>205</v>
      </c>
      <c r="CV4" s="63">
        <f t="shared" ref="CV4" si="114">((CV$5*60)/0.25)*CV$6</f>
        <v>57600</v>
      </c>
      <c r="CW4" s="83">
        <f t="shared" ref="CW4" ca="1" si="115">-(CV$4+CV$31)/CV$31</f>
        <v>-0.36965475107839574</v>
      </c>
      <c r="CX4" s="63"/>
      <c r="CY4" s="37" t="s">
        <v>205</v>
      </c>
      <c r="CZ4" s="63">
        <f t="shared" ref="CZ4" si="116">((CZ$5*60)/0.25)*CZ$6</f>
        <v>57600</v>
      </c>
      <c r="DA4" s="83">
        <f t="shared" ref="DA4" ca="1" si="117">-(CZ$4+CZ$31)/CZ$31</f>
        <v>0.62262470921367685</v>
      </c>
      <c r="DB4" s="63"/>
      <c r="DC4" s="37" t="s">
        <v>205</v>
      </c>
      <c r="DD4" s="63">
        <f t="shared" ref="DD4" si="118">((DD$5*60)/0.25)*DD$6</f>
        <v>57600</v>
      </c>
      <c r="DE4" s="83">
        <f t="shared" ref="DE4" ca="1" si="119">-(DD$4+DD$31)/DD$31</f>
        <v>0.62368670179622732</v>
      </c>
      <c r="DF4" s="63"/>
      <c r="DG4" s="37" t="s">
        <v>205</v>
      </c>
      <c r="DH4" s="63">
        <f t="shared" ref="DH4" si="120">((DH$5*60)/0.25)*DH$6</f>
        <v>67200</v>
      </c>
      <c r="DI4" s="83">
        <f t="shared" ref="DI4" ca="1" si="121">-(DH$4+DH$31)/DH$31</f>
        <v>-0.36495895208300444</v>
      </c>
      <c r="DJ4" s="63"/>
      <c r="DK4" s="37" t="s">
        <v>205</v>
      </c>
      <c r="DL4" s="63">
        <f t="shared" ref="DL4" si="122">((DL$5*60)/0.25)*DL$6</f>
        <v>67200</v>
      </c>
      <c r="DM4" s="83">
        <f t="shared" ref="DM4" ca="1" si="123">-(DL$4+DL$31)/DL$31</f>
        <v>0.69284549925009198</v>
      </c>
      <c r="DN4" s="63"/>
      <c r="DO4" s="37" t="s">
        <v>205</v>
      </c>
      <c r="DP4" s="63">
        <f t="shared" ref="DP4" si="124">((DP$5*60)/0.25)*DP$6</f>
        <v>67200</v>
      </c>
      <c r="DQ4" s="83">
        <f t="shared" ref="DQ4" ca="1" si="125">-(DP$4+DP$31)/DP$31</f>
        <v>0.69262502882506527</v>
      </c>
      <c r="DR4" s="63"/>
      <c r="DS4" s="37" t="s">
        <v>205</v>
      </c>
      <c r="DT4" s="63">
        <f t="shared" ref="DT4" si="126">((DT$5*60)/0.25)*DT$6</f>
        <v>67200</v>
      </c>
      <c r="DU4" s="83">
        <f t="shared" ref="DU4" ca="1" si="127">-(DT$4+DT$31)/DT$31</f>
        <v>-0.3695711576536766</v>
      </c>
      <c r="DV4" s="63"/>
      <c r="DW4" s="37" t="s">
        <v>205</v>
      </c>
      <c r="DX4" s="63">
        <f t="shared" ref="DX4" si="128">((DX$5*60)/0.25)*DX$6</f>
        <v>67200</v>
      </c>
      <c r="DY4" s="83">
        <f t="shared" ref="DY4" ca="1" si="129">-(DX$4+DX$31)/DX$31</f>
        <v>0.65793238465306692</v>
      </c>
      <c r="DZ4" s="63"/>
      <c r="EA4" s="37" t="s">
        <v>205</v>
      </c>
      <c r="EB4" s="63">
        <f t="shared" ref="EB4" si="130">((EB$5*60)/0.25)*EB$6</f>
        <v>67200</v>
      </c>
      <c r="EC4" s="83">
        <f t="shared" ref="EC4" ca="1" si="131">-(EB$4+EB$31)/EB$31</f>
        <v>0.65746654117493608</v>
      </c>
      <c r="ED4" s="63"/>
      <c r="EE4" s="37" t="s">
        <v>205</v>
      </c>
      <c r="EF4" s="63">
        <f t="shared" ref="EF4" si="132">((EF$5*60)/0.25)*EF$6</f>
        <v>67200</v>
      </c>
      <c r="EG4" s="83">
        <f t="shared" ref="EG4" ca="1" si="133">-(EF$4+EF$31)/EF$31</f>
        <v>-0.41017559216825439</v>
      </c>
      <c r="EH4" s="63"/>
      <c r="EI4" s="37" t="s">
        <v>205</v>
      </c>
      <c r="EJ4" s="63">
        <f t="shared" ref="EJ4" si="134">((EJ$5*60)/0.25)*EJ$6</f>
        <v>76800</v>
      </c>
      <c r="EK4" s="83">
        <f t="shared" ref="EK4" ca="1" si="135">-(EJ$4+EJ$31)/EJ$31</f>
        <v>0.71596458379233929</v>
      </c>
      <c r="EL4" s="63"/>
      <c r="EM4" s="37" t="s">
        <v>205</v>
      </c>
      <c r="EN4" s="63">
        <f t="shared" ref="EN4" si="136">((EN$5*60)/0.25)*EN$6</f>
        <v>76800</v>
      </c>
      <c r="EO4" s="83">
        <f t="shared" ref="EO4" ca="1" si="137">-(EN$4+EN$31)/EN$31</f>
        <v>0.71510673075634146</v>
      </c>
      <c r="EP4" s="63"/>
      <c r="EQ4" s="37" t="s">
        <v>205</v>
      </c>
      <c r="ER4" s="63">
        <f t="shared" ref="ER4" si="138">((ER$5*60)/0.25)*ER$6</f>
        <v>76800</v>
      </c>
      <c r="ES4" s="83">
        <f t="shared" ref="ES4" ca="1" si="139">-(ER$4+ER$31)/ER$31</f>
        <v>-0.41277198472769205</v>
      </c>
      <c r="ET4" s="63"/>
      <c r="EU4" s="37" t="s">
        <v>205</v>
      </c>
      <c r="EV4" s="63">
        <f t="shared" ref="EV4" si="140">((EV$5*60)/0.25)*EV$6</f>
        <v>76800</v>
      </c>
      <c r="EW4" s="83">
        <f t="shared" ref="EW4" ca="1" si="141">-(EV$4+EV$31)/EV$31</f>
        <v>0.67539013046080376</v>
      </c>
      <c r="EX4" s="63"/>
      <c r="EY4" s="37" t="s">
        <v>205</v>
      </c>
      <c r="EZ4" s="63">
        <f t="shared" ref="EZ4" si="142">((EZ$5*60)/0.25)*EZ$6</f>
        <v>76800</v>
      </c>
      <c r="FA4" s="83">
        <f t="shared" ref="FA4" ca="1" si="143">-(EZ$4+EZ$31)/EZ$31</f>
        <v>0.61925525565077244</v>
      </c>
      <c r="FB4" s="63"/>
      <c r="FC4" s="37" t="s">
        <v>205</v>
      </c>
      <c r="FD4" s="63">
        <f t="shared" ref="FD4" si="144">((FD$5*60)/0.25)*FD$6</f>
        <v>76800</v>
      </c>
      <c r="FE4" s="83">
        <f t="shared" ref="FE4" ca="1" si="145">-(FD$4+FD$31)/FD$31</f>
        <v>-0.53266339237071569</v>
      </c>
      <c r="FF4" s="63"/>
      <c r="FG4" s="37" t="s">
        <v>205</v>
      </c>
      <c r="FH4" s="63">
        <f t="shared" ref="FH4" si="146">((FH$5*60)/0.25)*FH$6</f>
        <v>86400</v>
      </c>
      <c r="FI4" s="83">
        <f t="shared" ref="FI4" ca="1" si="147">-(FH$4+FH$31)/FH$31</f>
        <v>0.66266168187301122</v>
      </c>
      <c r="FJ4" s="63"/>
      <c r="FK4" s="37" t="s">
        <v>205</v>
      </c>
      <c r="FL4" s="63">
        <f t="shared" ref="FL4" si="148">((FL$5*60)/0.25)*FL$6</f>
        <v>86400</v>
      </c>
      <c r="FM4" s="83">
        <f t="shared" ref="FM4" ca="1" si="149">-(FL$4+FL$31)/FL$31</f>
        <v>0.66343009869015945</v>
      </c>
      <c r="FN4" s="63"/>
      <c r="FO4" s="37" t="s">
        <v>205</v>
      </c>
      <c r="FP4" s="63">
        <f t="shared" ref="FP4" si="150">((FP$5*60)/0.25)*FP$6</f>
        <v>86400</v>
      </c>
      <c r="FQ4" s="83">
        <f t="shared" ref="FQ4" ca="1" si="151">-(FP$4+FP$31)/FP$31</f>
        <v>-0.50327790115927651</v>
      </c>
      <c r="FR4" s="63"/>
      <c r="FS4" s="37" t="s">
        <v>205</v>
      </c>
      <c r="FT4" s="63">
        <f t="shared" ref="FT4" si="152">((FT$5*60)/0.25)*FT$6</f>
        <v>86400</v>
      </c>
      <c r="FU4" s="83">
        <f t="shared" ref="FU4" ca="1" si="153">-(FT$4+FT$31)/FT$31</f>
        <v>0.6625552348752225</v>
      </c>
      <c r="FV4" s="63"/>
      <c r="FW4" s="37" t="s">
        <v>205</v>
      </c>
      <c r="FX4" s="63">
        <f t="shared" ref="FX4" si="154">((FX$5*60)/0.25)*FX$6</f>
        <v>86400</v>
      </c>
      <c r="FY4" s="83">
        <f t="shared" ref="FY4" ca="1" si="155">-(FX$4+FX$31)/FX$31</f>
        <v>0.66287529145747381</v>
      </c>
      <c r="FZ4" s="63"/>
      <c r="GA4" s="37" t="s">
        <v>205</v>
      </c>
      <c r="GB4" s="63">
        <f t="shared" ref="GB4" si="156">((GB$5*60)/0.25)*GB$6</f>
        <v>86400</v>
      </c>
      <c r="GC4" s="83">
        <f t="shared" ref="GC4" ca="1" si="157">-(GB$4+GB$31)/GB$31</f>
        <v>-0.51461912317151082</v>
      </c>
      <c r="GD4" s="63"/>
      <c r="GE4" s="37" t="s">
        <v>205</v>
      </c>
      <c r="GF4" s="63">
        <f t="shared" ref="GF4" si="158">((GF$5*60)/0.25)*GF$6</f>
        <v>86400</v>
      </c>
      <c r="GG4" s="83">
        <f t="shared" ref="GG4" ca="1" si="159">-(GF$4+GF$31)/GF$31</f>
        <v>0.66585850172386363</v>
      </c>
      <c r="GH4" s="63"/>
      <c r="GI4" s="37" t="s">
        <v>205</v>
      </c>
      <c r="GJ4" s="63">
        <f t="shared" ref="GJ4" si="160">((GJ$5*60)/0.25)*GJ$6</f>
        <v>96000</v>
      </c>
      <c r="GK4" s="83">
        <f t="shared" ref="GK4" ca="1" si="161">-(GJ$4+GJ$31)/GJ$31</f>
        <v>0.70428636455346805</v>
      </c>
      <c r="GL4" s="63"/>
      <c r="GM4" s="37" t="s">
        <v>205</v>
      </c>
      <c r="GN4" s="63">
        <f t="shared" ref="GN4" si="162">((GN$5*60)/0.25)*GN$6</f>
        <v>96000</v>
      </c>
      <c r="GO4" s="83">
        <f t="shared" ref="GO4" ca="1" si="163">-(GN$4+GN$31)/GN$31</f>
        <v>-0.49225075666260532</v>
      </c>
      <c r="GP4" s="63"/>
      <c r="GQ4" s="37" t="s">
        <v>205</v>
      </c>
      <c r="GR4" s="63">
        <f t="shared" ref="GR4" si="164">((GR$5*60)/0.25)*GR$6</f>
        <v>96000</v>
      </c>
      <c r="GS4" s="83">
        <f t="shared" ref="GS4" ca="1" si="165">-(GR$4+GR$31)/GR$31</f>
        <v>0.70914584634235833</v>
      </c>
      <c r="GT4" s="63"/>
      <c r="GU4" s="37" t="s">
        <v>205</v>
      </c>
      <c r="GV4" s="63">
        <f t="shared" ref="GV4" si="166">((GV$5*60)/0.25)*GV$6</f>
        <v>96000</v>
      </c>
      <c r="GW4" s="83">
        <f t="shared" ref="GW4" ca="1" si="167">-(GV$4+GV$31)/GV$31</f>
        <v>0.70795492676019633</v>
      </c>
      <c r="GX4" s="63"/>
      <c r="GY4" s="37" t="s">
        <v>205</v>
      </c>
      <c r="GZ4" s="63">
        <f t="shared" ref="GZ4" si="168">((GZ$5*60)/0.25)*GZ$6</f>
        <v>96000</v>
      </c>
      <c r="HA4" s="83">
        <f t="shared" ref="HA4" ca="1" si="169">-(GZ$4+GZ$31)/GZ$31</f>
        <v>-0.48938706568717161</v>
      </c>
      <c r="HB4" s="63"/>
      <c r="HC4" s="37" t="s">
        <v>205</v>
      </c>
      <c r="HD4" s="63">
        <f t="shared" ref="HD4" si="170">((HD$5*60)/0.25)*HD$6</f>
        <v>96000</v>
      </c>
      <c r="HE4" s="83">
        <f t="shared" ref="HE4" ca="1" si="171">-(HD$4+HD$31)/HD$31</f>
        <v>0.73168712793059487</v>
      </c>
      <c r="HF4" s="63"/>
      <c r="HG4" s="37" t="s">
        <v>205</v>
      </c>
      <c r="HH4" s="63">
        <f t="shared" ref="HH4" si="172">((HH$5*60)/0.25)*HH$6</f>
        <v>96000</v>
      </c>
      <c r="HI4" s="83">
        <f t="shared" ref="HI4" ca="1" si="173">-(HH$4+HH$31)/HH$31</f>
        <v>0.73928126485582224</v>
      </c>
      <c r="HJ4" s="63"/>
      <c r="HK4" s="37" t="s">
        <v>205</v>
      </c>
      <c r="HL4" s="63">
        <f t="shared" ref="HL4" si="174">((HL$5*60)/0.25)*HL$6</f>
        <v>105600</v>
      </c>
      <c r="HM4" s="83">
        <f t="shared" ref="HM4" ca="1" si="175">-(HL$4+HL$31)/HL$31</f>
        <v>-0.43013778385751222</v>
      </c>
      <c r="HN4" s="63"/>
      <c r="HO4" s="37" t="s">
        <v>205</v>
      </c>
      <c r="HP4" s="63">
        <f t="shared" ref="HP4" si="176">((HP$5*60)/0.25)*HP$6</f>
        <v>105600</v>
      </c>
      <c r="HQ4" s="83">
        <f t="shared" ref="HQ4" ca="1" si="177">-(HP$4+HP$31)/HP$31</f>
        <v>0.78510505506143224</v>
      </c>
      <c r="HR4" s="63"/>
      <c r="HS4" s="37" t="s">
        <v>205</v>
      </c>
      <c r="HT4" s="63">
        <f t="shared" ref="HT4" si="178">((HT$5*60)/0.25)*HT$6</f>
        <v>105600</v>
      </c>
      <c r="HU4" s="83">
        <f t="shared" ref="HU4" ca="1" si="179">-(HT$4+HT$31)/HT$31</f>
        <v>0.78965502234577023</v>
      </c>
      <c r="HV4" s="63"/>
      <c r="HW4" s="37" t="s">
        <v>205</v>
      </c>
      <c r="HX4" s="63">
        <f t="shared" ref="HX4" si="180">((HX$5*60)/0.25)*HX$6</f>
        <v>105600</v>
      </c>
      <c r="HY4" s="83">
        <f t="shared" ref="HY4" ca="1" si="181">-(HX$4+HX$31)/HX$31</f>
        <v>-0.39900456537853179</v>
      </c>
      <c r="HZ4" s="63"/>
      <c r="IA4" s="37" t="s">
        <v>205</v>
      </c>
      <c r="IB4" s="63">
        <f t="shared" ref="IB4" si="182">((IB$5*60)/0.25)*IB$6</f>
        <v>105600</v>
      </c>
      <c r="IC4" s="83">
        <f t="shared" ref="IC4" ca="1" si="183">-(IB$4+IB$31)/IB$31</f>
        <v>0.84983572186314871</v>
      </c>
      <c r="ID4" s="63"/>
      <c r="IE4" s="37" t="s">
        <v>205</v>
      </c>
      <c r="IF4" s="63">
        <f t="shared" ref="IF4" si="184">((IF$5*60)/0.25)*IF$6</f>
        <v>105600</v>
      </c>
      <c r="IG4" s="83">
        <f t="shared" ref="IG4" ca="1" si="185">-(IF$4+IF$31)/IF$31</f>
        <v>0.85069104783389615</v>
      </c>
      <c r="IH4" s="63"/>
      <c r="II4" s="37" t="s">
        <v>205</v>
      </c>
      <c r="IJ4" s="63">
        <f t="shared" ref="IJ4" si="186">((IJ$5*60)/0.25)*IJ$6</f>
        <v>115200</v>
      </c>
      <c r="IK4" s="83">
        <f t="shared" ref="IK4" ca="1" si="187">-(IJ$4+IJ$31)/IJ$31</f>
        <v>-0.32300182622833978</v>
      </c>
      <c r="IL4" s="63"/>
      <c r="IM4" s="37" t="s">
        <v>205</v>
      </c>
      <c r="IN4" s="63">
        <f t="shared" ref="IN4" si="188">((IN$5*60)/0.25)*IN$6</f>
        <v>115200</v>
      </c>
      <c r="IO4" s="83">
        <f t="shared" ref="IO4" ca="1" si="189">-(IN$4+IN$31)/IN$31</f>
        <v>0.88171834706905527</v>
      </c>
      <c r="IP4" s="63"/>
      <c r="IQ4" s="37" t="s">
        <v>205</v>
      </c>
      <c r="IR4" s="63">
        <f t="shared" ref="IR4" si="190">((IR$5*60)/0.25)*IR$6</f>
        <v>115200</v>
      </c>
      <c r="IS4" s="83">
        <f t="shared" ref="IS4" ca="1" si="191">-(IR$4+IR$31)/IR$31</f>
        <v>0.88278230203652719</v>
      </c>
      <c r="IT4" s="63"/>
      <c r="IU4" s="37" t="s">
        <v>205</v>
      </c>
      <c r="IV4" s="63">
        <f t="shared" ref="IV4" si="192">((IV$5*60)/0.25)*IV$6</f>
        <v>115200</v>
      </c>
      <c r="IW4" s="83">
        <f t="shared" ref="IW4" ca="1" si="193">-(IV$4+IV$31)/IV$31</f>
        <v>-0.32159809514161458</v>
      </c>
      <c r="IX4" s="63"/>
      <c r="IY4" s="37" t="s">
        <v>205</v>
      </c>
      <c r="IZ4" s="63">
        <f t="shared" ref="IZ4" si="194">((IZ$5*60)/0.25)*IZ$6</f>
        <v>115200</v>
      </c>
      <c r="JA4" s="83">
        <f t="shared" ref="JA4" ca="1" si="195">-(IZ$4+IZ$31)/IZ$31</f>
        <v>0.88343964919675799</v>
      </c>
      <c r="JB4" s="63"/>
      <c r="JC4" s="37" t="s">
        <v>205</v>
      </c>
      <c r="JD4" s="63">
        <f t="shared" ref="JD4" si="196">((JD$5*60)/0.25)*JD$6</f>
        <v>115200</v>
      </c>
      <c r="JE4" s="83">
        <f t="shared" ref="JE4" ca="1" si="197">-(JD$4+JD$31)/JD$31</f>
        <v>0.88434994296629277</v>
      </c>
      <c r="JF4" s="63"/>
      <c r="JG4" s="37" t="s">
        <v>205</v>
      </c>
      <c r="JH4" s="63">
        <f t="shared" ref="JH4" si="198">((JH$5*60)/0.25)*JH$6</f>
        <v>115200</v>
      </c>
      <c r="JI4" s="83">
        <f t="shared" ref="JI4" ca="1" si="199">-(JH$4+JH$31)/JH$31</f>
        <v>-0.34241152001959019</v>
      </c>
      <c r="JJ4" s="63"/>
      <c r="JK4" s="37" t="s">
        <v>205</v>
      </c>
      <c r="JL4" s="63">
        <f t="shared" ref="JL4" si="200">((JL$5*60)/0.25)*JL$6</f>
        <v>124800</v>
      </c>
      <c r="JM4" s="83">
        <f t="shared" ref="JM4" ca="1" si="201">-(JL$4+JL$31)/JL$31</f>
        <v>0.91480884721568845</v>
      </c>
      <c r="JN4" s="63"/>
      <c r="JO4" s="37" t="s">
        <v>205</v>
      </c>
      <c r="JP4" s="63">
        <f t="shared" ref="JP4" si="202">((JP$5*60)/0.25)*JP$6</f>
        <v>124800</v>
      </c>
      <c r="JQ4" s="83">
        <f t="shared" ref="JQ4" ca="1" si="203">-(JP$4+JP$31)/JP$31</f>
        <v>0.90935359468522747</v>
      </c>
      <c r="JR4" s="63"/>
      <c r="JS4" s="37" t="s">
        <v>205</v>
      </c>
      <c r="JT4" s="63">
        <f t="shared" ref="JT4" si="204">((JT$5*60)/0.25)*JT$6</f>
        <v>124800</v>
      </c>
      <c r="JU4" s="83">
        <f t="shared" ref="JU4" ca="1" si="205">-(JT$4+JT$31)/JT$31</f>
        <v>-0.32727555949889792</v>
      </c>
      <c r="JV4" s="63"/>
      <c r="JW4" s="37" t="s">
        <v>205</v>
      </c>
      <c r="JX4" s="63">
        <f t="shared" ref="JX4" si="206">((JX$5*60)/0.25)*JX$6</f>
        <v>124800</v>
      </c>
      <c r="JY4" s="83">
        <f t="shared" ref="JY4" ca="1" si="207">-(JX$4+JX$31)/JX$31</f>
        <v>0.90493284635384097</v>
      </c>
      <c r="JZ4" s="63"/>
      <c r="KA4" s="37" t="s">
        <v>205</v>
      </c>
      <c r="KB4" s="63">
        <f t="shared" ref="KB4" si="208">((KB$5*60)/0.25)*KB$6</f>
        <v>124800</v>
      </c>
      <c r="KC4" s="83">
        <f t="shared" ref="KC4" ca="1" si="209">-(KB$4+KB$31)/KB$31</f>
        <v>0.89950125506571488</v>
      </c>
      <c r="KD4" s="63"/>
    </row>
    <row r="5" spans="1:290" x14ac:dyDescent="0.25">
      <c r="A5" s="119">
        <v>0.15</v>
      </c>
      <c r="C5" s="37" t="s">
        <v>208</v>
      </c>
      <c r="D5" s="44">
        <v>3</v>
      </c>
      <c r="E5" s="63"/>
      <c r="F5" s="63"/>
      <c r="G5" s="37" t="s">
        <v>208</v>
      </c>
      <c r="H5" s="44">
        <f>INT(3 + (COLUMN()-COLUMN($D5))/4 * $A$5)</f>
        <v>3</v>
      </c>
      <c r="I5" s="63"/>
      <c r="J5" s="63"/>
      <c r="K5" s="37" t="s">
        <v>208</v>
      </c>
      <c r="L5" s="44">
        <f t="shared" ref="L5" si="210">INT(3 + (COLUMN()-COLUMN($D5))/4 * $A$5)</f>
        <v>3</v>
      </c>
      <c r="M5" s="63"/>
      <c r="N5" s="63"/>
      <c r="O5" s="37" t="s">
        <v>208</v>
      </c>
      <c r="P5" s="44">
        <f t="shared" ref="P5" si="211">INT(3 + (COLUMN()-COLUMN($D5))/4 * $A$5)</f>
        <v>3</v>
      </c>
      <c r="Q5" s="63"/>
      <c r="R5" s="63"/>
      <c r="S5" s="37" t="s">
        <v>208</v>
      </c>
      <c r="T5" s="44">
        <f t="shared" ref="T5" si="212">INT(3 + (COLUMN()-COLUMN($D5))/4 * $A$5)</f>
        <v>3</v>
      </c>
      <c r="U5" s="63"/>
      <c r="V5" s="63"/>
      <c r="W5" s="37" t="s">
        <v>208</v>
      </c>
      <c r="X5" s="44">
        <f t="shared" ref="X5" si="213">INT(3 + (COLUMN()-COLUMN($D5))/4 * $A$5)</f>
        <v>3</v>
      </c>
      <c r="Y5" s="63"/>
      <c r="Z5" s="63"/>
      <c r="AA5" s="37" t="s">
        <v>208</v>
      </c>
      <c r="AB5" s="44">
        <f t="shared" ref="AB5" si="214">INT(3 + (COLUMN()-COLUMN($D5))/4 * $A$5)</f>
        <v>3</v>
      </c>
      <c r="AC5" s="63"/>
      <c r="AD5" s="63"/>
      <c r="AE5" s="37" t="s">
        <v>208</v>
      </c>
      <c r="AF5" s="44">
        <f t="shared" ref="AF5" si="215">INT(3 + (COLUMN()-COLUMN($D5))/4 * $A$5)</f>
        <v>4</v>
      </c>
      <c r="AG5" s="63"/>
      <c r="AH5" s="63"/>
      <c r="AI5" s="37" t="s">
        <v>208</v>
      </c>
      <c r="AJ5" s="44">
        <f t="shared" ref="AJ5" si="216">INT(3 + (COLUMN()-COLUMN($D5))/4 * $A$5)</f>
        <v>4</v>
      </c>
      <c r="AK5" s="63"/>
      <c r="AL5" s="63"/>
      <c r="AM5" s="37" t="s">
        <v>208</v>
      </c>
      <c r="AN5" s="44">
        <f t="shared" ref="AN5" si="217">INT(3 + (COLUMN()-COLUMN($D5))/4 * $A$5)</f>
        <v>4</v>
      </c>
      <c r="AO5" s="63"/>
      <c r="AP5" s="63"/>
      <c r="AQ5" s="37" t="s">
        <v>208</v>
      </c>
      <c r="AR5" s="44">
        <f t="shared" ref="AR5" si="218">INT(3 + (COLUMN()-COLUMN($D5))/4 * $A$5)</f>
        <v>4</v>
      </c>
      <c r="AS5" s="63"/>
      <c r="AT5" s="63"/>
      <c r="AU5" s="37" t="s">
        <v>208</v>
      </c>
      <c r="AV5" s="44">
        <f t="shared" ref="AV5" si="219">INT(3 + (COLUMN()-COLUMN($D5))/4 * $A$5)</f>
        <v>4</v>
      </c>
      <c r="AW5" s="63"/>
      <c r="AX5" s="63"/>
      <c r="AY5" s="37" t="s">
        <v>208</v>
      </c>
      <c r="AZ5" s="44">
        <f t="shared" ref="AZ5" si="220">INT(3 + (COLUMN()-COLUMN($D5))/4 * $A$5)</f>
        <v>4</v>
      </c>
      <c r="BA5" s="63"/>
      <c r="BB5" s="63"/>
      <c r="BC5" s="37" t="s">
        <v>208</v>
      </c>
      <c r="BD5" s="44">
        <f t="shared" ref="BD5" si="221">INT(3 + (COLUMN()-COLUMN($D5))/4 * $A$5)</f>
        <v>4</v>
      </c>
      <c r="BE5" s="63"/>
      <c r="BF5" s="63"/>
      <c r="BG5" s="37" t="s">
        <v>208</v>
      </c>
      <c r="BH5" s="44">
        <f t="shared" ref="BH5" si="222">INT(3 + (COLUMN()-COLUMN($D5))/4 * $A$5)</f>
        <v>5</v>
      </c>
      <c r="BI5" s="63"/>
      <c r="BJ5" s="63"/>
      <c r="BK5" s="37" t="s">
        <v>208</v>
      </c>
      <c r="BL5" s="44">
        <f t="shared" ref="BL5" si="223">INT(3 + (COLUMN()-COLUMN($D5))/4 * $A$5)</f>
        <v>5</v>
      </c>
      <c r="BM5" s="63"/>
      <c r="BN5" s="63"/>
      <c r="BO5" s="37" t="s">
        <v>208</v>
      </c>
      <c r="BP5" s="44">
        <f t="shared" ref="BP5" si="224">INT(3 + (COLUMN()-COLUMN($D5))/4 * $A$5)</f>
        <v>5</v>
      </c>
      <c r="BQ5" s="63"/>
      <c r="BR5" s="63"/>
      <c r="BS5" s="37" t="s">
        <v>208</v>
      </c>
      <c r="BT5" s="44">
        <f t="shared" ref="BT5" si="225">INT(3 + (COLUMN()-COLUMN($D5))/4 * $A$5)</f>
        <v>5</v>
      </c>
      <c r="BU5" s="63"/>
      <c r="BV5" s="63"/>
      <c r="BW5" s="37" t="s">
        <v>208</v>
      </c>
      <c r="BX5" s="44">
        <f t="shared" ref="BX5" si="226">INT(3 + (COLUMN()-COLUMN($D5))/4 * $A$5)</f>
        <v>5</v>
      </c>
      <c r="BY5" s="63"/>
      <c r="BZ5" s="63"/>
      <c r="CA5" s="37" t="s">
        <v>208</v>
      </c>
      <c r="CB5" s="44">
        <f t="shared" ref="CB5" si="227">INT(3 + (COLUMN()-COLUMN($D5))/4 * $A$5)</f>
        <v>5</v>
      </c>
      <c r="CC5" s="63"/>
      <c r="CD5" s="63"/>
      <c r="CE5" s="37" t="s">
        <v>208</v>
      </c>
      <c r="CF5" s="44">
        <f t="shared" ref="CF5" si="228">INT(3 + (COLUMN()-COLUMN($D5))/4 * $A$5)</f>
        <v>6</v>
      </c>
      <c r="CG5" s="63"/>
      <c r="CH5" s="63"/>
      <c r="CI5" s="37" t="s">
        <v>208</v>
      </c>
      <c r="CJ5" s="44">
        <f t="shared" ref="CJ5" si="229">INT(3 + (COLUMN()-COLUMN($D5))/4 * $A$5)</f>
        <v>6</v>
      </c>
      <c r="CK5" s="63"/>
      <c r="CL5" s="63"/>
      <c r="CM5" s="37" t="s">
        <v>208</v>
      </c>
      <c r="CN5" s="44">
        <f t="shared" ref="CN5" si="230">INT(3 + (COLUMN()-COLUMN($D5))/4 * $A$5)</f>
        <v>6</v>
      </c>
      <c r="CO5" s="63"/>
      <c r="CP5" s="63"/>
      <c r="CQ5" s="37" t="s">
        <v>208</v>
      </c>
      <c r="CR5" s="44">
        <f t="shared" ref="CR5" si="231">INT(3 + (COLUMN()-COLUMN($D5))/4 * $A$5)</f>
        <v>6</v>
      </c>
      <c r="CS5" s="63"/>
      <c r="CT5" s="63"/>
      <c r="CU5" s="37" t="s">
        <v>208</v>
      </c>
      <c r="CV5" s="44">
        <f t="shared" ref="CV5" si="232">INT(3 + (COLUMN()-COLUMN($D5))/4 * $A$5)</f>
        <v>6</v>
      </c>
      <c r="CW5" s="63"/>
      <c r="CX5" s="63"/>
      <c r="CY5" s="37" t="s">
        <v>208</v>
      </c>
      <c r="CZ5" s="44">
        <f t="shared" ref="CZ5" si="233">INT(3 + (COLUMN()-COLUMN($D5))/4 * $A$5)</f>
        <v>6</v>
      </c>
      <c r="DA5" s="63"/>
      <c r="DB5" s="63"/>
      <c r="DC5" s="37" t="s">
        <v>208</v>
      </c>
      <c r="DD5" s="44">
        <f t="shared" ref="DD5" si="234">INT(3 + (COLUMN()-COLUMN($D5))/4 * $A$5)</f>
        <v>6</v>
      </c>
      <c r="DE5" s="63"/>
      <c r="DF5" s="63"/>
      <c r="DG5" s="37" t="s">
        <v>208</v>
      </c>
      <c r="DH5" s="44">
        <f t="shared" ref="DH5" si="235">INT(3 + (COLUMN()-COLUMN($D5))/4 * $A$5)</f>
        <v>7</v>
      </c>
      <c r="DI5" s="63"/>
      <c r="DJ5" s="63"/>
      <c r="DK5" s="37" t="s">
        <v>208</v>
      </c>
      <c r="DL5" s="44">
        <f t="shared" ref="DL5" si="236">INT(3 + (COLUMN()-COLUMN($D5))/4 * $A$5)</f>
        <v>7</v>
      </c>
      <c r="DM5" s="63"/>
      <c r="DN5" s="63"/>
      <c r="DO5" s="37" t="s">
        <v>208</v>
      </c>
      <c r="DP5" s="44">
        <f t="shared" ref="DP5" si="237">INT(3 + (COLUMN()-COLUMN($D5))/4 * $A$5)</f>
        <v>7</v>
      </c>
      <c r="DQ5" s="63"/>
      <c r="DR5" s="63"/>
      <c r="DS5" s="37" t="s">
        <v>208</v>
      </c>
      <c r="DT5" s="44">
        <f t="shared" ref="DT5" si="238">INT(3 + (COLUMN()-COLUMN($D5))/4 * $A$5)</f>
        <v>7</v>
      </c>
      <c r="DU5" s="63"/>
      <c r="DV5" s="63"/>
      <c r="DW5" s="37" t="s">
        <v>208</v>
      </c>
      <c r="DX5" s="44">
        <f t="shared" ref="DX5" si="239">INT(3 + (COLUMN()-COLUMN($D5))/4 * $A$5)</f>
        <v>7</v>
      </c>
      <c r="DY5" s="63"/>
      <c r="DZ5" s="63"/>
      <c r="EA5" s="37" t="s">
        <v>208</v>
      </c>
      <c r="EB5" s="44">
        <f t="shared" ref="EB5" si="240">INT(3 + (COLUMN()-COLUMN($D5))/4 * $A$5)</f>
        <v>7</v>
      </c>
      <c r="EC5" s="63"/>
      <c r="ED5" s="63"/>
      <c r="EE5" s="37" t="s">
        <v>208</v>
      </c>
      <c r="EF5" s="44">
        <f t="shared" ref="EF5" si="241">INT(3 + (COLUMN()-COLUMN($D5))/4 * $A$5)</f>
        <v>7</v>
      </c>
      <c r="EG5" s="63"/>
      <c r="EH5" s="63"/>
      <c r="EI5" s="37" t="s">
        <v>208</v>
      </c>
      <c r="EJ5" s="44">
        <f t="shared" ref="EJ5" si="242">INT(3 + (COLUMN()-COLUMN($D5))/4 * $A$5)</f>
        <v>8</v>
      </c>
      <c r="EK5" s="63"/>
      <c r="EL5" s="63"/>
      <c r="EM5" s="37" t="s">
        <v>208</v>
      </c>
      <c r="EN5" s="44">
        <f t="shared" ref="EN5" si="243">INT(3 + (COLUMN()-COLUMN($D5))/4 * $A$5)</f>
        <v>8</v>
      </c>
      <c r="EO5" s="63"/>
      <c r="EP5" s="63"/>
      <c r="EQ5" s="37" t="s">
        <v>208</v>
      </c>
      <c r="ER5" s="44">
        <f t="shared" ref="ER5" si="244">INT(3 + (COLUMN()-COLUMN($D5))/4 * $A$5)</f>
        <v>8</v>
      </c>
      <c r="ES5" s="63"/>
      <c r="ET5" s="63"/>
      <c r="EU5" s="37" t="s">
        <v>208</v>
      </c>
      <c r="EV5" s="44">
        <f t="shared" ref="EV5" si="245">INT(3 + (COLUMN()-COLUMN($D5))/4 * $A$5)</f>
        <v>8</v>
      </c>
      <c r="EW5" s="63"/>
      <c r="EX5" s="63"/>
      <c r="EY5" s="37" t="s">
        <v>208</v>
      </c>
      <c r="EZ5" s="44">
        <f t="shared" ref="EZ5" si="246">INT(3 + (COLUMN()-COLUMN($D5))/4 * $A$5)</f>
        <v>8</v>
      </c>
      <c r="FA5" s="63"/>
      <c r="FB5" s="63"/>
      <c r="FC5" s="37" t="s">
        <v>208</v>
      </c>
      <c r="FD5" s="44">
        <f t="shared" ref="FD5" si="247">INT(3 + (COLUMN()-COLUMN($D5))/4 * $A$5)</f>
        <v>8</v>
      </c>
      <c r="FE5" s="63"/>
      <c r="FF5" s="63"/>
      <c r="FG5" s="37" t="s">
        <v>208</v>
      </c>
      <c r="FH5" s="44">
        <f t="shared" ref="FH5" si="248">INT(3 + (COLUMN()-COLUMN($D5))/4 * $A$5)</f>
        <v>9</v>
      </c>
      <c r="FI5" s="63"/>
      <c r="FJ5" s="63"/>
      <c r="FK5" s="37" t="s">
        <v>208</v>
      </c>
      <c r="FL5" s="44">
        <f t="shared" ref="FL5" si="249">INT(3 + (COLUMN()-COLUMN($D5))/4 * $A$5)</f>
        <v>9</v>
      </c>
      <c r="FM5" s="63"/>
      <c r="FN5" s="63"/>
      <c r="FO5" s="37" t="s">
        <v>208</v>
      </c>
      <c r="FP5" s="44">
        <f t="shared" ref="FP5" si="250">INT(3 + (COLUMN()-COLUMN($D5))/4 * $A$5)</f>
        <v>9</v>
      </c>
      <c r="FQ5" s="63"/>
      <c r="FR5" s="63"/>
      <c r="FS5" s="37" t="s">
        <v>208</v>
      </c>
      <c r="FT5" s="44">
        <f t="shared" ref="FT5" si="251">INT(3 + (COLUMN()-COLUMN($D5))/4 * $A$5)</f>
        <v>9</v>
      </c>
      <c r="FU5" s="63"/>
      <c r="FV5" s="63"/>
      <c r="FW5" s="37" t="s">
        <v>208</v>
      </c>
      <c r="FX5" s="44">
        <f t="shared" ref="FX5" si="252">INT(3 + (COLUMN()-COLUMN($D5))/4 * $A$5)</f>
        <v>9</v>
      </c>
      <c r="FY5" s="63"/>
      <c r="FZ5" s="63"/>
      <c r="GA5" s="37" t="s">
        <v>208</v>
      </c>
      <c r="GB5" s="44">
        <f t="shared" ref="GB5" si="253">INT(3 + (COLUMN()-COLUMN($D5))/4 * $A$5)</f>
        <v>9</v>
      </c>
      <c r="GC5" s="63"/>
      <c r="GD5" s="63"/>
      <c r="GE5" s="37" t="s">
        <v>208</v>
      </c>
      <c r="GF5" s="44">
        <f t="shared" ref="GF5" si="254">INT(3 + (COLUMN()-COLUMN($D5))/4 * $A$5)</f>
        <v>9</v>
      </c>
      <c r="GG5" s="63"/>
      <c r="GH5" s="63"/>
      <c r="GI5" s="37" t="s">
        <v>208</v>
      </c>
      <c r="GJ5" s="44">
        <f t="shared" ref="GJ5" si="255">INT(3 + (COLUMN()-COLUMN($D5))/4 * $A$5)</f>
        <v>10</v>
      </c>
      <c r="GK5" s="63"/>
      <c r="GL5" s="63"/>
      <c r="GM5" s="37" t="s">
        <v>208</v>
      </c>
      <c r="GN5" s="44">
        <f t="shared" ref="GN5" si="256">INT(3 + (COLUMN()-COLUMN($D5))/4 * $A$5)</f>
        <v>10</v>
      </c>
      <c r="GO5" s="63"/>
      <c r="GP5" s="63"/>
      <c r="GQ5" s="37" t="s">
        <v>208</v>
      </c>
      <c r="GR5" s="44">
        <f t="shared" ref="GR5" si="257">INT(3 + (COLUMN()-COLUMN($D5))/4 * $A$5)</f>
        <v>10</v>
      </c>
      <c r="GS5" s="63"/>
      <c r="GT5" s="63"/>
      <c r="GU5" s="37" t="s">
        <v>208</v>
      </c>
      <c r="GV5" s="44">
        <f t="shared" ref="GV5" si="258">INT(3 + (COLUMN()-COLUMN($D5))/4 * $A$5)</f>
        <v>10</v>
      </c>
      <c r="GW5" s="63"/>
      <c r="GX5" s="63"/>
      <c r="GY5" s="37" t="s">
        <v>208</v>
      </c>
      <c r="GZ5" s="44">
        <f t="shared" ref="GZ5" si="259">INT(3 + (COLUMN()-COLUMN($D5))/4 * $A$5)</f>
        <v>10</v>
      </c>
      <c r="HA5" s="63"/>
      <c r="HB5" s="63"/>
      <c r="HC5" s="37" t="s">
        <v>208</v>
      </c>
      <c r="HD5" s="44">
        <f t="shared" ref="HD5" si="260">INT(3 + (COLUMN()-COLUMN($D5))/4 * $A$5)</f>
        <v>10</v>
      </c>
      <c r="HE5" s="63"/>
      <c r="HF5" s="63"/>
      <c r="HG5" s="37" t="s">
        <v>208</v>
      </c>
      <c r="HH5" s="44">
        <f t="shared" ref="HH5" si="261">INT(3 + (COLUMN()-COLUMN($D5))/4 * $A$5)</f>
        <v>10</v>
      </c>
      <c r="HI5" s="63"/>
      <c r="HJ5" s="63"/>
      <c r="HK5" s="37" t="s">
        <v>208</v>
      </c>
      <c r="HL5" s="44">
        <f t="shared" ref="HL5" si="262">INT(3 + (COLUMN()-COLUMN($D5))/4 * $A$5)</f>
        <v>11</v>
      </c>
      <c r="HM5" s="63"/>
      <c r="HN5" s="63"/>
      <c r="HO5" s="37" t="s">
        <v>208</v>
      </c>
      <c r="HP5" s="44">
        <f t="shared" ref="HP5" si="263">INT(3 + (COLUMN()-COLUMN($D5))/4 * $A$5)</f>
        <v>11</v>
      </c>
      <c r="HQ5" s="63"/>
      <c r="HR5" s="63"/>
      <c r="HS5" s="37" t="s">
        <v>208</v>
      </c>
      <c r="HT5" s="44">
        <f t="shared" ref="HT5" si="264">INT(3 + (COLUMN()-COLUMN($D5))/4 * $A$5)</f>
        <v>11</v>
      </c>
      <c r="HU5" s="63"/>
      <c r="HV5" s="63"/>
      <c r="HW5" s="37" t="s">
        <v>208</v>
      </c>
      <c r="HX5" s="44">
        <f t="shared" ref="HX5" si="265">INT(3 + (COLUMN()-COLUMN($D5))/4 * $A$5)</f>
        <v>11</v>
      </c>
      <c r="HY5" s="63"/>
      <c r="HZ5" s="63"/>
      <c r="IA5" s="37" t="s">
        <v>208</v>
      </c>
      <c r="IB5" s="44">
        <f t="shared" ref="IB5" si="266">INT(3 + (COLUMN()-COLUMN($D5))/4 * $A$5)</f>
        <v>11</v>
      </c>
      <c r="IC5" s="63"/>
      <c r="ID5" s="63"/>
      <c r="IE5" s="37" t="s">
        <v>208</v>
      </c>
      <c r="IF5" s="44">
        <f t="shared" ref="IF5" si="267">INT(3 + (COLUMN()-COLUMN($D5))/4 * $A$5)</f>
        <v>11</v>
      </c>
      <c r="IG5" s="63"/>
      <c r="IH5" s="63"/>
      <c r="II5" s="37" t="s">
        <v>208</v>
      </c>
      <c r="IJ5" s="44">
        <f t="shared" ref="IJ5" si="268">INT(3 + (COLUMN()-COLUMN($D5))/4 * $A$5)</f>
        <v>12</v>
      </c>
      <c r="IK5" s="63"/>
      <c r="IL5" s="63"/>
      <c r="IM5" s="37" t="s">
        <v>208</v>
      </c>
      <c r="IN5" s="44">
        <f t="shared" ref="IN5" si="269">INT(3 + (COLUMN()-COLUMN($D5))/4 * $A$5)</f>
        <v>12</v>
      </c>
      <c r="IO5" s="63"/>
      <c r="IP5" s="63"/>
      <c r="IQ5" s="37" t="s">
        <v>208</v>
      </c>
      <c r="IR5" s="44">
        <f t="shared" ref="IR5" si="270">INT(3 + (COLUMN()-COLUMN($D5))/4 * $A$5)</f>
        <v>12</v>
      </c>
      <c r="IS5" s="63"/>
      <c r="IT5" s="63"/>
      <c r="IU5" s="37" t="s">
        <v>208</v>
      </c>
      <c r="IV5" s="44">
        <f t="shared" ref="IV5" si="271">INT(3 + (COLUMN()-COLUMN($D5))/4 * $A$5)</f>
        <v>12</v>
      </c>
      <c r="IW5" s="63"/>
      <c r="IX5" s="63"/>
      <c r="IY5" s="37" t="s">
        <v>208</v>
      </c>
      <c r="IZ5" s="44">
        <f t="shared" ref="IZ5" si="272">INT(3 + (COLUMN()-COLUMN($D5))/4 * $A$5)</f>
        <v>12</v>
      </c>
      <c r="JA5" s="63"/>
      <c r="JB5" s="63"/>
      <c r="JC5" s="37" t="s">
        <v>208</v>
      </c>
      <c r="JD5" s="44">
        <f t="shared" ref="JD5" si="273">INT(3 + (COLUMN()-COLUMN($D5))/4 * $A$5)</f>
        <v>12</v>
      </c>
      <c r="JE5" s="63"/>
      <c r="JF5" s="63"/>
      <c r="JG5" s="37" t="s">
        <v>208</v>
      </c>
      <c r="JH5" s="44">
        <f t="shared" ref="JH5" si="274">INT(3 + (COLUMN()-COLUMN($D5))/4 * $A$5)</f>
        <v>12</v>
      </c>
      <c r="JI5" s="63"/>
      <c r="JJ5" s="63"/>
      <c r="JK5" s="37" t="s">
        <v>208</v>
      </c>
      <c r="JL5" s="44">
        <f t="shared" ref="JL5" si="275">INT(3 + (COLUMN()-COLUMN($D5))/4 * $A$5)</f>
        <v>13</v>
      </c>
      <c r="JM5" s="63"/>
      <c r="JN5" s="63"/>
      <c r="JO5" s="37" t="s">
        <v>208</v>
      </c>
      <c r="JP5" s="44">
        <f t="shared" ref="JP5" si="276">INT(3 + (COLUMN()-COLUMN($D5))/4 * $A$5)</f>
        <v>13</v>
      </c>
      <c r="JQ5" s="63"/>
      <c r="JR5" s="63"/>
      <c r="JS5" s="37" t="s">
        <v>208</v>
      </c>
      <c r="JT5" s="44">
        <f t="shared" ref="JT5" si="277">INT(3 + (COLUMN()-COLUMN($D5))/4 * $A$5)</f>
        <v>13</v>
      </c>
      <c r="JU5" s="63"/>
      <c r="JV5" s="63"/>
      <c r="JW5" s="37" t="s">
        <v>208</v>
      </c>
      <c r="JX5" s="44">
        <f t="shared" ref="JX5" si="278">INT(3 + (COLUMN()-COLUMN($D5))/4 * $A$5)</f>
        <v>13</v>
      </c>
      <c r="JY5" s="63"/>
      <c r="JZ5" s="63"/>
      <c r="KA5" s="37" t="s">
        <v>208</v>
      </c>
      <c r="KB5" s="44">
        <f t="shared" ref="KB5" si="279">INT(3 + (COLUMN()-COLUMN($D5))/4 * $A$5)</f>
        <v>13</v>
      </c>
      <c r="KC5" s="63"/>
      <c r="KD5" s="63"/>
    </row>
    <row r="6" spans="1:290" x14ac:dyDescent="0.25">
      <c r="C6" s="37" t="s">
        <v>182</v>
      </c>
      <c r="D6" s="63">
        <f>$A$4</f>
        <v>40</v>
      </c>
      <c r="E6" s="63"/>
      <c r="F6" s="63"/>
      <c r="G6" s="37" t="s">
        <v>182</v>
      </c>
      <c r="H6" s="63">
        <f>$A$4</f>
        <v>40</v>
      </c>
      <c r="I6" s="63"/>
      <c r="J6" s="63"/>
      <c r="K6" s="37" t="s">
        <v>182</v>
      </c>
      <c r="L6" s="63">
        <f t="shared" ref="L6" si="280">$A$4</f>
        <v>40</v>
      </c>
      <c r="M6" s="63"/>
      <c r="N6" s="63"/>
      <c r="O6" s="37" t="s">
        <v>182</v>
      </c>
      <c r="P6" s="63">
        <f t="shared" ref="P6" si="281">$A$4</f>
        <v>40</v>
      </c>
      <c r="Q6" s="63"/>
      <c r="R6" s="63"/>
      <c r="S6" s="37" t="s">
        <v>182</v>
      </c>
      <c r="T6" s="63">
        <f t="shared" ref="T6" si="282">$A$4</f>
        <v>40</v>
      </c>
      <c r="U6" s="63"/>
      <c r="V6" s="63"/>
      <c r="W6" s="37" t="s">
        <v>182</v>
      </c>
      <c r="X6" s="63">
        <f t="shared" ref="X6" si="283">$A$4</f>
        <v>40</v>
      </c>
      <c r="Y6" s="63"/>
      <c r="Z6" s="63"/>
      <c r="AA6" s="37" t="s">
        <v>182</v>
      </c>
      <c r="AB6" s="63">
        <f t="shared" ref="AB6" si="284">$A$4</f>
        <v>40</v>
      </c>
      <c r="AC6" s="63"/>
      <c r="AD6" s="63"/>
      <c r="AE6" s="37" t="s">
        <v>182</v>
      </c>
      <c r="AF6" s="63">
        <f t="shared" ref="AF6" si="285">$A$4</f>
        <v>40</v>
      </c>
      <c r="AG6" s="63"/>
      <c r="AH6" s="63"/>
      <c r="AI6" s="37" t="s">
        <v>182</v>
      </c>
      <c r="AJ6" s="63">
        <f t="shared" ref="AJ6" si="286">$A$4</f>
        <v>40</v>
      </c>
      <c r="AK6" s="63"/>
      <c r="AL6" s="63"/>
      <c r="AM6" s="37" t="s">
        <v>182</v>
      </c>
      <c r="AN6" s="63">
        <f t="shared" ref="AN6" si="287">$A$4</f>
        <v>40</v>
      </c>
      <c r="AO6" s="63"/>
      <c r="AP6" s="63"/>
      <c r="AQ6" s="37" t="s">
        <v>182</v>
      </c>
      <c r="AR6" s="63">
        <f t="shared" ref="AR6" si="288">$A$4</f>
        <v>40</v>
      </c>
      <c r="AS6" s="63"/>
      <c r="AT6" s="63"/>
      <c r="AU6" s="37" t="s">
        <v>182</v>
      </c>
      <c r="AV6" s="63">
        <f t="shared" ref="AV6" si="289">$A$4</f>
        <v>40</v>
      </c>
      <c r="AW6" s="63"/>
      <c r="AX6" s="63"/>
      <c r="AY6" s="37" t="s">
        <v>182</v>
      </c>
      <c r="AZ6" s="63">
        <f t="shared" ref="AZ6" si="290">$A$4</f>
        <v>40</v>
      </c>
      <c r="BA6" s="63"/>
      <c r="BB6" s="63"/>
      <c r="BC6" s="37" t="s">
        <v>182</v>
      </c>
      <c r="BD6" s="63">
        <f t="shared" ref="BD6" si="291">$A$4</f>
        <v>40</v>
      </c>
      <c r="BE6" s="63"/>
      <c r="BF6" s="63"/>
      <c r="BG6" s="37" t="s">
        <v>182</v>
      </c>
      <c r="BH6" s="63">
        <f t="shared" ref="BH6" si="292">$A$4</f>
        <v>40</v>
      </c>
      <c r="BI6" s="63"/>
      <c r="BJ6" s="63"/>
      <c r="BK6" s="37" t="s">
        <v>182</v>
      </c>
      <c r="BL6" s="63">
        <f t="shared" ref="BL6" si="293">$A$4</f>
        <v>40</v>
      </c>
      <c r="BM6" s="63"/>
      <c r="BN6" s="63"/>
      <c r="BO6" s="37" t="s">
        <v>182</v>
      </c>
      <c r="BP6" s="63">
        <f t="shared" ref="BP6" si="294">$A$4</f>
        <v>40</v>
      </c>
      <c r="BQ6" s="63"/>
      <c r="BR6" s="63"/>
      <c r="BS6" s="37" t="s">
        <v>182</v>
      </c>
      <c r="BT6" s="63">
        <f t="shared" ref="BT6" si="295">$A$4</f>
        <v>40</v>
      </c>
      <c r="BU6" s="63"/>
      <c r="BV6" s="63"/>
      <c r="BW6" s="37" t="s">
        <v>182</v>
      </c>
      <c r="BX6" s="63">
        <f t="shared" ref="BX6" si="296">$A$4</f>
        <v>40</v>
      </c>
      <c r="BY6" s="63"/>
      <c r="BZ6" s="63"/>
      <c r="CA6" s="37" t="s">
        <v>182</v>
      </c>
      <c r="CB6" s="63">
        <f t="shared" ref="CB6" si="297">$A$4</f>
        <v>40</v>
      </c>
      <c r="CC6" s="63"/>
      <c r="CD6" s="63"/>
      <c r="CE6" s="37" t="s">
        <v>182</v>
      </c>
      <c r="CF6" s="63">
        <f t="shared" ref="CF6" si="298">$A$4</f>
        <v>40</v>
      </c>
      <c r="CG6" s="63"/>
      <c r="CH6" s="63"/>
      <c r="CI6" s="37" t="s">
        <v>182</v>
      </c>
      <c r="CJ6" s="63">
        <f t="shared" ref="CJ6" si="299">$A$4</f>
        <v>40</v>
      </c>
      <c r="CK6" s="63"/>
      <c r="CL6" s="63"/>
      <c r="CM6" s="37" t="s">
        <v>182</v>
      </c>
      <c r="CN6" s="63">
        <f t="shared" ref="CN6" si="300">$A$4</f>
        <v>40</v>
      </c>
      <c r="CO6" s="63"/>
      <c r="CP6" s="63"/>
      <c r="CQ6" s="37" t="s">
        <v>182</v>
      </c>
      <c r="CR6" s="63">
        <f t="shared" ref="CR6" si="301">$A$4</f>
        <v>40</v>
      </c>
      <c r="CS6" s="63"/>
      <c r="CT6" s="63"/>
      <c r="CU6" s="37" t="s">
        <v>182</v>
      </c>
      <c r="CV6" s="63">
        <f t="shared" ref="CV6" si="302">$A$4</f>
        <v>40</v>
      </c>
      <c r="CW6" s="63"/>
      <c r="CX6" s="63"/>
      <c r="CY6" s="37" t="s">
        <v>182</v>
      </c>
      <c r="CZ6" s="63">
        <f t="shared" ref="CZ6" si="303">$A$4</f>
        <v>40</v>
      </c>
      <c r="DA6" s="63"/>
      <c r="DB6" s="63"/>
      <c r="DC6" s="37" t="s">
        <v>182</v>
      </c>
      <c r="DD6" s="63">
        <f t="shared" ref="DD6" si="304">$A$4</f>
        <v>40</v>
      </c>
      <c r="DE6" s="63"/>
      <c r="DF6" s="63"/>
      <c r="DG6" s="37" t="s">
        <v>182</v>
      </c>
      <c r="DH6" s="63">
        <f t="shared" ref="DH6" si="305">$A$4</f>
        <v>40</v>
      </c>
      <c r="DI6" s="63"/>
      <c r="DJ6" s="63"/>
      <c r="DK6" s="37" t="s">
        <v>182</v>
      </c>
      <c r="DL6" s="63">
        <f t="shared" ref="DL6" si="306">$A$4</f>
        <v>40</v>
      </c>
      <c r="DM6" s="63"/>
      <c r="DN6" s="63"/>
      <c r="DO6" s="37" t="s">
        <v>182</v>
      </c>
      <c r="DP6" s="63">
        <f t="shared" ref="DP6" si="307">$A$4</f>
        <v>40</v>
      </c>
      <c r="DQ6" s="63"/>
      <c r="DR6" s="63"/>
      <c r="DS6" s="37" t="s">
        <v>182</v>
      </c>
      <c r="DT6" s="63">
        <f t="shared" ref="DT6" si="308">$A$4</f>
        <v>40</v>
      </c>
      <c r="DU6" s="63"/>
      <c r="DV6" s="63"/>
      <c r="DW6" s="37" t="s">
        <v>182</v>
      </c>
      <c r="DX6" s="63">
        <f t="shared" ref="DX6" si="309">$A$4</f>
        <v>40</v>
      </c>
      <c r="DY6" s="63"/>
      <c r="DZ6" s="63"/>
      <c r="EA6" s="37" t="s">
        <v>182</v>
      </c>
      <c r="EB6" s="63">
        <f t="shared" ref="EB6" si="310">$A$4</f>
        <v>40</v>
      </c>
      <c r="EC6" s="63"/>
      <c r="ED6" s="63"/>
      <c r="EE6" s="37" t="s">
        <v>182</v>
      </c>
      <c r="EF6" s="63">
        <f t="shared" ref="EF6" si="311">$A$4</f>
        <v>40</v>
      </c>
      <c r="EG6" s="63"/>
      <c r="EH6" s="63"/>
      <c r="EI6" s="37" t="s">
        <v>182</v>
      </c>
      <c r="EJ6" s="63">
        <f t="shared" ref="EJ6" si="312">$A$4</f>
        <v>40</v>
      </c>
      <c r="EK6" s="63"/>
      <c r="EL6" s="63"/>
      <c r="EM6" s="37" t="s">
        <v>182</v>
      </c>
      <c r="EN6" s="63">
        <f t="shared" ref="EN6" si="313">$A$4</f>
        <v>40</v>
      </c>
      <c r="EO6" s="63"/>
      <c r="EP6" s="63"/>
      <c r="EQ6" s="37" t="s">
        <v>182</v>
      </c>
      <c r="ER6" s="63">
        <f t="shared" ref="ER6" si="314">$A$4</f>
        <v>40</v>
      </c>
      <c r="ES6" s="63"/>
      <c r="ET6" s="63"/>
      <c r="EU6" s="37" t="s">
        <v>182</v>
      </c>
      <c r="EV6" s="63">
        <f t="shared" ref="EV6" si="315">$A$4</f>
        <v>40</v>
      </c>
      <c r="EW6" s="63"/>
      <c r="EX6" s="63"/>
      <c r="EY6" s="37" t="s">
        <v>182</v>
      </c>
      <c r="EZ6" s="63">
        <f t="shared" ref="EZ6" si="316">$A$4</f>
        <v>40</v>
      </c>
      <c r="FA6" s="63"/>
      <c r="FB6" s="63"/>
      <c r="FC6" s="37" t="s">
        <v>182</v>
      </c>
      <c r="FD6" s="63">
        <f t="shared" ref="FD6" si="317">$A$4</f>
        <v>40</v>
      </c>
      <c r="FE6" s="63"/>
      <c r="FF6" s="63"/>
      <c r="FG6" s="37" t="s">
        <v>182</v>
      </c>
      <c r="FH6" s="63">
        <f t="shared" ref="FH6" si="318">$A$4</f>
        <v>40</v>
      </c>
      <c r="FI6" s="63"/>
      <c r="FJ6" s="63"/>
      <c r="FK6" s="37" t="s">
        <v>182</v>
      </c>
      <c r="FL6" s="63">
        <f t="shared" ref="FL6" si="319">$A$4</f>
        <v>40</v>
      </c>
      <c r="FM6" s="63"/>
      <c r="FN6" s="63"/>
      <c r="FO6" s="37" t="s">
        <v>182</v>
      </c>
      <c r="FP6" s="63">
        <f t="shared" ref="FP6" si="320">$A$4</f>
        <v>40</v>
      </c>
      <c r="FQ6" s="63"/>
      <c r="FR6" s="63"/>
      <c r="FS6" s="37" t="s">
        <v>182</v>
      </c>
      <c r="FT6" s="63">
        <f t="shared" ref="FT6" si="321">$A$4</f>
        <v>40</v>
      </c>
      <c r="FU6" s="63"/>
      <c r="FV6" s="63"/>
      <c r="FW6" s="37" t="s">
        <v>182</v>
      </c>
      <c r="FX6" s="63">
        <f t="shared" ref="FX6" si="322">$A$4</f>
        <v>40</v>
      </c>
      <c r="FY6" s="63"/>
      <c r="FZ6" s="63"/>
      <c r="GA6" s="37" t="s">
        <v>182</v>
      </c>
      <c r="GB6" s="63">
        <f t="shared" ref="GB6" si="323">$A$4</f>
        <v>40</v>
      </c>
      <c r="GC6" s="63"/>
      <c r="GD6" s="63"/>
      <c r="GE6" s="37" t="s">
        <v>182</v>
      </c>
      <c r="GF6" s="63">
        <f t="shared" ref="GF6" si="324">$A$4</f>
        <v>40</v>
      </c>
      <c r="GG6" s="63"/>
      <c r="GH6" s="63"/>
      <c r="GI6" s="37" t="s">
        <v>182</v>
      </c>
      <c r="GJ6" s="63">
        <f t="shared" ref="GJ6" si="325">$A$4</f>
        <v>40</v>
      </c>
      <c r="GK6" s="63"/>
      <c r="GL6" s="63"/>
      <c r="GM6" s="37" t="s">
        <v>182</v>
      </c>
      <c r="GN6" s="63">
        <f t="shared" ref="GN6" si="326">$A$4</f>
        <v>40</v>
      </c>
      <c r="GO6" s="63"/>
      <c r="GP6" s="63"/>
      <c r="GQ6" s="37" t="s">
        <v>182</v>
      </c>
      <c r="GR6" s="63">
        <f t="shared" ref="GR6" si="327">$A$4</f>
        <v>40</v>
      </c>
      <c r="GS6" s="63"/>
      <c r="GT6" s="63"/>
      <c r="GU6" s="37" t="s">
        <v>182</v>
      </c>
      <c r="GV6" s="63">
        <f t="shared" ref="GV6" si="328">$A$4</f>
        <v>40</v>
      </c>
      <c r="GW6" s="63"/>
      <c r="GX6" s="63"/>
      <c r="GY6" s="37" t="s">
        <v>182</v>
      </c>
      <c r="GZ6" s="63">
        <f t="shared" ref="GZ6" si="329">$A$4</f>
        <v>40</v>
      </c>
      <c r="HA6" s="63"/>
      <c r="HB6" s="63"/>
      <c r="HC6" s="37" t="s">
        <v>182</v>
      </c>
      <c r="HD6" s="63">
        <f t="shared" ref="HD6" si="330">$A$4</f>
        <v>40</v>
      </c>
      <c r="HE6" s="63"/>
      <c r="HF6" s="63"/>
      <c r="HG6" s="37" t="s">
        <v>182</v>
      </c>
      <c r="HH6" s="63">
        <f t="shared" ref="HH6" si="331">$A$4</f>
        <v>40</v>
      </c>
      <c r="HI6" s="63"/>
      <c r="HJ6" s="63"/>
      <c r="HK6" s="37" t="s">
        <v>182</v>
      </c>
      <c r="HL6" s="63">
        <f t="shared" ref="HL6" si="332">$A$4</f>
        <v>40</v>
      </c>
      <c r="HM6" s="63"/>
      <c r="HN6" s="63"/>
      <c r="HO6" s="37" t="s">
        <v>182</v>
      </c>
      <c r="HP6" s="63">
        <f t="shared" ref="HP6" si="333">$A$4</f>
        <v>40</v>
      </c>
      <c r="HQ6" s="63"/>
      <c r="HR6" s="63"/>
      <c r="HS6" s="37" t="s">
        <v>182</v>
      </c>
      <c r="HT6" s="63">
        <f t="shared" ref="HT6" si="334">$A$4</f>
        <v>40</v>
      </c>
      <c r="HU6" s="63"/>
      <c r="HV6" s="63"/>
      <c r="HW6" s="37" t="s">
        <v>182</v>
      </c>
      <c r="HX6" s="63">
        <f t="shared" ref="HX6" si="335">$A$4</f>
        <v>40</v>
      </c>
      <c r="HY6" s="63"/>
      <c r="HZ6" s="63"/>
      <c r="IA6" s="37" t="s">
        <v>182</v>
      </c>
      <c r="IB6" s="63">
        <f t="shared" ref="IB6" si="336">$A$4</f>
        <v>40</v>
      </c>
      <c r="IC6" s="63"/>
      <c r="ID6" s="63"/>
      <c r="IE6" s="37" t="s">
        <v>182</v>
      </c>
      <c r="IF6" s="63">
        <f t="shared" ref="IF6" si="337">$A$4</f>
        <v>40</v>
      </c>
      <c r="IG6" s="63"/>
      <c r="IH6" s="63"/>
      <c r="II6" s="37" t="s">
        <v>182</v>
      </c>
      <c r="IJ6" s="63">
        <f t="shared" ref="IJ6" si="338">$A$4</f>
        <v>40</v>
      </c>
      <c r="IK6" s="63"/>
      <c r="IL6" s="63"/>
      <c r="IM6" s="37" t="s">
        <v>182</v>
      </c>
      <c r="IN6" s="63">
        <f t="shared" ref="IN6" si="339">$A$4</f>
        <v>40</v>
      </c>
      <c r="IO6" s="63"/>
      <c r="IP6" s="63"/>
      <c r="IQ6" s="37" t="s">
        <v>182</v>
      </c>
      <c r="IR6" s="63">
        <f t="shared" ref="IR6" si="340">$A$4</f>
        <v>40</v>
      </c>
      <c r="IS6" s="63"/>
      <c r="IT6" s="63"/>
      <c r="IU6" s="37" t="s">
        <v>182</v>
      </c>
      <c r="IV6" s="63">
        <f t="shared" ref="IV6" si="341">$A$4</f>
        <v>40</v>
      </c>
      <c r="IW6" s="63"/>
      <c r="IX6" s="63"/>
      <c r="IY6" s="37" t="s">
        <v>182</v>
      </c>
      <c r="IZ6" s="63">
        <f t="shared" ref="IZ6" si="342">$A$4</f>
        <v>40</v>
      </c>
      <c r="JA6" s="63"/>
      <c r="JB6" s="63"/>
      <c r="JC6" s="37" t="s">
        <v>182</v>
      </c>
      <c r="JD6" s="63">
        <f t="shared" ref="JD6" si="343">$A$4</f>
        <v>40</v>
      </c>
      <c r="JE6" s="63"/>
      <c r="JF6" s="63"/>
      <c r="JG6" s="37" t="s">
        <v>182</v>
      </c>
      <c r="JH6" s="63">
        <f t="shared" ref="JH6" si="344">$A$4</f>
        <v>40</v>
      </c>
      <c r="JI6" s="63"/>
      <c r="JJ6" s="63"/>
      <c r="JK6" s="37" t="s">
        <v>182</v>
      </c>
      <c r="JL6" s="63">
        <f t="shared" ref="JL6" si="345">$A$4</f>
        <v>40</v>
      </c>
      <c r="JM6" s="63"/>
      <c r="JN6" s="63"/>
      <c r="JO6" s="37" t="s">
        <v>182</v>
      </c>
      <c r="JP6" s="63">
        <f t="shared" ref="JP6" si="346">$A$4</f>
        <v>40</v>
      </c>
      <c r="JQ6" s="63"/>
      <c r="JR6" s="63"/>
      <c r="JS6" s="37" t="s">
        <v>182</v>
      </c>
      <c r="JT6" s="63">
        <f t="shared" ref="JT6" si="347">$A$4</f>
        <v>40</v>
      </c>
      <c r="JU6" s="63"/>
      <c r="JV6" s="63"/>
      <c r="JW6" s="37" t="s">
        <v>182</v>
      </c>
      <c r="JX6" s="63">
        <f t="shared" ref="JX6" si="348">$A$4</f>
        <v>40</v>
      </c>
      <c r="JY6" s="63"/>
      <c r="JZ6" s="63"/>
      <c r="KA6" s="37" t="s">
        <v>182</v>
      </c>
      <c r="KB6" s="63">
        <f t="shared" ref="KB6" si="349">$A$4</f>
        <v>40</v>
      </c>
      <c r="KC6" s="63"/>
      <c r="KD6" s="63"/>
    </row>
    <row r="7" spans="1:290" x14ac:dyDescent="0.25">
      <c r="E7" s="63"/>
      <c r="F7" s="63"/>
      <c r="H7" s="44"/>
      <c r="I7" s="63"/>
      <c r="J7" s="63"/>
      <c r="K7" s="37"/>
      <c r="L7" s="44"/>
      <c r="M7" s="63"/>
      <c r="N7" s="63"/>
      <c r="O7" s="37"/>
      <c r="P7" s="44"/>
      <c r="Q7" s="63"/>
      <c r="R7" s="63"/>
      <c r="S7" s="37"/>
      <c r="T7" s="44"/>
      <c r="U7" s="63"/>
      <c r="V7" s="63"/>
      <c r="W7" s="37"/>
      <c r="X7" s="44"/>
      <c r="Y7" s="63"/>
      <c r="Z7" s="63"/>
      <c r="AA7" s="37"/>
      <c r="AB7" s="44"/>
      <c r="AC7" s="63"/>
      <c r="AD7" s="63"/>
      <c r="AE7" s="37"/>
      <c r="AF7" s="44"/>
      <c r="AG7" s="63"/>
      <c r="AH7" s="63"/>
      <c r="AI7" s="37"/>
      <c r="AJ7" s="44"/>
      <c r="AK7" s="63"/>
      <c r="AL7" s="63"/>
      <c r="AM7" s="37"/>
      <c r="AN7" s="44"/>
      <c r="AO7" s="63"/>
      <c r="AP7" s="63"/>
      <c r="AQ7" s="37"/>
      <c r="AR7" s="44"/>
      <c r="AS7" s="63"/>
      <c r="AT7" s="63"/>
      <c r="AU7" s="37"/>
      <c r="AV7" s="44"/>
      <c r="AW7" s="63"/>
      <c r="AX7" s="63"/>
      <c r="AY7" s="37"/>
      <c r="AZ7" s="44"/>
      <c r="BA7" s="63"/>
      <c r="BB7" s="63"/>
      <c r="BC7" s="37"/>
      <c r="BD7" s="44"/>
      <c r="BE7" s="63"/>
      <c r="BF7" s="63"/>
      <c r="BG7" s="37"/>
      <c r="BH7" s="44"/>
      <c r="BI7" s="63"/>
      <c r="BJ7" s="63"/>
      <c r="BK7" s="37"/>
      <c r="BL7" s="44"/>
      <c r="BM7" s="63"/>
      <c r="BN7" s="63"/>
      <c r="BO7" s="37"/>
      <c r="BP7" s="44"/>
      <c r="BQ7" s="63"/>
      <c r="BR7" s="63"/>
      <c r="BS7" s="37"/>
      <c r="BT7" s="44"/>
      <c r="BU7" s="63"/>
      <c r="BV7" s="63"/>
      <c r="BW7" s="37"/>
      <c r="BX7" s="44"/>
      <c r="BY7" s="63"/>
      <c r="BZ7" s="63"/>
      <c r="CA7" s="37"/>
      <c r="CB7" s="44"/>
      <c r="CC7" s="63"/>
      <c r="CD7" s="63"/>
      <c r="CE7" s="37"/>
      <c r="CF7" s="44"/>
      <c r="CG7" s="63"/>
      <c r="CH7" s="63"/>
      <c r="CI7" s="37"/>
      <c r="CJ7" s="44"/>
      <c r="CK7" s="63"/>
      <c r="CL7" s="63"/>
      <c r="CM7" s="37"/>
      <c r="CN7" s="44"/>
      <c r="CO7" s="63"/>
      <c r="CP7" s="63"/>
      <c r="CQ7" s="37"/>
      <c r="CR7" s="44"/>
      <c r="CS7" s="63"/>
      <c r="CT7" s="63"/>
      <c r="CU7" s="37"/>
      <c r="CV7" s="44"/>
      <c r="CW7" s="63"/>
      <c r="CX7" s="63"/>
      <c r="CY7" s="37"/>
      <c r="CZ7" s="44"/>
      <c r="DA7" s="63"/>
      <c r="DB7" s="63"/>
      <c r="DC7" s="37"/>
      <c r="DD7" s="44"/>
      <c r="DE7" s="63"/>
      <c r="DF7" s="63"/>
      <c r="DG7" s="37"/>
      <c r="DH7" s="44"/>
      <c r="DI7" s="63"/>
      <c r="DJ7" s="63"/>
      <c r="DK7" s="37"/>
      <c r="DL7" s="44"/>
      <c r="DM7" s="63"/>
      <c r="DN7" s="63"/>
      <c r="DO7" s="37"/>
      <c r="DP7" s="44"/>
      <c r="DQ7" s="63"/>
      <c r="DR7" s="63"/>
      <c r="DS7" s="37"/>
      <c r="DT7" s="44"/>
      <c r="DU7" s="63"/>
      <c r="DV7" s="63"/>
      <c r="DW7" s="37"/>
      <c r="DX7" s="44"/>
      <c r="DY7" s="63"/>
      <c r="DZ7" s="63"/>
      <c r="EA7" s="37"/>
      <c r="EB7" s="44"/>
      <c r="EC7" s="63"/>
      <c r="ED7" s="63"/>
      <c r="EE7" s="37"/>
      <c r="EF7" s="44"/>
      <c r="EG7" s="63"/>
      <c r="EH7" s="63"/>
      <c r="EI7" s="37"/>
      <c r="EJ7" s="44"/>
      <c r="EK7" s="63"/>
      <c r="EL7" s="63"/>
      <c r="EM7" s="37"/>
      <c r="EN7" s="44"/>
      <c r="EO7" s="63"/>
      <c r="EP7" s="63"/>
      <c r="EQ7" s="37"/>
      <c r="ER7" s="44"/>
      <c r="ES7" s="63"/>
      <c r="ET7" s="63"/>
      <c r="EU7" s="37"/>
      <c r="EV7" s="44"/>
      <c r="EW7" s="63"/>
      <c r="EX7" s="63"/>
      <c r="EY7" s="37"/>
      <c r="EZ7" s="44"/>
      <c r="FA7" s="63"/>
      <c r="FB7" s="63"/>
      <c r="FC7" s="37"/>
      <c r="FD7" s="44"/>
      <c r="FE7" s="63"/>
      <c r="FF7" s="63"/>
      <c r="FG7" s="37"/>
      <c r="FH7" s="44"/>
      <c r="FI7" s="63"/>
      <c r="FJ7" s="63"/>
      <c r="FK7" s="37"/>
      <c r="FL7" s="44"/>
      <c r="FM7" s="63"/>
      <c r="FN7" s="63"/>
      <c r="FO7" s="37"/>
      <c r="FP7" s="44"/>
      <c r="FQ7" s="63"/>
      <c r="FR7" s="63"/>
      <c r="FS7" s="37"/>
      <c r="FT7" s="44"/>
      <c r="FU7" s="63"/>
      <c r="FV7" s="63"/>
      <c r="FW7" s="37"/>
      <c r="FX7" s="44"/>
      <c r="FY7" s="63"/>
      <c r="FZ7" s="63"/>
      <c r="GA7" s="37"/>
      <c r="GB7" s="44"/>
      <c r="GC7" s="63"/>
      <c r="GD7" s="63"/>
      <c r="GE7" s="37"/>
      <c r="GF7" s="44"/>
      <c r="GG7" s="63"/>
      <c r="GH7" s="63"/>
      <c r="GI7" s="37"/>
      <c r="GJ7" s="44"/>
      <c r="GK7" s="63"/>
      <c r="GL7" s="63"/>
      <c r="GM7" s="37"/>
      <c r="GN7" s="44"/>
      <c r="GO7" s="63"/>
      <c r="GP7" s="63"/>
      <c r="GQ7" s="37"/>
      <c r="GR7" s="44"/>
      <c r="GS7" s="63"/>
      <c r="GT7" s="63"/>
      <c r="GU7" s="37"/>
      <c r="GV7" s="44"/>
      <c r="GW7" s="63"/>
      <c r="GX7" s="63"/>
      <c r="GY7" s="37"/>
      <c r="GZ7" s="44"/>
      <c r="HA7" s="63"/>
      <c r="HB7" s="63"/>
      <c r="HC7" s="37"/>
      <c r="HD7" s="44"/>
      <c r="HE7" s="63"/>
      <c r="HF7" s="63"/>
      <c r="HG7" s="37"/>
      <c r="HH7" s="44"/>
      <c r="HI7" s="63"/>
      <c r="HJ7" s="63"/>
      <c r="HK7" s="37"/>
      <c r="HL7" s="44"/>
      <c r="HM7" s="63"/>
      <c r="HN7" s="63"/>
      <c r="HO7" s="37"/>
      <c r="HP7" s="44"/>
      <c r="HQ7" s="63"/>
      <c r="HR7" s="63"/>
      <c r="HS7" s="37"/>
      <c r="HT7" s="44"/>
      <c r="HU7" s="63"/>
      <c r="HV7" s="63"/>
      <c r="HW7" s="37"/>
      <c r="HX7" s="44"/>
      <c r="HY7" s="63"/>
      <c r="HZ7" s="63"/>
      <c r="IA7" s="37"/>
      <c r="IB7" s="44"/>
      <c r="IC7" s="63"/>
      <c r="ID7" s="63"/>
      <c r="IE7" s="37"/>
      <c r="IF7" s="44"/>
      <c r="IG7" s="63"/>
      <c r="IH7" s="63"/>
      <c r="II7" s="37"/>
      <c r="IJ7" s="44"/>
      <c r="IK7" s="63"/>
      <c r="IL7" s="63"/>
      <c r="IM7" s="37"/>
      <c r="IN7" s="44"/>
      <c r="IO7" s="63"/>
      <c r="IP7" s="63"/>
      <c r="IQ7" s="37"/>
      <c r="IR7" s="44"/>
      <c r="IS7" s="63"/>
      <c r="IT7" s="63"/>
      <c r="IU7" s="37"/>
      <c r="IV7" s="44"/>
      <c r="IW7" s="63"/>
      <c r="IX7" s="63"/>
      <c r="IY7" s="37"/>
      <c r="IZ7" s="44"/>
      <c r="JA7" s="63"/>
      <c r="JB7" s="63"/>
      <c r="JC7" s="37"/>
      <c r="JD7" s="44"/>
      <c r="JE7" s="63"/>
      <c r="JF7" s="63"/>
      <c r="JG7" s="37"/>
      <c r="JH7" s="44"/>
      <c r="JI7" s="63"/>
      <c r="JJ7" s="63"/>
      <c r="JK7" s="37"/>
      <c r="JL7" s="44"/>
      <c r="JM7" s="63"/>
      <c r="JN7" s="63"/>
      <c r="JO7" s="37"/>
      <c r="JP7" s="44"/>
      <c r="JQ7" s="63"/>
      <c r="JR7" s="63"/>
      <c r="JS7" s="37"/>
      <c r="JT7" s="44"/>
      <c r="JU7" s="63"/>
      <c r="JV7" s="63"/>
      <c r="JW7" s="37"/>
      <c r="JX7" s="44"/>
      <c r="JY7" s="63"/>
      <c r="JZ7" s="63"/>
      <c r="KA7" s="37"/>
      <c r="KB7" s="44"/>
      <c r="KC7" s="63"/>
      <c r="KD7" s="63"/>
    </row>
    <row r="8" spans="1:290" x14ac:dyDescent="0.25">
      <c r="C8" s="1" t="s">
        <v>204</v>
      </c>
      <c r="D8" s="19">
        <f>SUM(D$4)</f>
        <v>28800</v>
      </c>
      <c r="E8" s="63"/>
      <c r="F8" s="63"/>
      <c r="G8" s="1" t="s">
        <v>204</v>
      </c>
      <c r="H8" s="19">
        <f>SUM(H$4)</f>
        <v>28800</v>
      </c>
      <c r="I8" s="63"/>
      <c r="J8" s="63"/>
      <c r="K8" s="1" t="s">
        <v>204</v>
      </c>
      <c r="L8" s="19">
        <f t="shared" ref="L8" si="350">SUM(L$4)</f>
        <v>28800</v>
      </c>
      <c r="M8" s="63"/>
      <c r="N8" s="63"/>
      <c r="O8" s="1" t="s">
        <v>204</v>
      </c>
      <c r="P8" s="19">
        <f t="shared" ref="P8" si="351">SUM(P$4)</f>
        <v>28800</v>
      </c>
      <c r="Q8" s="63"/>
      <c r="R8" s="63"/>
      <c r="S8" s="1" t="s">
        <v>204</v>
      </c>
      <c r="T8" s="19">
        <f t="shared" ref="T8" si="352">SUM(T$4)</f>
        <v>28800</v>
      </c>
      <c r="U8" s="63"/>
      <c r="V8" s="63"/>
      <c r="W8" s="1" t="s">
        <v>204</v>
      </c>
      <c r="X8" s="19">
        <f t="shared" ref="X8" si="353">SUM(X$4)</f>
        <v>28800</v>
      </c>
      <c r="Y8" s="63"/>
      <c r="Z8" s="63"/>
      <c r="AA8" s="1" t="s">
        <v>204</v>
      </c>
      <c r="AB8" s="19">
        <f t="shared" ref="AB8" si="354">SUM(AB$4)</f>
        <v>28800</v>
      </c>
      <c r="AC8" s="63"/>
      <c r="AD8" s="63"/>
      <c r="AE8" s="1" t="s">
        <v>204</v>
      </c>
      <c r="AF8" s="19">
        <f t="shared" ref="AF8" si="355">SUM(AF$4)</f>
        <v>38400</v>
      </c>
      <c r="AG8" s="63"/>
      <c r="AH8" s="63"/>
      <c r="AI8" s="1" t="s">
        <v>204</v>
      </c>
      <c r="AJ8" s="19">
        <f t="shared" ref="AJ8" si="356">SUM(AJ$4)</f>
        <v>38400</v>
      </c>
      <c r="AK8" s="63"/>
      <c r="AL8" s="63"/>
      <c r="AM8" s="1" t="s">
        <v>204</v>
      </c>
      <c r="AN8" s="19">
        <f t="shared" ref="AN8" si="357">SUM(AN$4)</f>
        <v>38400</v>
      </c>
      <c r="AO8" s="63"/>
      <c r="AP8" s="63"/>
      <c r="AQ8" s="1" t="s">
        <v>204</v>
      </c>
      <c r="AR8" s="19">
        <f t="shared" ref="AR8" si="358">SUM(AR$4)</f>
        <v>38400</v>
      </c>
      <c r="AS8" s="63"/>
      <c r="AT8" s="63"/>
      <c r="AU8" s="1" t="s">
        <v>204</v>
      </c>
      <c r="AV8" s="19">
        <f t="shared" ref="AV8" si="359">SUM(AV$4)</f>
        <v>38400</v>
      </c>
      <c r="AW8" s="63"/>
      <c r="AX8" s="63"/>
      <c r="AY8" s="1" t="s">
        <v>204</v>
      </c>
      <c r="AZ8" s="19">
        <f t="shared" ref="AZ8" si="360">SUM(AZ$4)</f>
        <v>38400</v>
      </c>
      <c r="BA8" s="63"/>
      <c r="BB8" s="63"/>
      <c r="BC8" s="1" t="s">
        <v>204</v>
      </c>
      <c r="BD8" s="19">
        <f t="shared" ref="BD8" si="361">SUM(BD$4)</f>
        <v>38400</v>
      </c>
      <c r="BE8" s="63"/>
      <c r="BF8" s="63"/>
      <c r="BG8" s="1" t="s">
        <v>204</v>
      </c>
      <c r="BH8" s="19">
        <f t="shared" ref="BH8" si="362">SUM(BH$4)</f>
        <v>48000</v>
      </c>
      <c r="BI8" s="63"/>
      <c r="BJ8" s="63"/>
      <c r="BK8" s="1" t="s">
        <v>204</v>
      </c>
      <c r="BL8" s="19">
        <f t="shared" ref="BL8" si="363">SUM(BL$4)</f>
        <v>48000</v>
      </c>
      <c r="BM8" s="63"/>
      <c r="BN8" s="63"/>
      <c r="BO8" s="1" t="s">
        <v>204</v>
      </c>
      <c r="BP8" s="19">
        <f t="shared" ref="BP8" si="364">SUM(BP$4)</f>
        <v>48000</v>
      </c>
      <c r="BQ8" s="63"/>
      <c r="BR8" s="63"/>
      <c r="BS8" s="1" t="s">
        <v>204</v>
      </c>
      <c r="BT8" s="19">
        <f t="shared" ref="BT8" si="365">SUM(BT$4)</f>
        <v>48000</v>
      </c>
      <c r="BU8" s="63"/>
      <c r="BV8" s="63"/>
      <c r="BW8" s="1" t="s">
        <v>204</v>
      </c>
      <c r="BX8" s="19">
        <f t="shared" ref="BX8" si="366">SUM(BX$4)</f>
        <v>48000</v>
      </c>
      <c r="BY8" s="63"/>
      <c r="BZ8" s="63"/>
      <c r="CA8" s="1" t="s">
        <v>204</v>
      </c>
      <c r="CB8" s="19">
        <f t="shared" ref="CB8" si="367">SUM(CB$4)</f>
        <v>48000</v>
      </c>
      <c r="CC8" s="63"/>
      <c r="CD8" s="63"/>
      <c r="CE8" s="1" t="s">
        <v>204</v>
      </c>
      <c r="CF8" s="19">
        <f t="shared" ref="CF8" si="368">SUM(CF$4)</f>
        <v>57600</v>
      </c>
      <c r="CG8" s="63"/>
      <c r="CH8" s="63"/>
      <c r="CI8" s="1" t="s">
        <v>204</v>
      </c>
      <c r="CJ8" s="19">
        <f t="shared" ref="CJ8" si="369">SUM(CJ$4)</f>
        <v>57600</v>
      </c>
      <c r="CK8" s="63"/>
      <c r="CL8" s="63"/>
      <c r="CM8" s="1" t="s">
        <v>204</v>
      </c>
      <c r="CN8" s="19">
        <f t="shared" ref="CN8" si="370">SUM(CN$4)</f>
        <v>57600</v>
      </c>
      <c r="CO8" s="63"/>
      <c r="CP8" s="63"/>
      <c r="CQ8" s="1" t="s">
        <v>204</v>
      </c>
      <c r="CR8" s="19">
        <f t="shared" ref="CR8" si="371">SUM(CR$4)</f>
        <v>57600</v>
      </c>
      <c r="CS8" s="63"/>
      <c r="CT8" s="63"/>
      <c r="CU8" s="1" t="s">
        <v>204</v>
      </c>
      <c r="CV8" s="19">
        <f t="shared" ref="CV8" si="372">SUM(CV$4)</f>
        <v>57600</v>
      </c>
      <c r="CW8" s="63"/>
      <c r="CX8" s="63"/>
      <c r="CY8" s="1" t="s">
        <v>204</v>
      </c>
      <c r="CZ8" s="19">
        <f t="shared" ref="CZ8" si="373">SUM(CZ$4)</f>
        <v>57600</v>
      </c>
      <c r="DA8" s="63"/>
      <c r="DB8" s="63"/>
      <c r="DC8" s="1" t="s">
        <v>204</v>
      </c>
      <c r="DD8" s="19">
        <f t="shared" ref="DD8" si="374">SUM(DD$4)</f>
        <v>57600</v>
      </c>
      <c r="DE8" s="63"/>
      <c r="DF8" s="63"/>
      <c r="DG8" s="1" t="s">
        <v>204</v>
      </c>
      <c r="DH8" s="19">
        <f t="shared" ref="DH8" si="375">SUM(DH$4)</f>
        <v>67200</v>
      </c>
      <c r="DI8" s="63"/>
      <c r="DJ8" s="63"/>
      <c r="DK8" s="1" t="s">
        <v>204</v>
      </c>
      <c r="DL8" s="19">
        <f t="shared" ref="DL8" si="376">SUM(DL$4)</f>
        <v>67200</v>
      </c>
      <c r="DM8" s="63"/>
      <c r="DN8" s="63"/>
      <c r="DO8" s="1" t="s">
        <v>204</v>
      </c>
      <c r="DP8" s="19">
        <f t="shared" ref="DP8" si="377">SUM(DP$4)</f>
        <v>67200</v>
      </c>
      <c r="DQ8" s="63"/>
      <c r="DR8" s="63"/>
      <c r="DS8" s="1" t="s">
        <v>204</v>
      </c>
      <c r="DT8" s="19">
        <f t="shared" ref="DT8" si="378">SUM(DT$4)</f>
        <v>67200</v>
      </c>
      <c r="DU8" s="63"/>
      <c r="DV8" s="63"/>
      <c r="DW8" s="1" t="s">
        <v>204</v>
      </c>
      <c r="DX8" s="19">
        <f t="shared" ref="DX8" si="379">SUM(DX$4)</f>
        <v>67200</v>
      </c>
      <c r="DY8" s="63"/>
      <c r="DZ8" s="63"/>
      <c r="EA8" s="1" t="s">
        <v>204</v>
      </c>
      <c r="EB8" s="19">
        <f t="shared" ref="EB8" si="380">SUM(EB$4)</f>
        <v>67200</v>
      </c>
      <c r="EC8" s="63"/>
      <c r="ED8" s="63"/>
      <c r="EE8" s="1" t="s">
        <v>204</v>
      </c>
      <c r="EF8" s="19">
        <f t="shared" ref="EF8" si="381">SUM(EF$4)</f>
        <v>67200</v>
      </c>
      <c r="EG8" s="63"/>
      <c r="EH8" s="63"/>
      <c r="EI8" s="1" t="s">
        <v>204</v>
      </c>
      <c r="EJ8" s="19">
        <f t="shared" ref="EJ8" si="382">SUM(EJ$4)</f>
        <v>76800</v>
      </c>
      <c r="EK8" s="63"/>
      <c r="EL8" s="63"/>
      <c r="EM8" s="1" t="s">
        <v>204</v>
      </c>
      <c r="EN8" s="19">
        <f t="shared" ref="EN8" si="383">SUM(EN$4)</f>
        <v>76800</v>
      </c>
      <c r="EO8" s="63"/>
      <c r="EP8" s="63"/>
      <c r="EQ8" s="1" t="s">
        <v>204</v>
      </c>
      <c r="ER8" s="19">
        <f t="shared" ref="ER8" si="384">SUM(ER$4)</f>
        <v>76800</v>
      </c>
      <c r="ES8" s="63"/>
      <c r="ET8" s="63"/>
      <c r="EU8" s="1" t="s">
        <v>204</v>
      </c>
      <c r="EV8" s="19">
        <f t="shared" ref="EV8" si="385">SUM(EV$4)</f>
        <v>76800</v>
      </c>
      <c r="EW8" s="63"/>
      <c r="EX8" s="63"/>
      <c r="EY8" s="1" t="s">
        <v>204</v>
      </c>
      <c r="EZ8" s="19">
        <f t="shared" ref="EZ8" si="386">SUM(EZ$4)</f>
        <v>76800</v>
      </c>
      <c r="FA8" s="63"/>
      <c r="FB8" s="63"/>
      <c r="FC8" s="1" t="s">
        <v>204</v>
      </c>
      <c r="FD8" s="19">
        <f t="shared" ref="FD8" si="387">SUM(FD$4)</f>
        <v>76800</v>
      </c>
      <c r="FE8" s="63"/>
      <c r="FF8" s="63"/>
      <c r="FG8" s="1" t="s">
        <v>204</v>
      </c>
      <c r="FH8" s="19">
        <f t="shared" ref="FH8" si="388">SUM(FH$4)</f>
        <v>86400</v>
      </c>
      <c r="FI8" s="63"/>
      <c r="FJ8" s="63"/>
      <c r="FK8" s="1" t="s">
        <v>204</v>
      </c>
      <c r="FL8" s="19">
        <f t="shared" ref="FL8" si="389">SUM(FL$4)</f>
        <v>86400</v>
      </c>
      <c r="FM8" s="63"/>
      <c r="FN8" s="63"/>
      <c r="FO8" s="1" t="s">
        <v>204</v>
      </c>
      <c r="FP8" s="19">
        <f t="shared" ref="FP8" si="390">SUM(FP$4)</f>
        <v>86400</v>
      </c>
      <c r="FQ8" s="63"/>
      <c r="FR8" s="63"/>
      <c r="FS8" s="1" t="s">
        <v>204</v>
      </c>
      <c r="FT8" s="19">
        <f t="shared" ref="FT8" si="391">SUM(FT$4)</f>
        <v>86400</v>
      </c>
      <c r="FU8" s="63"/>
      <c r="FV8" s="63"/>
      <c r="FW8" s="1" t="s">
        <v>204</v>
      </c>
      <c r="FX8" s="19">
        <f t="shared" ref="FX8" si="392">SUM(FX$4)</f>
        <v>86400</v>
      </c>
      <c r="FY8" s="63"/>
      <c r="FZ8" s="63"/>
      <c r="GA8" s="1" t="s">
        <v>204</v>
      </c>
      <c r="GB8" s="19">
        <f t="shared" ref="GB8" si="393">SUM(GB$4)</f>
        <v>86400</v>
      </c>
      <c r="GC8" s="63"/>
      <c r="GD8" s="63"/>
      <c r="GE8" s="1" t="s">
        <v>204</v>
      </c>
      <c r="GF8" s="19">
        <f t="shared" ref="GF8" si="394">SUM(GF$4)</f>
        <v>86400</v>
      </c>
      <c r="GG8" s="63"/>
      <c r="GH8" s="63"/>
      <c r="GI8" s="1" t="s">
        <v>204</v>
      </c>
      <c r="GJ8" s="19">
        <f t="shared" ref="GJ8" si="395">SUM(GJ$4)</f>
        <v>96000</v>
      </c>
      <c r="GK8" s="63"/>
      <c r="GL8" s="63"/>
      <c r="GM8" s="1" t="s">
        <v>204</v>
      </c>
      <c r="GN8" s="19">
        <f t="shared" ref="GN8" si="396">SUM(GN$4)</f>
        <v>96000</v>
      </c>
      <c r="GO8" s="63"/>
      <c r="GP8" s="63"/>
      <c r="GQ8" s="1" t="s">
        <v>204</v>
      </c>
      <c r="GR8" s="19">
        <f t="shared" ref="GR8" si="397">SUM(GR$4)</f>
        <v>96000</v>
      </c>
      <c r="GS8" s="63"/>
      <c r="GT8" s="63"/>
      <c r="GU8" s="1" t="s">
        <v>204</v>
      </c>
      <c r="GV8" s="19">
        <f t="shared" ref="GV8" si="398">SUM(GV$4)</f>
        <v>96000</v>
      </c>
      <c r="GW8" s="63"/>
      <c r="GX8" s="63"/>
      <c r="GY8" s="1" t="s">
        <v>204</v>
      </c>
      <c r="GZ8" s="19">
        <f t="shared" ref="GZ8" si="399">SUM(GZ$4)</f>
        <v>96000</v>
      </c>
      <c r="HA8" s="63"/>
      <c r="HB8" s="63"/>
      <c r="HC8" s="1" t="s">
        <v>204</v>
      </c>
      <c r="HD8" s="19">
        <f t="shared" ref="HD8" si="400">SUM(HD$4)</f>
        <v>96000</v>
      </c>
      <c r="HE8" s="63"/>
      <c r="HF8" s="63"/>
      <c r="HG8" s="1" t="s">
        <v>204</v>
      </c>
      <c r="HH8" s="19">
        <f t="shared" ref="HH8" si="401">SUM(HH$4)</f>
        <v>96000</v>
      </c>
      <c r="HI8" s="63"/>
      <c r="HJ8" s="63"/>
      <c r="HK8" s="1" t="s">
        <v>204</v>
      </c>
      <c r="HL8" s="19">
        <f t="shared" ref="HL8" si="402">SUM(HL$4)</f>
        <v>105600</v>
      </c>
      <c r="HM8" s="63"/>
      <c r="HN8" s="63"/>
      <c r="HO8" s="1" t="s">
        <v>204</v>
      </c>
      <c r="HP8" s="19">
        <f t="shared" ref="HP8" si="403">SUM(HP$4)</f>
        <v>105600</v>
      </c>
      <c r="HQ8" s="63"/>
      <c r="HR8" s="63"/>
      <c r="HS8" s="1" t="s">
        <v>204</v>
      </c>
      <c r="HT8" s="19">
        <f t="shared" ref="HT8" si="404">SUM(HT$4)</f>
        <v>105600</v>
      </c>
      <c r="HU8" s="63"/>
      <c r="HV8" s="63"/>
      <c r="HW8" s="1" t="s">
        <v>204</v>
      </c>
      <c r="HX8" s="19">
        <f t="shared" ref="HX8" si="405">SUM(HX$4)</f>
        <v>105600</v>
      </c>
      <c r="HY8" s="63"/>
      <c r="HZ8" s="63"/>
      <c r="IA8" s="1" t="s">
        <v>204</v>
      </c>
      <c r="IB8" s="19">
        <f t="shared" ref="IB8" si="406">SUM(IB$4)</f>
        <v>105600</v>
      </c>
      <c r="IC8" s="63"/>
      <c r="ID8" s="63"/>
      <c r="IE8" s="1" t="s">
        <v>204</v>
      </c>
      <c r="IF8" s="19">
        <f t="shared" ref="IF8" si="407">SUM(IF$4)</f>
        <v>105600</v>
      </c>
      <c r="IG8" s="63"/>
      <c r="IH8" s="63"/>
      <c r="II8" s="1" t="s">
        <v>204</v>
      </c>
      <c r="IJ8" s="19">
        <f t="shared" ref="IJ8" si="408">SUM(IJ$4)</f>
        <v>115200</v>
      </c>
      <c r="IK8" s="63"/>
      <c r="IL8" s="63"/>
      <c r="IM8" s="1" t="s">
        <v>204</v>
      </c>
      <c r="IN8" s="19">
        <f t="shared" ref="IN8" si="409">SUM(IN$4)</f>
        <v>115200</v>
      </c>
      <c r="IO8" s="63"/>
      <c r="IP8" s="63"/>
      <c r="IQ8" s="1" t="s">
        <v>204</v>
      </c>
      <c r="IR8" s="19">
        <f t="shared" ref="IR8" si="410">SUM(IR$4)</f>
        <v>115200</v>
      </c>
      <c r="IS8" s="63"/>
      <c r="IT8" s="63"/>
      <c r="IU8" s="1" t="s">
        <v>204</v>
      </c>
      <c r="IV8" s="19">
        <f t="shared" ref="IV8" si="411">SUM(IV$4)</f>
        <v>115200</v>
      </c>
      <c r="IW8" s="63"/>
      <c r="IX8" s="63"/>
      <c r="IY8" s="1" t="s">
        <v>204</v>
      </c>
      <c r="IZ8" s="19">
        <f t="shared" ref="IZ8" si="412">SUM(IZ$4)</f>
        <v>115200</v>
      </c>
      <c r="JA8" s="63"/>
      <c r="JB8" s="63"/>
      <c r="JC8" s="1" t="s">
        <v>204</v>
      </c>
      <c r="JD8" s="19">
        <f t="shared" ref="JD8" si="413">SUM(JD$4)</f>
        <v>115200</v>
      </c>
      <c r="JE8" s="63"/>
      <c r="JF8" s="63"/>
      <c r="JG8" s="1" t="s">
        <v>204</v>
      </c>
      <c r="JH8" s="19">
        <f t="shared" ref="JH8" si="414">SUM(JH$4)</f>
        <v>115200</v>
      </c>
      <c r="JI8" s="63"/>
      <c r="JJ8" s="63"/>
      <c r="JK8" s="1" t="s">
        <v>204</v>
      </c>
      <c r="JL8" s="19">
        <f t="shared" ref="JL8" si="415">SUM(JL$4)</f>
        <v>124800</v>
      </c>
      <c r="JM8" s="63"/>
      <c r="JN8" s="63"/>
      <c r="JO8" s="1" t="s">
        <v>204</v>
      </c>
      <c r="JP8" s="19">
        <f t="shared" ref="JP8" si="416">SUM(JP$4)</f>
        <v>124800</v>
      </c>
      <c r="JQ8" s="63"/>
      <c r="JR8" s="63"/>
      <c r="JS8" s="1" t="s">
        <v>204</v>
      </c>
      <c r="JT8" s="19">
        <f t="shared" ref="JT8" si="417">SUM(JT$4)</f>
        <v>124800</v>
      </c>
      <c r="JU8" s="63"/>
      <c r="JV8" s="63"/>
      <c r="JW8" s="1" t="s">
        <v>204</v>
      </c>
      <c r="JX8" s="19">
        <f t="shared" ref="JX8" si="418">SUM(JX$4)</f>
        <v>124800</v>
      </c>
      <c r="JY8" s="63"/>
      <c r="JZ8" s="63"/>
      <c r="KA8" s="1" t="s">
        <v>204</v>
      </c>
      <c r="KB8" s="19">
        <f t="shared" ref="KB8" si="419">SUM(KB$4)</f>
        <v>124800</v>
      </c>
      <c r="KC8" s="63"/>
      <c r="KD8" s="63"/>
    </row>
    <row r="9" spans="1:290" x14ac:dyDescent="0.25">
      <c r="E9" s="63"/>
      <c r="F9" s="63"/>
      <c r="H9" s="44"/>
      <c r="I9" s="63"/>
      <c r="J9" s="63"/>
      <c r="K9" s="37"/>
      <c r="L9" s="44"/>
      <c r="M9" s="63"/>
      <c r="N9" s="63"/>
      <c r="O9" s="37"/>
      <c r="P9" s="44"/>
      <c r="Q9" s="63"/>
      <c r="R9" s="63"/>
      <c r="S9" s="37"/>
      <c r="T9" s="44"/>
      <c r="U9" s="63"/>
      <c r="V9" s="63"/>
      <c r="W9" s="37"/>
      <c r="X9" s="44"/>
      <c r="Y9" s="63"/>
      <c r="Z9" s="63"/>
      <c r="AA9" s="37"/>
      <c r="AB9" s="44"/>
      <c r="AC9" s="63"/>
      <c r="AD9" s="63"/>
      <c r="AE9" s="37"/>
      <c r="AF9" s="44"/>
      <c r="AG9" s="63"/>
      <c r="AH9" s="63"/>
      <c r="AI9" s="37"/>
      <c r="AJ9" s="44"/>
      <c r="AK9" s="63"/>
      <c r="AL9" s="63"/>
      <c r="AM9" s="37"/>
      <c r="AN9" s="44"/>
      <c r="AO9" s="63"/>
      <c r="AP9" s="63"/>
      <c r="AQ9" s="37"/>
      <c r="AR9" s="44"/>
      <c r="AS9" s="63"/>
      <c r="AT9" s="63"/>
      <c r="AU9" s="37"/>
      <c r="AV9" s="44"/>
      <c r="AW9" s="63"/>
      <c r="AX9" s="63"/>
      <c r="AY9" s="37"/>
      <c r="AZ9" s="44"/>
      <c r="BA9" s="63"/>
      <c r="BB9" s="63"/>
      <c r="BC9" s="37"/>
      <c r="BD9" s="44"/>
      <c r="BE9" s="63"/>
      <c r="BF9" s="63"/>
      <c r="BG9" s="37"/>
      <c r="BH9" s="44"/>
      <c r="BI9" s="63"/>
      <c r="BJ9" s="63"/>
      <c r="BK9" s="37"/>
      <c r="BL9" s="44"/>
      <c r="BM9" s="63"/>
      <c r="BN9" s="63"/>
      <c r="BO9" s="37"/>
      <c r="BP9" s="44"/>
      <c r="BQ9" s="63"/>
      <c r="BR9" s="63"/>
      <c r="BS9" s="37"/>
      <c r="BT9" s="44"/>
      <c r="BU9" s="63"/>
      <c r="BV9" s="63"/>
      <c r="BW9" s="37"/>
      <c r="BX9" s="44"/>
      <c r="BY9" s="63"/>
      <c r="BZ9" s="63"/>
      <c r="CA9" s="37"/>
      <c r="CB9" s="44"/>
      <c r="CC9" s="63"/>
      <c r="CD9" s="63"/>
      <c r="CE9" s="37"/>
      <c r="CF9" s="44"/>
      <c r="CG9" s="63"/>
      <c r="CH9" s="63"/>
      <c r="CI9" s="37"/>
      <c r="CJ9" s="44"/>
      <c r="CK9" s="63"/>
      <c r="CL9" s="63"/>
      <c r="CM9" s="37"/>
      <c r="CN9" s="44"/>
      <c r="CO9" s="63"/>
      <c r="CP9" s="63"/>
      <c r="CQ9" s="37"/>
      <c r="CR9" s="44"/>
      <c r="CS9" s="63"/>
      <c r="CT9" s="63"/>
      <c r="CU9" s="37"/>
      <c r="CV9" s="44"/>
      <c r="CW9" s="63"/>
      <c r="CX9" s="63"/>
      <c r="CY9" s="37"/>
      <c r="CZ9" s="44"/>
      <c r="DA9" s="63"/>
      <c r="DB9" s="63"/>
      <c r="DC9" s="37"/>
      <c r="DD9" s="44"/>
      <c r="DE9" s="63"/>
      <c r="DF9" s="63"/>
      <c r="DG9" s="37"/>
      <c r="DH9" s="44"/>
      <c r="DI9" s="63"/>
      <c r="DJ9" s="63"/>
      <c r="DK9" s="37"/>
      <c r="DL9" s="44"/>
      <c r="DM9" s="63"/>
      <c r="DN9" s="63"/>
      <c r="DO9" s="37"/>
      <c r="DP9" s="44"/>
      <c r="DQ9" s="63"/>
      <c r="DR9" s="63"/>
      <c r="DS9" s="37"/>
      <c r="DT9" s="44"/>
      <c r="DU9" s="63"/>
      <c r="DV9" s="63"/>
      <c r="DW9" s="37"/>
      <c r="DX9" s="44"/>
      <c r="DY9" s="63"/>
      <c r="DZ9" s="63"/>
      <c r="EA9" s="37"/>
      <c r="EB9" s="44"/>
      <c r="EC9" s="63"/>
      <c r="ED9" s="63"/>
      <c r="EE9" s="37"/>
      <c r="EF9" s="44"/>
      <c r="EG9" s="63"/>
      <c r="EH9" s="63"/>
      <c r="EI9" s="37"/>
      <c r="EJ9" s="44"/>
      <c r="EK9" s="63"/>
      <c r="EL9" s="63"/>
      <c r="EM9" s="37"/>
      <c r="EN9" s="44"/>
      <c r="EO9" s="63"/>
      <c r="EP9" s="63"/>
      <c r="EQ9" s="37"/>
      <c r="ER9" s="44"/>
      <c r="ES9" s="63"/>
      <c r="ET9" s="63"/>
      <c r="EU9" s="37"/>
      <c r="EV9" s="44"/>
      <c r="EW9" s="63"/>
      <c r="EX9" s="63"/>
      <c r="EY9" s="37"/>
      <c r="EZ9" s="44"/>
      <c r="FA9" s="63"/>
      <c r="FB9" s="63"/>
      <c r="FC9" s="37"/>
      <c r="FD9" s="44"/>
      <c r="FE9" s="63"/>
      <c r="FF9" s="63"/>
      <c r="FG9" s="37"/>
      <c r="FH9" s="44"/>
      <c r="FI9" s="63"/>
      <c r="FJ9" s="63"/>
      <c r="FK9" s="37"/>
      <c r="FL9" s="44"/>
      <c r="FM9" s="63"/>
      <c r="FN9" s="63"/>
      <c r="FO9" s="37"/>
      <c r="FP9" s="44"/>
      <c r="FQ9" s="63"/>
      <c r="FR9" s="63"/>
      <c r="FS9" s="37"/>
      <c r="FT9" s="44"/>
      <c r="FU9" s="63"/>
      <c r="FV9" s="63"/>
      <c r="FW9" s="37"/>
      <c r="FX9" s="44"/>
      <c r="FY9" s="63"/>
      <c r="FZ9" s="63"/>
      <c r="GA9" s="37"/>
      <c r="GB9" s="44"/>
      <c r="GC9" s="63"/>
      <c r="GD9" s="63"/>
      <c r="GE9" s="37"/>
      <c r="GF9" s="44"/>
      <c r="GG9" s="63"/>
      <c r="GH9" s="63"/>
      <c r="GI9" s="37"/>
      <c r="GJ9" s="44"/>
      <c r="GK9" s="63"/>
      <c r="GL9" s="63"/>
      <c r="GM9" s="37"/>
      <c r="GN9" s="44"/>
      <c r="GO9" s="63"/>
      <c r="GP9" s="63"/>
      <c r="GQ9" s="37"/>
      <c r="GR9" s="44"/>
      <c r="GS9" s="63"/>
      <c r="GT9" s="63"/>
      <c r="GU9" s="37"/>
      <c r="GV9" s="44"/>
      <c r="GW9" s="63"/>
      <c r="GX9" s="63"/>
      <c r="GY9" s="37"/>
      <c r="GZ9" s="44"/>
      <c r="HA9" s="63"/>
      <c r="HB9" s="63"/>
      <c r="HC9" s="37"/>
      <c r="HD9" s="44"/>
      <c r="HE9" s="63"/>
      <c r="HF9" s="63"/>
      <c r="HG9" s="37"/>
      <c r="HH9" s="44"/>
      <c r="HI9" s="63"/>
      <c r="HJ9" s="63"/>
      <c r="HK9" s="37"/>
      <c r="HL9" s="44"/>
      <c r="HM9" s="63"/>
      <c r="HN9" s="63"/>
      <c r="HO9" s="37"/>
      <c r="HP9" s="44"/>
      <c r="HQ9" s="63"/>
      <c r="HR9" s="63"/>
      <c r="HS9" s="37"/>
      <c r="HT9" s="44"/>
      <c r="HU9" s="63"/>
      <c r="HV9" s="63"/>
      <c r="HW9" s="37"/>
      <c r="HX9" s="44"/>
      <c r="HY9" s="63"/>
      <c r="HZ9" s="63"/>
      <c r="IA9" s="37"/>
      <c r="IB9" s="44"/>
      <c r="IC9" s="63"/>
      <c r="ID9" s="63"/>
      <c r="IE9" s="37"/>
      <c r="IF9" s="44"/>
      <c r="IG9" s="63"/>
      <c r="IH9" s="63"/>
      <c r="II9" s="37"/>
      <c r="IJ9" s="44"/>
      <c r="IK9" s="63"/>
      <c r="IL9" s="63"/>
      <c r="IM9" s="37"/>
      <c r="IN9" s="44"/>
      <c r="IO9" s="63"/>
      <c r="IP9" s="63"/>
      <c r="IQ9" s="37"/>
      <c r="IR9" s="44"/>
      <c r="IS9" s="63"/>
      <c r="IT9" s="63"/>
      <c r="IU9" s="37"/>
      <c r="IV9" s="44"/>
      <c r="IW9" s="63"/>
      <c r="IX9" s="63"/>
      <c r="IY9" s="37"/>
      <c r="IZ9" s="44"/>
      <c r="JA9" s="63"/>
      <c r="JB9" s="63"/>
      <c r="JC9" s="37"/>
      <c r="JD9" s="44"/>
      <c r="JE9" s="63"/>
      <c r="JF9" s="63"/>
      <c r="JG9" s="37"/>
      <c r="JH9" s="44"/>
      <c r="JI9" s="63"/>
      <c r="JJ9" s="63"/>
      <c r="JK9" s="37"/>
      <c r="JL9" s="44"/>
      <c r="JM9" s="63"/>
      <c r="JN9" s="63"/>
      <c r="JO9" s="37"/>
      <c r="JP9" s="44"/>
      <c r="JQ9" s="63"/>
      <c r="JR9" s="63"/>
      <c r="JS9" s="37"/>
      <c r="JT9" s="44"/>
      <c r="JU9" s="63"/>
      <c r="JV9" s="63"/>
      <c r="JW9" s="37"/>
      <c r="JX9" s="44"/>
      <c r="JY9" s="63"/>
      <c r="JZ9" s="63"/>
      <c r="KA9" s="37"/>
      <c r="KB9" s="44"/>
      <c r="KC9" s="63"/>
      <c r="KD9" s="63"/>
    </row>
    <row r="10" spans="1:290" x14ac:dyDescent="0.25">
      <c r="C10" s="98" t="s">
        <v>202</v>
      </c>
      <c r="D10" s="89" t="s">
        <v>146</v>
      </c>
      <c r="E10" s="63"/>
      <c r="F10" s="63"/>
      <c r="G10" s="98" t="s">
        <v>202</v>
      </c>
      <c r="H10" s="89" t="s">
        <v>146</v>
      </c>
      <c r="I10" s="63"/>
      <c r="J10" s="63"/>
      <c r="K10" s="98" t="s">
        <v>202</v>
      </c>
      <c r="L10" s="89" t="s">
        <v>146</v>
      </c>
      <c r="M10" s="63"/>
      <c r="N10" s="63"/>
      <c r="O10" s="98" t="s">
        <v>202</v>
      </c>
      <c r="P10" s="89" t="s">
        <v>146</v>
      </c>
      <c r="Q10" s="63"/>
      <c r="R10" s="63"/>
      <c r="S10" s="98" t="s">
        <v>202</v>
      </c>
      <c r="T10" s="89" t="s">
        <v>146</v>
      </c>
      <c r="U10" s="63"/>
      <c r="V10" s="63"/>
      <c r="W10" s="98" t="s">
        <v>202</v>
      </c>
      <c r="X10" s="89" t="s">
        <v>146</v>
      </c>
      <c r="Y10" s="63"/>
      <c r="Z10" s="63"/>
      <c r="AA10" s="98" t="s">
        <v>202</v>
      </c>
      <c r="AB10" s="89" t="s">
        <v>146</v>
      </c>
      <c r="AC10" s="63"/>
      <c r="AD10" s="63"/>
      <c r="AE10" s="98" t="s">
        <v>202</v>
      </c>
      <c r="AF10" s="89" t="s">
        <v>146</v>
      </c>
      <c r="AG10" s="63"/>
      <c r="AH10" s="63"/>
      <c r="AI10" s="98" t="s">
        <v>202</v>
      </c>
      <c r="AJ10" s="89" t="s">
        <v>146</v>
      </c>
      <c r="AK10" s="63"/>
      <c r="AL10" s="63"/>
      <c r="AM10" s="98" t="s">
        <v>202</v>
      </c>
      <c r="AN10" s="89" t="s">
        <v>146</v>
      </c>
      <c r="AO10" s="63"/>
      <c r="AP10" s="63"/>
      <c r="AQ10" s="98" t="s">
        <v>202</v>
      </c>
      <c r="AR10" s="89" t="s">
        <v>146</v>
      </c>
      <c r="AS10" s="63"/>
      <c r="AT10" s="63"/>
      <c r="AU10" s="98" t="s">
        <v>202</v>
      </c>
      <c r="AV10" s="89" t="s">
        <v>146</v>
      </c>
      <c r="AW10" s="63"/>
      <c r="AX10" s="63"/>
      <c r="AY10" s="98" t="s">
        <v>202</v>
      </c>
      <c r="AZ10" s="89" t="s">
        <v>146</v>
      </c>
      <c r="BA10" s="63"/>
      <c r="BB10" s="63"/>
      <c r="BC10" s="98" t="s">
        <v>202</v>
      </c>
      <c r="BD10" s="89" t="s">
        <v>146</v>
      </c>
      <c r="BE10" s="63"/>
      <c r="BF10" s="63"/>
      <c r="BG10" s="98" t="s">
        <v>202</v>
      </c>
      <c r="BH10" s="89" t="s">
        <v>146</v>
      </c>
      <c r="BI10" s="63"/>
      <c r="BJ10" s="63"/>
      <c r="BK10" s="98" t="s">
        <v>202</v>
      </c>
      <c r="BL10" s="89" t="s">
        <v>146</v>
      </c>
      <c r="BM10" s="63"/>
      <c r="BN10" s="63"/>
      <c r="BO10" s="98" t="s">
        <v>202</v>
      </c>
      <c r="BP10" s="89" t="s">
        <v>146</v>
      </c>
      <c r="BQ10" s="63"/>
      <c r="BR10" s="63"/>
      <c r="BS10" s="98" t="s">
        <v>202</v>
      </c>
      <c r="BT10" s="89" t="s">
        <v>146</v>
      </c>
      <c r="BU10" s="63"/>
      <c r="BV10" s="63"/>
      <c r="BW10" s="98" t="s">
        <v>202</v>
      </c>
      <c r="BX10" s="89" t="s">
        <v>146</v>
      </c>
      <c r="BY10" s="63"/>
      <c r="BZ10" s="63"/>
      <c r="CA10" s="98" t="s">
        <v>202</v>
      </c>
      <c r="CB10" s="89" t="s">
        <v>146</v>
      </c>
      <c r="CC10" s="63"/>
      <c r="CD10" s="63"/>
      <c r="CE10" s="98" t="s">
        <v>202</v>
      </c>
      <c r="CF10" s="89" t="s">
        <v>146</v>
      </c>
      <c r="CG10" s="63"/>
      <c r="CH10" s="63"/>
      <c r="CI10" s="98" t="s">
        <v>202</v>
      </c>
      <c r="CJ10" s="89" t="s">
        <v>146</v>
      </c>
      <c r="CK10" s="63"/>
      <c r="CL10" s="63"/>
      <c r="CM10" s="98" t="s">
        <v>202</v>
      </c>
      <c r="CN10" s="89" t="s">
        <v>146</v>
      </c>
      <c r="CO10" s="63"/>
      <c r="CP10" s="63"/>
      <c r="CQ10" s="98" t="s">
        <v>202</v>
      </c>
      <c r="CR10" s="89" t="s">
        <v>146</v>
      </c>
      <c r="CS10" s="63"/>
      <c r="CT10" s="63"/>
      <c r="CU10" s="98" t="s">
        <v>202</v>
      </c>
      <c r="CV10" s="89" t="s">
        <v>146</v>
      </c>
      <c r="CW10" s="63"/>
      <c r="CX10" s="63"/>
      <c r="CY10" s="98" t="s">
        <v>202</v>
      </c>
      <c r="CZ10" s="89" t="s">
        <v>146</v>
      </c>
      <c r="DA10" s="63"/>
      <c r="DB10" s="63"/>
      <c r="DC10" s="98" t="s">
        <v>202</v>
      </c>
      <c r="DD10" s="89" t="s">
        <v>146</v>
      </c>
      <c r="DE10" s="63"/>
      <c r="DF10" s="63"/>
      <c r="DG10" s="98" t="s">
        <v>202</v>
      </c>
      <c r="DH10" s="89" t="s">
        <v>146</v>
      </c>
      <c r="DI10" s="63"/>
      <c r="DJ10" s="63"/>
      <c r="DK10" s="98" t="s">
        <v>202</v>
      </c>
      <c r="DL10" s="89" t="s">
        <v>146</v>
      </c>
      <c r="DM10" s="63"/>
      <c r="DN10" s="63"/>
      <c r="DO10" s="98" t="s">
        <v>202</v>
      </c>
      <c r="DP10" s="89" t="s">
        <v>146</v>
      </c>
      <c r="DQ10" s="63"/>
      <c r="DR10" s="63"/>
      <c r="DS10" s="98" t="s">
        <v>202</v>
      </c>
      <c r="DT10" s="89" t="s">
        <v>146</v>
      </c>
      <c r="DU10" s="63"/>
      <c r="DV10" s="63"/>
      <c r="DW10" s="98" t="s">
        <v>202</v>
      </c>
      <c r="DX10" s="89" t="s">
        <v>146</v>
      </c>
      <c r="DY10" s="63"/>
      <c r="DZ10" s="63"/>
      <c r="EA10" s="98" t="s">
        <v>202</v>
      </c>
      <c r="EB10" s="89" t="s">
        <v>146</v>
      </c>
      <c r="EC10" s="63"/>
      <c r="ED10" s="63"/>
      <c r="EE10" s="98" t="s">
        <v>202</v>
      </c>
      <c r="EF10" s="89" t="s">
        <v>146</v>
      </c>
      <c r="EG10" s="63"/>
      <c r="EH10" s="63"/>
      <c r="EI10" s="98" t="s">
        <v>202</v>
      </c>
      <c r="EJ10" s="89" t="s">
        <v>146</v>
      </c>
      <c r="EK10" s="63"/>
      <c r="EL10" s="63"/>
      <c r="EM10" s="98" t="s">
        <v>202</v>
      </c>
      <c r="EN10" s="89" t="s">
        <v>146</v>
      </c>
      <c r="EO10" s="63"/>
      <c r="EP10" s="63"/>
      <c r="EQ10" s="98" t="s">
        <v>202</v>
      </c>
      <c r="ER10" s="89" t="s">
        <v>146</v>
      </c>
      <c r="ES10" s="63"/>
      <c r="ET10" s="63"/>
      <c r="EU10" s="98" t="s">
        <v>202</v>
      </c>
      <c r="EV10" s="89" t="s">
        <v>146</v>
      </c>
      <c r="EW10" s="63"/>
      <c r="EX10" s="63"/>
      <c r="EY10" s="98" t="s">
        <v>202</v>
      </c>
      <c r="EZ10" s="89" t="s">
        <v>146</v>
      </c>
      <c r="FA10" s="63"/>
      <c r="FB10" s="63"/>
      <c r="FC10" s="98" t="s">
        <v>202</v>
      </c>
      <c r="FD10" s="89" t="s">
        <v>146</v>
      </c>
      <c r="FE10" s="63"/>
      <c r="FF10" s="63"/>
      <c r="FG10" s="98" t="s">
        <v>202</v>
      </c>
      <c r="FH10" s="89" t="s">
        <v>146</v>
      </c>
      <c r="FI10" s="63"/>
      <c r="FJ10" s="63"/>
      <c r="FK10" s="98" t="s">
        <v>202</v>
      </c>
      <c r="FL10" s="89" t="s">
        <v>146</v>
      </c>
      <c r="FM10" s="63"/>
      <c r="FN10" s="63"/>
      <c r="FO10" s="98" t="s">
        <v>202</v>
      </c>
      <c r="FP10" s="89" t="s">
        <v>146</v>
      </c>
      <c r="FQ10" s="63"/>
      <c r="FR10" s="63"/>
      <c r="FS10" s="98" t="s">
        <v>202</v>
      </c>
      <c r="FT10" s="89" t="s">
        <v>146</v>
      </c>
      <c r="FU10" s="63"/>
      <c r="FV10" s="63"/>
      <c r="FW10" s="98" t="s">
        <v>202</v>
      </c>
      <c r="FX10" s="89" t="s">
        <v>146</v>
      </c>
      <c r="FY10" s="63"/>
      <c r="FZ10" s="63"/>
      <c r="GA10" s="98" t="s">
        <v>202</v>
      </c>
      <c r="GB10" s="89" t="s">
        <v>146</v>
      </c>
      <c r="GC10" s="63"/>
      <c r="GD10" s="63"/>
      <c r="GE10" s="98" t="s">
        <v>202</v>
      </c>
      <c r="GF10" s="89" t="s">
        <v>146</v>
      </c>
      <c r="GG10" s="63"/>
      <c r="GH10" s="63"/>
      <c r="GI10" s="98" t="s">
        <v>202</v>
      </c>
      <c r="GJ10" s="89" t="s">
        <v>146</v>
      </c>
      <c r="GK10" s="63"/>
      <c r="GL10" s="63"/>
      <c r="GM10" s="98" t="s">
        <v>202</v>
      </c>
      <c r="GN10" s="89" t="s">
        <v>146</v>
      </c>
      <c r="GO10" s="63"/>
      <c r="GP10" s="63"/>
      <c r="GQ10" s="98" t="s">
        <v>202</v>
      </c>
      <c r="GR10" s="89" t="s">
        <v>146</v>
      </c>
      <c r="GS10" s="63"/>
      <c r="GT10" s="63"/>
      <c r="GU10" s="98" t="s">
        <v>202</v>
      </c>
      <c r="GV10" s="89" t="s">
        <v>146</v>
      </c>
      <c r="GW10" s="63"/>
      <c r="GX10" s="63"/>
      <c r="GY10" s="98" t="s">
        <v>202</v>
      </c>
      <c r="GZ10" s="89" t="s">
        <v>146</v>
      </c>
      <c r="HA10" s="63"/>
      <c r="HB10" s="63"/>
      <c r="HC10" s="98" t="s">
        <v>202</v>
      </c>
      <c r="HD10" s="89" t="s">
        <v>146</v>
      </c>
      <c r="HE10" s="63"/>
      <c r="HF10" s="63"/>
      <c r="HG10" s="98" t="s">
        <v>202</v>
      </c>
      <c r="HH10" s="89" t="s">
        <v>146</v>
      </c>
      <c r="HI10" s="63"/>
      <c r="HJ10" s="63"/>
      <c r="HK10" s="98" t="s">
        <v>202</v>
      </c>
      <c r="HL10" s="89" t="s">
        <v>146</v>
      </c>
      <c r="HM10" s="63"/>
      <c r="HN10" s="63"/>
      <c r="HO10" s="98" t="s">
        <v>202</v>
      </c>
      <c r="HP10" s="89" t="s">
        <v>146</v>
      </c>
      <c r="HQ10" s="63"/>
      <c r="HR10" s="63"/>
      <c r="HS10" s="98" t="s">
        <v>202</v>
      </c>
      <c r="HT10" s="89" t="s">
        <v>146</v>
      </c>
      <c r="HU10" s="63"/>
      <c r="HV10" s="63"/>
      <c r="HW10" s="98" t="s">
        <v>202</v>
      </c>
      <c r="HX10" s="89" t="s">
        <v>146</v>
      </c>
      <c r="HY10" s="63"/>
      <c r="HZ10" s="63"/>
      <c r="IA10" s="98" t="s">
        <v>202</v>
      </c>
      <c r="IB10" s="89" t="s">
        <v>146</v>
      </c>
      <c r="IC10" s="63"/>
      <c r="ID10" s="63"/>
      <c r="IE10" s="98" t="s">
        <v>202</v>
      </c>
      <c r="IF10" s="89" t="s">
        <v>146</v>
      </c>
      <c r="IG10" s="63"/>
      <c r="IH10" s="63"/>
      <c r="II10" s="98" t="s">
        <v>202</v>
      </c>
      <c r="IJ10" s="89" t="s">
        <v>146</v>
      </c>
      <c r="IK10" s="63"/>
      <c r="IL10" s="63"/>
      <c r="IM10" s="98" t="s">
        <v>202</v>
      </c>
      <c r="IN10" s="89" t="s">
        <v>146</v>
      </c>
      <c r="IO10" s="63"/>
      <c r="IP10" s="63"/>
      <c r="IQ10" s="98" t="s">
        <v>202</v>
      </c>
      <c r="IR10" s="89" t="s">
        <v>146</v>
      </c>
      <c r="IS10" s="63"/>
      <c r="IT10" s="63"/>
      <c r="IU10" s="98" t="s">
        <v>202</v>
      </c>
      <c r="IV10" s="89" t="s">
        <v>146</v>
      </c>
      <c r="IW10" s="63"/>
      <c r="IX10" s="63"/>
      <c r="IY10" s="98" t="s">
        <v>202</v>
      </c>
      <c r="IZ10" s="89" t="s">
        <v>146</v>
      </c>
      <c r="JA10" s="63"/>
      <c r="JB10" s="63"/>
      <c r="JC10" s="98" t="s">
        <v>202</v>
      </c>
      <c r="JD10" s="89" t="s">
        <v>146</v>
      </c>
      <c r="JE10" s="63"/>
      <c r="JF10" s="63"/>
      <c r="JG10" s="98" t="s">
        <v>202</v>
      </c>
      <c r="JH10" s="89" t="s">
        <v>146</v>
      </c>
      <c r="JI10" s="63"/>
      <c r="JJ10" s="63"/>
      <c r="JK10" s="98" t="s">
        <v>202</v>
      </c>
      <c r="JL10" s="89" t="s">
        <v>146</v>
      </c>
      <c r="JM10" s="63"/>
      <c r="JN10" s="63"/>
      <c r="JO10" s="98" t="s">
        <v>202</v>
      </c>
      <c r="JP10" s="89" t="s">
        <v>146</v>
      </c>
      <c r="JQ10" s="63"/>
      <c r="JR10" s="63"/>
      <c r="JS10" s="98" t="s">
        <v>202</v>
      </c>
      <c r="JT10" s="89" t="s">
        <v>146</v>
      </c>
      <c r="JU10" s="63"/>
      <c r="JV10" s="63"/>
      <c r="JW10" s="98" t="s">
        <v>202</v>
      </c>
      <c r="JX10" s="89" t="s">
        <v>146</v>
      </c>
      <c r="JY10" s="63"/>
      <c r="JZ10" s="63"/>
      <c r="KA10" s="98" t="s">
        <v>202</v>
      </c>
      <c r="KB10" s="89" t="s">
        <v>146</v>
      </c>
      <c r="KC10" s="63"/>
      <c r="KD10" s="63"/>
    </row>
    <row r="11" spans="1:290" outlineLevel="1" x14ac:dyDescent="0.25">
      <c r="A11" s="102" t="s">
        <v>224</v>
      </c>
      <c r="C11" s="103" t="s">
        <v>187</v>
      </c>
      <c r="D11" s="104">
        <f>-'Investimento Inicial'!$B$2</f>
        <v>-70000</v>
      </c>
      <c r="E11" s="63"/>
      <c r="F11" s="63"/>
      <c r="G11" s="103"/>
      <c r="H11" s="104"/>
      <c r="I11" s="63"/>
      <c r="J11" s="63"/>
      <c r="K11" s="103"/>
      <c r="L11" s="104"/>
      <c r="M11" s="63"/>
      <c r="N11" s="63"/>
      <c r="O11" s="103"/>
      <c r="P11" s="104"/>
      <c r="Q11" s="63"/>
      <c r="R11" s="63"/>
      <c r="S11" s="103"/>
      <c r="T11" s="104"/>
      <c r="U11" s="63"/>
      <c r="V11" s="63"/>
      <c r="W11" s="103"/>
      <c r="X11" s="104"/>
      <c r="Y11" s="63"/>
      <c r="Z11" s="63"/>
      <c r="AA11" s="103"/>
      <c r="AB11" s="104"/>
      <c r="AC11" s="63"/>
      <c r="AD11" s="63"/>
      <c r="AE11" s="103"/>
      <c r="AF11" s="104"/>
      <c r="AG11" s="63"/>
      <c r="AH11" s="63"/>
      <c r="AI11" s="103"/>
      <c r="AJ11" s="104"/>
      <c r="AK11" s="63"/>
      <c r="AL11" s="63"/>
      <c r="AM11" s="103"/>
      <c r="AN11" s="104"/>
      <c r="AO11" s="63"/>
      <c r="AP11" s="63"/>
      <c r="AQ11" s="103"/>
      <c r="AR11" s="104"/>
      <c r="AS11" s="63"/>
      <c r="AT11" s="63"/>
      <c r="AU11" s="103"/>
      <c r="AV11" s="104"/>
      <c r="AW11" s="63"/>
      <c r="AX11" s="63"/>
      <c r="AY11" s="103"/>
      <c r="AZ11" s="104"/>
      <c r="BA11" s="63"/>
      <c r="BB11" s="63"/>
      <c r="BC11" s="103"/>
      <c r="BD11" s="104"/>
      <c r="BE11" s="63"/>
      <c r="BF11" s="63"/>
      <c r="BG11" s="103"/>
      <c r="BH11" s="104"/>
      <c r="BI11" s="63"/>
      <c r="BJ11" s="63"/>
      <c r="BK11" s="103"/>
      <c r="BL11" s="104"/>
      <c r="BM11" s="63"/>
      <c r="BN11" s="63"/>
      <c r="BO11" s="103"/>
      <c r="BP11" s="104"/>
      <c r="BQ11" s="63"/>
      <c r="BR11" s="63"/>
      <c r="BS11" s="103"/>
      <c r="BT11" s="104"/>
      <c r="BU11" s="63"/>
      <c r="BV11" s="63"/>
      <c r="BW11" s="103"/>
      <c r="BX11" s="104"/>
      <c r="BY11" s="63"/>
      <c r="BZ11" s="63"/>
      <c r="CA11" s="103"/>
      <c r="CB11" s="104"/>
      <c r="CC11" s="63"/>
      <c r="CD11" s="63"/>
      <c r="CE11" s="103"/>
      <c r="CF11" s="104"/>
      <c r="CG11" s="63"/>
      <c r="CH11" s="63"/>
      <c r="CI11" s="103"/>
      <c r="CJ11" s="104"/>
      <c r="CK11" s="63"/>
      <c r="CL11" s="63"/>
      <c r="CM11" s="103"/>
      <c r="CN11" s="104"/>
      <c r="CO11" s="63"/>
      <c r="CP11" s="63"/>
      <c r="CQ11" s="103"/>
      <c r="CR11" s="104"/>
      <c r="CS11" s="63"/>
      <c r="CT11" s="63"/>
      <c r="CU11" s="103"/>
      <c r="CV11" s="104"/>
      <c r="CW11" s="63"/>
      <c r="CX11" s="63"/>
      <c r="CY11" s="103"/>
      <c r="CZ11" s="104"/>
      <c r="DA11" s="63"/>
      <c r="DB11" s="63"/>
      <c r="DC11" s="103"/>
      <c r="DD11" s="104"/>
      <c r="DE11" s="63"/>
      <c r="DF11" s="63"/>
      <c r="DG11" s="103"/>
      <c r="DH11" s="104"/>
      <c r="DI11" s="63"/>
      <c r="DJ11" s="63"/>
      <c r="DK11" s="103"/>
      <c r="DL11" s="104"/>
      <c r="DM11" s="63"/>
      <c r="DN11" s="63"/>
      <c r="DO11" s="103"/>
      <c r="DP11" s="104"/>
      <c r="DQ11" s="63"/>
      <c r="DR11" s="63"/>
      <c r="DS11" s="103"/>
      <c r="DT11" s="104"/>
      <c r="DU11" s="63"/>
      <c r="DV11" s="63"/>
      <c r="DW11" s="103"/>
      <c r="DX11" s="104"/>
      <c r="DY11" s="63"/>
      <c r="DZ11" s="63"/>
      <c r="EA11" s="103"/>
      <c r="EB11" s="104"/>
      <c r="EC11" s="63"/>
      <c r="ED11" s="63"/>
      <c r="EE11" s="103"/>
      <c r="EF11" s="104"/>
      <c r="EG11" s="63"/>
      <c r="EH11" s="63"/>
      <c r="EI11" s="103"/>
      <c r="EJ11" s="104"/>
      <c r="EK11" s="63"/>
      <c r="EL11" s="63"/>
      <c r="EM11" s="103"/>
      <c r="EN11" s="104"/>
      <c r="EO11" s="63"/>
      <c r="EP11" s="63"/>
      <c r="EQ11" s="103"/>
      <c r="ER11" s="104"/>
      <c r="ES11" s="63"/>
      <c r="ET11" s="63"/>
      <c r="EU11" s="103"/>
      <c r="EV11" s="104"/>
      <c r="EW11" s="63"/>
      <c r="EX11" s="63"/>
      <c r="EY11" s="103"/>
      <c r="EZ11" s="104"/>
      <c r="FA11" s="63"/>
      <c r="FB11" s="63"/>
      <c r="FC11" s="103"/>
      <c r="FD11" s="104"/>
      <c r="FE11" s="63"/>
      <c r="FF11" s="63"/>
      <c r="FG11" s="103"/>
      <c r="FH11" s="104"/>
      <c r="FI11" s="63"/>
      <c r="FJ11" s="63"/>
      <c r="FK11" s="103"/>
      <c r="FL11" s="104"/>
      <c r="FM11" s="63"/>
      <c r="FN11" s="63"/>
      <c r="FO11" s="103"/>
      <c r="FP11" s="104"/>
      <c r="FQ11" s="63"/>
      <c r="FR11" s="63"/>
      <c r="FS11" s="103"/>
      <c r="FT11" s="104"/>
      <c r="FU11" s="63"/>
      <c r="FV11" s="63"/>
      <c r="FW11" s="103"/>
      <c r="FX11" s="104"/>
      <c r="FY11" s="63"/>
      <c r="FZ11" s="63"/>
      <c r="GA11" s="103"/>
      <c r="GB11" s="104"/>
      <c r="GC11" s="63"/>
      <c r="GD11" s="63"/>
      <c r="GE11" s="103"/>
      <c r="GF11" s="104"/>
      <c r="GG11" s="63"/>
      <c r="GH11" s="63"/>
      <c r="GI11" s="103"/>
      <c r="GJ11" s="104"/>
      <c r="GK11" s="63"/>
      <c r="GL11" s="63"/>
      <c r="GM11" s="103"/>
      <c r="GN11" s="104"/>
      <c r="GO11" s="63"/>
      <c r="GP11" s="63"/>
      <c r="GQ11" s="103"/>
      <c r="GR11" s="104"/>
      <c r="GS11" s="63"/>
      <c r="GT11" s="63"/>
      <c r="GU11" s="103"/>
      <c r="GV11" s="104"/>
      <c r="GW11" s="63"/>
      <c r="GX11" s="63"/>
      <c r="GY11" s="103"/>
      <c r="GZ11" s="104"/>
      <c r="HA11" s="63"/>
      <c r="HB11" s="63"/>
      <c r="HC11" s="103"/>
      <c r="HD11" s="104"/>
      <c r="HE11" s="63"/>
      <c r="HF11" s="63"/>
      <c r="HG11" s="103"/>
      <c r="HH11" s="104"/>
      <c r="HI11" s="63"/>
      <c r="HJ11" s="63"/>
      <c r="HK11" s="103"/>
      <c r="HL11" s="104"/>
      <c r="HM11" s="63"/>
      <c r="HN11" s="63"/>
      <c r="HO11" s="103"/>
      <c r="HP11" s="104"/>
      <c r="HQ11" s="63"/>
      <c r="HR11" s="63"/>
      <c r="HS11" s="103"/>
      <c r="HT11" s="104"/>
      <c r="HU11" s="63"/>
      <c r="HV11" s="63"/>
      <c r="HW11" s="103"/>
      <c r="HX11" s="104"/>
      <c r="HY11" s="63"/>
      <c r="HZ11" s="63"/>
      <c r="IA11" s="103"/>
      <c r="IB11" s="104"/>
      <c r="IC11" s="63"/>
      <c r="ID11" s="63"/>
      <c r="IE11" s="103"/>
      <c r="IF11" s="104"/>
      <c r="IG11" s="63"/>
      <c r="IH11" s="63"/>
      <c r="II11" s="103"/>
      <c r="IJ11" s="104"/>
      <c r="IK11" s="63"/>
      <c r="IL11" s="63"/>
      <c r="IM11" s="103"/>
      <c r="IN11" s="104"/>
      <c r="IO11" s="63"/>
      <c r="IP11" s="63"/>
      <c r="IQ11" s="103"/>
      <c r="IR11" s="104"/>
      <c r="IS11" s="63"/>
      <c r="IT11" s="63"/>
      <c r="IU11" s="103"/>
      <c r="IV11" s="104"/>
      <c r="IW11" s="63"/>
      <c r="IX11" s="63"/>
      <c r="IY11" s="103"/>
      <c r="IZ11" s="104"/>
      <c r="JA11" s="63"/>
      <c r="JB11" s="63"/>
      <c r="JC11" s="103"/>
      <c r="JD11" s="104"/>
      <c r="JE11" s="63"/>
      <c r="JF11" s="63"/>
      <c r="JG11" s="103"/>
      <c r="JH11" s="104"/>
      <c r="JI11" s="63"/>
      <c r="JJ11" s="63"/>
      <c r="JK11" s="103"/>
      <c r="JL11" s="104"/>
      <c r="JM11" s="63"/>
      <c r="JN11" s="63"/>
      <c r="JO11" s="103"/>
      <c r="JP11" s="104"/>
      <c r="JQ11" s="63"/>
      <c r="JR11" s="63"/>
      <c r="JS11" s="103"/>
      <c r="JT11" s="104"/>
      <c r="JU11" s="63"/>
      <c r="JV11" s="63"/>
      <c r="JW11" s="103"/>
      <c r="JX11" s="104"/>
      <c r="JY11" s="63"/>
      <c r="JZ11" s="63"/>
      <c r="KA11" s="103"/>
      <c r="KB11" s="104"/>
      <c r="KC11" s="63"/>
      <c r="KD11" s="63"/>
    </row>
    <row r="12" spans="1:290" outlineLevel="1" x14ac:dyDescent="0.25">
      <c r="A12" s="106" t="s">
        <v>223</v>
      </c>
      <c r="C12" s="103" t="s">
        <v>188</v>
      </c>
      <c r="D12" s="104">
        <f>-'Investimento Inicial'!$B$3</f>
        <v>-500</v>
      </c>
      <c r="E12" s="63"/>
      <c r="F12" s="63"/>
      <c r="G12" s="103"/>
      <c r="H12" s="104"/>
      <c r="I12" s="63"/>
      <c r="J12" s="63"/>
      <c r="K12" s="103"/>
      <c r="L12" s="104"/>
      <c r="M12" s="63"/>
      <c r="N12" s="63"/>
      <c r="O12" s="103"/>
      <c r="P12" s="104"/>
      <c r="Q12" s="63"/>
      <c r="R12" s="63"/>
      <c r="S12" s="103"/>
      <c r="T12" s="104"/>
      <c r="U12" s="63"/>
      <c r="V12" s="63"/>
      <c r="W12" s="103"/>
      <c r="X12" s="104"/>
      <c r="Y12" s="63"/>
      <c r="Z12" s="63"/>
      <c r="AA12" s="103"/>
      <c r="AB12" s="104"/>
      <c r="AC12" s="63"/>
      <c r="AD12" s="63"/>
      <c r="AE12" s="103"/>
      <c r="AF12" s="104"/>
      <c r="AG12" s="63"/>
      <c r="AH12" s="63"/>
      <c r="AI12" s="103"/>
      <c r="AJ12" s="104"/>
      <c r="AK12" s="63"/>
      <c r="AL12" s="63"/>
      <c r="AM12" s="103"/>
      <c r="AN12" s="104"/>
      <c r="AO12" s="63"/>
      <c r="AP12" s="63"/>
      <c r="AQ12" s="103"/>
      <c r="AR12" s="104"/>
      <c r="AS12" s="63"/>
      <c r="AT12" s="63"/>
      <c r="AU12" s="103"/>
      <c r="AV12" s="104"/>
      <c r="AW12" s="63"/>
      <c r="AX12" s="63"/>
      <c r="AY12" s="103"/>
      <c r="AZ12" s="104"/>
      <c r="BA12" s="63"/>
      <c r="BB12" s="63"/>
      <c r="BC12" s="103"/>
      <c r="BD12" s="104"/>
      <c r="BE12" s="63"/>
      <c r="BF12" s="63"/>
      <c r="BG12" s="103"/>
      <c r="BH12" s="104"/>
      <c r="BI12" s="63"/>
      <c r="BJ12" s="63"/>
      <c r="BK12" s="103"/>
      <c r="BL12" s="104"/>
      <c r="BM12" s="63"/>
      <c r="BN12" s="63"/>
      <c r="BO12" s="103"/>
      <c r="BP12" s="104"/>
      <c r="BQ12" s="63"/>
      <c r="BR12" s="63"/>
      <c r="BS12" s="103"/>
      <c r="BT12" s="104"/>
      <c r="BU12" s="63"/>
      <c r="BV12" s="63"/>
      <c r="BW12" s="103"/>
      <c r="BX12" s="104"/>
      <c r="BY12" s="63"/>
      <c r="BZ12" s="63"/>
      <c r="CA12" s="103"/>
      <c r="CB12" s="104"/>
      <c r="CC12" s="63"/>
      <c r="CD12" s="63"/>
      <c r="CE12" s="103"/>
      <c r="CF12" s="104"/>
      <c r="CG12" s="63"/>
      <c r="CH12" s="63"/>
      <c r="CI12" s="103"/>
      <c r="CJ12" s="104"/>
      <c r="CK12" s="63"/>
      <c r="CL12" s="63"/>
      <c r="CM12" s="103"/>
      <c r="CN12" s="104"/>
      <c r="CO12" s="63"/>
      <c r="CP12" s="63"/>
      <c r="CQ12" s="103"/>
      <c r="CR12" s="104"/>
      <c r="CS12" s="63"/>
      <c r="CT12" s="63"/>
      <c r="CU12" s="103"/>
      <c r="CV12" s="104"/>
      <c r="CW12" s="63"/>
      <c r="CX12" s="63"/>
      <c r="CY12" s="103"/>
      <c r="CZ12" s="104"/>
      <c r="DA12" s="63"/>
      <c r="DB12" s="63"/>
      <c r="DC12" s="103"/>
      <c r="DD12" s="104"/>
      <c r="DE12" s="63"/>
      <c r="DF12" s="63"/>
      <c r="DG12" s="103"/>
      <c r="DH12" s="104"/>
      <c r="DI12" s="63"/>
      <c r="DJ12" s="63"/>
      <c r="DK12" s="103"/>
      <c r="DL12" s="104"/>
      <c r="DM12" s="63"/>
      <c r="DN12" s="63"/>
      <c r="DO12" s="103"/>
      <c r="DP12" s="104"/>
      <c r="DQ12" s="63"/>
      <c r="DR12" s="63"/>
      <c r="DS12" s="103"/>
      <c r="DT12" s="104"/>
      <c r="DU12" s="63"/>
      <c r="DV12" s="63"/>
      <c r="DW12" s="103"/>
      <c r="DX12" s="104"/>
      <c r="DY12" s="63"/>
      <c r="DZ12" s="63"/>
      <c r="EA12" s="103"/>
      <c r="EB12" s="104"/>
      <c r="EC12" s="63"/>
      <c r="ED12" s="63"/>
      <c r="EE12" s="103"/>
      <c r="EF12" s="104"/>
      <c r="EG12" s="63"/>
      <c r="EH12" s="63"/>
      <c r="EI12" s="103"/>
      <c r="EJ12" s="104"/>
      <c r="EK12" s="63"/>
      <c r="EL12" s="63"/>
      <c r="EM12" s="103"/>
      <c r="EN12" s="104"/>
      <c r="EO12" s="63"/>
      <c r="EP12" s="63"/>
      <c r="EQ12" s="103"/>
      <c r="ER12" s="104"/>
      <c r="ES12" s="63"/>
      <c r="ET12" s="63"/>
      <c r="EU12" s="103"/>
      <c r="EV12" s="104"/>
      <c r="EW12" s="63"/>
      <c r="EX12" s="63"/>
      <c r="EY12" s="103"/>
      <c r="EZ12" s="104"/>
      <c r="FA12" s="63"/>
      <c r="FB12" s="63"/>
      <c r="FC12" s="103"/>
      <c r="FD12" s="104"/>
      <c r="FE12" s="63"/>
      <c r="FF12" s="63"/>
      <c r="FG12" s="103"/>
      <c r="FH12" s="104"/>
      <c r="FI12" s="63"/>
      <c r="FJ12" s="63"/>
      <c r="FK12" s="103"/>
      <c r="FL12" s="104"/>
      <c r="FM12" s="63"/>
      <c r="FN12" s="63"/>
      <c r="FO12" s="103"/>
      <c r="FP12" s="104"/>
      <c r="FQ12" s="63"/>
      <c r="FR12" s="63"/>
      <c r="FS12" s="103"/>
      <c r="FT12" s="104"/>
      <c r="FU12" s="63"/>
      <c r="FV12" s="63"/>
      <c r="FW12" s="103"/>
      <c r="FX12" s="104"/>
      <c r="FY12" s="63"/>
      <c r="FZ12" s="63"/>
      <c r="GA12" s="103"/>
      <c r="GB12" s="104"/>
      <c r="GC12" s="63"/>
      <c r="GD12" s="63"/>
      <c r="GE12" s="103"/>
      <c r="GF12" s="104"/>
      <c r="GG12" s="63"/>
      <c r="GH12" s="63"/>
      <c r="GI12" s="103"/>
      <c r="GJ12" s="104"/>
      <c r="GK12" s="63"/>
      <c r="GL12" s="63"/>
      <c r="GM12" s="103"/>
      <c r="GN12" s="104"/>
      <c r="GO12" s="63"/>
      <c r="GP12" s="63"/>
      <c r="GQ12" s="103"/>
      <c r="GR12" s="104"/>
      <c r="GS12" s="63"/>
      <c r="GT12" s="63"/>
      <c r="GU12" s="103"/>
      <c r="GV12" s="104"/>
      <c r="GW12" s="63"/>
      <c r="GX12" s="63"/>
      <c r="GY12" s="103"/>
      <c r="GZ12" s="104"/>
      <c r="HA12" s="63"/>
      <c r="HB12" s="63"/>
      <c r="HC12" s="103"/>
      <c r="HD12" s="104"/>
      <c r="HE12" s="63"/>
      <c r="HF12" s="63"/>
      <c r="HG12" s="103"/>
      <c r="HH12" s="104"/>
      <c r="HI12" s="63"/>
      <c r="HJ12" s="63"/>
      <c r="HK12" s="103"/>
      <c r="HL12" s="104"/>
      <c r="HM12" s="63"/>
      <c r="HN12" s="63"/>
      <c r="HO12" s="103"/>
      <c r="HP12" s="104"/>
      <c r="HQ12" s="63"/>
      <c r="HR12" s="63"/>
      <c r="HS12" s="103"/>
      <c r="HT12" s="104"/>
      <c r="HU12" s="63"/>
      <c r="HV12" s="63"/>
      <c r="HW12" s="103"/>
      <c r="HX12" s="104"/>
      <c r="HY12" s="63"/>
      <c r="HZ12" s="63"/>
      <c r="IA12" s="103"/>
      <c r="IB12" s="104"/>
      <c r="IC12" s="63"/>
      <c r="ID12" s="63"/>
      <c r="IE12" s="103"/>
      <c r="IF12" s="104"/>
      <c r="IG12" s="63"/>
      <c r="IH12" s="63"/>
      <c r="II12" s="103"/>
      <c r="IJ12" s="104"/>
      <c r="IK12" s="63"/>
      <c r="IL12" s="63"/>
      <c r="IM12" s="103"/>
      <c r="IN12" s="104"/>
      <c r="IO12" s="63"/>
      <c r="IP12" s="63"/>
      <c r="IQ12" s="103"/>
      <c r="IR12" s="104"/>
      <c r="IS12" s="63"/>
      <c r="IT12" s="63"/>
      <c r="IU12" s="103"/>
      <c r="IV12" s="104"/>
      <c r="IW12" s="63"/>
      <c r="IX12" s="63"/>
      <c r="IY12" s="103"/>
      <c r="IZ12" s="104"/>
      <c r="JA12" s="63"/>
      <c r="JB12" s="63"/>
      <c r="JC12" s="103"/>
      <c r="JD12" s="104"/>
      <c r="JE12" s="63"/>
      <c r="JF12" s="63"/>
      <c r="JG12" s="103"/>
      <c r="JH12" s="104"/>
      <c r="JI12" s="63"/>
      <c r="JJ12" s="63"/>
      <c r="JK12" s="103"/>
      <c r="JL12" s="104"/>
      <c r="JM12" s="63"/>
      <c r="JN12" s="63"/>
      <c r="JO12" s="103"/>
      <c r="JP12" s="104"/>
      <c r="JQ12" s="63"/>
      <c r="JR12" s="63"/>
      <c r="JS12" s="103"/>
      <c r="JT12" s="104"/>
      <c r="JU12" s="63"/>
      <c r="JV12" s="63"/>
      <c r="JW12" s="103"/>
      <c r="JX12" s="104"/>
      <c r="JY12" s="63"/>
      <c r="JZ12" s="63"/>
      <c r="KA12" s="103"/>
      <c r="KB12" s="104"/>
      <c r="KC12" s="63"/>
      <c r="KD12" s="63"/>
    </row>
    <row r="13" spans="1:290" outlineLevel="1" x14ac:dyDescent="0.25">
      <c r="A13" s="109" t="s">
        <v>222</v>
      </c>
      <c r="C13" s="123" t="str">
        <f ca="1">IF(D13&lt;&gt;"", $A$15&amp;" meses de café", "")</f>
        <v>3 meses de café</v>
      </c>
      <c r="D13" s="111">
        <f ca="1">IF(AND(NOT(ISBLANK(C$1)), MOD(C$1,$A$15)=0), -D$2*SUM(OFFSET(C5,0,0,1,$A$15*4)), "")</f>
        <v>-27086.005196109418</v>
      </c>
      <c r="E13" s="123" t="str">
        <f ca="1">IF(F13&lt;&gt;"", $A$15&amp;" meses de café", "")</f>
        <v/>
      </c>
      <c r="F13" s="111" t="str">
        <f ca="1">IF(AND(NOT(ISBLANK(E$1)), MOD(E$1,$A$15)=0), -$A$3*SUM(OFFSET(E5,0,0,1,$A$15*4)), "")</f>
        <v/>
      </c>
      <c r="G13" s="123" t="str">
        <f ca="1">IF(H13&lt;&gt;"", $A$15&amp;" meses de café", "")</f>
        <v/>
      </c>
      <c r="H13" s="111" t="str">
        <f ca="1">IF(AND(NOT(ISBLANK(G$1)), MOD(G$1,$A$15)=0), -H$2*SUM(OFFSET(G5,0,0,1,$A$15*4)), "")</f>
        <v/>
      </c>
      <c r="I13" s="111" t="str">
        <f ca="1">IF(AND(NOT(ISBLANK(H$2)), MOD(H$2,$A$15)=0), -I$1*SUM(OFFSET(H5,0,0,1,$A$15*4)), "")</f>
        <v/>
      </c>
      <c r="J13" s="111" t="str">
        <f ca="1">IF(AND(NOT(ISBLANK(I$1)), MOD(I$1,$A$15)=0), -J$1*SUM(OFFSET(I5,0,0,1,$A$15*4)), "")</f>
        <v/>
      </c>
      <c r="K13" s="123" t="str">
        <f t="shared" ref="K13" ca="1" si="420">IF(L13&lt;&gt;"", $A$15&amp;" meses de café", "")</f>
        <v/>
      </c>
      <c r="L13" s="111" t="str">
        <f t="shared" ref="L13" ca="1" si="421">IF(AND(NOT(ISBLANK(K$1)), MOD(K$1,$A$15)=0), -L$2*SUM(OFFSET(K5,0,0,1,$A$15*4)), "")</f>
        <v/>
      </c>
      <c r="M13" s="111" t="str">
        <f t="shared" ref="M13" ca="1" si="422">IF(AND(NOT(ISBLANK(L$2)), MOD(L$2,$A$15)=0), -M$1*SUM(OFFSET(L5,0,0,1,$A$15*4)), "")</f>
        <v/>
      </c>
      <c r="N13" s="111" t="str">
        <f t="shared" ref="N13" ca="1" si="423">IF(AND(NOT(ISBLANK(M$1)), MOD(M$1,$A$15)=0), -N$1*SUM(OFFSET(M5,0,0,1,$A$15*4)), "")</f>
        <v/>
      </c>
      <c r="O13" s="123" t="str">
        <f t="shared" ref="O13" ca="1" si="424">IF(P13&lt;&gt;"", $A$15&amp;" meses de café", "")</f>
        <v>3 meses de café</v>
      </c>
      <c r="P13" s="111">
        <f t="shared" ref="P13" ca="1" si="425">IF(AND(NOT(ISBLANK(O$1)), MOD(O$1,$A$15)=0), -P$2*SUM(OFFSET(O5,0,0,1,$A$15*4)), "")</f>
        <v>-29150.618504264181</v>
      </c>
      <c r="Q13" s="111" t="str">
        <f t="shared" ref="Q13" ca="1" si="426">IF(AND(NOT(ISBLANK(P$2)), MOD(P$2,$A$15)=0), -Q$1*SUM(OFFSET(P5,0,0,1,$A$15*4)), "")</f>
        <v/>
      </c>
      <c r="R13" s="111" t="str">
        <f t="shared" ref="R13" ca="1" si="427">IF(AND(NOT(ISBLANK(Q$1)), MOD(Q$1,$A$15)=0), -R$1*SUM(OFFSET(Q5,0,0,1,$A$15*4)), "")</f>
        <v/>
      </c>
      <c r="S13" s="123" t="str">
        <f t="shared" ref="S13" ca="1" si="428">IF(T13&lt;&gt;"", $A$15&amp;" meses de café", "")</f>
        <v/>
      </c>
      <c r="T13" s="111" t="str">
        <f t="shared" ref="T13" ca="1" si="429">IF(AND(NOT(ISBLANK(S$1)), MOD(S$1,$A$15)=0), -T$2*SUM(OFFSET(S5,0,0,1,$A$15*4)), "")</f>
        <v/>
      </c>
      <c r="U13" s="111" t="str">
        <f t="shared" ref="U13" ca="1" si="430">IF(AND(NOT(ISBLANK(T$2)), MOD(T$2,$A$15)=0), -U$1*SUM(OFFSET(T5,0,0,1,$A$15*4)), "")</f>
        <v/>
      </c>
      <c r="V13" s="111" t="str">
        <f t="shared" ref="V13" ca="1" si="431">IF(AND(NOT(ISBLANK(U$1)), MOD(U$1,$A$15)=0), -V$1*SUM(OFFSET(U5,0,0,1,$A$15*4)), "")</f>
        <v/>
      </c>
      <c r="W13" s="123" t="str">
        <f t="shared" ref="W13" ca="1" si="432">IF(X13&lt;&gt;"", $A$15&amp;" meses de café", "")</f>
        <v/>
      </c>
      <c r="X13" s="111" t="str">
        <f t="shared" ref="X13" ca="1" si="433">IF(AND(NOT(ISBLANK(W$1)), MOD(W$1,$A$15)=0), -X$2*SUM(OFFSET(W5,0,0,1,$A$15*4)), "")</f>
        <v/>
      </c>
      <c r="Y13" s="111" t="str">
        <f t="shared" ref="Y13" ca="1" si="434">IF(AND(NOT(ISBLANK(X$2)), MOD(X$2,$A$15)=0), -Y$1*SUM(OFFSET(X5,0,0,1,$A$15*4)), "")</f>
        <v/>
      </c>
      <c r="Z13" s="111" t="str">
        <f t="shared" ref="Z13" ca="1" si="435">IF(AND(NOT(ISBLANK(Y$1)), MOD(Y$1,$A$15)=0), -Z$1*SUM(OFFSET(Y5,0,0,1,$A$15*4)), "")</f>
        <v/>
      </c>
      <c r="AA13" s="123" t="str">
        <f t="shared" ref="AA13" ca="1" si="436">IF(AB13&lt;&gt;"", $A$15&amp;" meses de café", "")</f>
        <v>3 meses de café</v>
      </c>
      <c r="AB13" s="111">
        <f t="shared" ref="AB13" ca="1" si="437">IF(AND(NOT(ISBLANK(AA$1)), MOD(AA$1,$A$15)=0), -AB$2*SUM(OFFSET(AA5,0,0,1,$A$15*4)), "")</f>
        <v>-35829.299118552575</v>
      </c>
      <c r="AC13" s="111" t="str">
        <f t="shared" ref="AC13" ca="1" si="438">IF(AND(NOT(ISBLANK(AB$2)), MOD(AB$2,$A$15)=0), -AC$1*SUM(OFFSET(AB5,0,0,1,$A$15*4)), "")</f>
        <v/>
      </c>
      <c r="AD13" s="111" t="str">
        <f t="shared" ref="AD13" ca="1" si="439">IF(AND(NOT(ISBLANK(AC$1)), MOD(AC$1,$A$15)=0), -AD$1*SUM(OFFSET(AC5,0,0,1,$A$15*4)), "")</f>
        <v/>
      </c>
      <c r="AE13" s="123" t="str">
        <f t="shared" ref="AE13" ca="1" si="440">IF(AF13&lt;&gt;"", $A$15&amp;" meses de café", "")</f>
        <v/>
      </c>
      <c r="AF13" s="111" t="str">
        <f t="shared" ref="AF13" ca="1" si="441">IF(AND(NOT(ISBLANK(AE$1)), MOD(AE$1,$A$15)=0), -AF$2*SUM(OFFSET(AE5,0,0,1,$A$15*4)), "")</f>
        <v/>
      </c>
      <c r="AG13" s="111" t="str">
        <f t="shared" ref="AG13" ca="1" si="442">IF(AND(NOT(ISBLANK(AF$2)), MOD(AF$2,$A$15)=0), -AG$1*SUM(OFFSET(AF5,0,0,1,$A$15*4)), "")</f>
        <v/>
      </c>
      <c r="AH13" s="111" t="str">
        <f t="shared" ref="AH13" ca="1" si="443">IF(AND(NOT(ISBLANK(AG$1)), MOD(AG$1,$A$15)=0), -AH$1*SUM(OFFSET(AG5,0,0,1,$A$15*4)), "")</f>
        <v/>
      </c>
      <c r="AI13" s="123" t="str">
        <f t="shared" ref="AI13" ca="1" si="444">IF(AJ13&lt;&gt;"", $A$15&amp;" meses de café", "")</f>
        <v/>
      </c>
      <c r="AJ13" s="111" t="str">
        <f t="shared" ref="AJ13" ca="1" si="445">IF(AND(NOT(ISBLANK(AI$1)), MOD(AI$1,$A$15)=0), -AJ$2*SUM(OFFSET(AI5,0,0,1,$A$15*4)), "")</f>
        <v/>
      </c>
      <c r="AK13" s="111" t="str">
        <f t="shared" ref="AK13" ca="1" si="446">IF(AND(NOT(ISBLANK(AJ$2)), MOD(AJ$2,$A$15)=0), -AK$1*SUM(OFFSET(AJ5,0,0,1,$A$15*4)), "")</f>
        <v/>
      </c>
      <c r="AL13" s="111" t="str">
        <f t="shared" ref="AL13" ca="1" si="447">IF(AND(NOT(ISBLANK(AK$1)), MOD(AK$1,$A$15)=0), -AL$1*SUM(OFFSET(AK5,0,0,1,$A$15*4)), "")</f>
        <v/>
      </c>
      <c r="AM13" s="123" t="str">
        <f t="shared" ref="AM13" ca="1" si="448">IF(AN13&lt;&gt;"", $A$15&amp;" meses de café", "")</f>
        <v>3 meses de café</v>
      </c>
      <c r="AN13" s="111">
        <f t="shared" ref="AN13" ca="1" si="449">IF(AND(NOT(ISBLANK(AM$1)), MOD(AM$1,$A$15)=0), -AN$2*SUM(OFFSET(AM5,0,0,1,$A$15*4)), "")</f>
        <v>-38720.237868775483</v>
      </c>
      <c r="AO13" s="111" t="str">
        <f t="shared" ref="AO13" ca="1" si="450">IF(AND(NOT(ISBLANK(AN$2)), MOD(AN$2,$A$15)=0), -AO$1*SUM(OFFSET(AN5,0,0,1,$A$15*4)), "")</f>
        <v/>
      </c>
      <c r="AP13" s="111" t="str">
        <f t="shared" ref="AP13" ca="1" si="451">IF(AND(NOT(ISBLANK(AO$1)), MOD(AO$1,$A$15)=0), -AP$1*SUM(OFFSET(AO5,0,0,1,$A$15*4)), "")</f>
        <v/>
      </c>
      <c r="AQ13" s="123" t="str">
        <f t="shared" ref="AQ13" ca="1" si="452">IF(AR13&lt;&gt;"", $A$15&amp;" meses de café", "")</f>
        <v/>
      </c>
      <c r="AR13" s="111" t="str">
        <f t="shared" ref="AR13" ca="1" si="453">IF(AND(NOT(ISBLANK(AQ$1)), MOD(AQ$1,$A$15)=0), -AR$2*SUM(OFFSET(AQ5,0,0,1,$A$15*4)), "")</f>
        <v/>
      </c>
      <c r="AS13" s="111" t="str">
        <f t="shared" ref="AS13" ca="1" si="454">IF(AND(NOT(ISBLANK(AR$2)), MOD(AR$2,$A$15)=0), -AS$1*SUM(OFFSET(AR5,0,0,1,$A$15*4)), "")</f>
        <v/>
      </c>
      <c r="AT13" s="111" t="str">
        <f t="shared" ref="AT13" ca="1" si="455">IF(AND(NOT(ISBLANK(AS$1)), MOD(AS$1,$A$15)=0), -AT$1*SUM(OFFSET(AS5,0,0,1,$A$15*4)), "")</f>
        <v/>
      </c>
      <c r="AU13" s="123" t="str">
        <f t="shared" ref="AU13" ca="1" si="456">IF(AV13&lt;&gt;"", $A$15&amp;" meses de café", "")</f>
        <v/>
      </c>
      <c r="AV13" s="111" t="str">
        <f t="shared" ref="AV13" ca="1" si="457">IF(AND(NOT(ISBLANK(AU$1)), MOD(AU$1,$A$15)=0), -AV$2*SUM(OFFSET(AU5,0,0,1,$A$15*4)), "")</f>
        <v/>
      </c>
      <c r="AW13" s="111" t="str">
        <f t="shared" ref="AW13" ca="1" si="458">IF(AND(NOT(ISBLANK(AV$2)), MOD(AV$2,$A$15)=0), -AW$1*SUM(OFFSET(AV5,0,0,1,$A$15*4)), "")</f>
        <v/>
      </c>
      <c r="AX13" s="111" t="str">
        <f t="shared" ref="AX13" ca="1" si="459">IF(AND(NOT(ISBLANK(AW$1)), MOD(AW$1,$A$15)=0), -AX$1*SUM(OFFSET(AW5,0,0,1,$A$15*4)), "")</f>
        <v/>
      </c>
      <c r="AY13" s="123" t="str">
        <f t="shared" ref="AY13" ca="1" si="460">IF(AZ13&lt;&gt;"", $A$15&amp;" meses de café", "")</f>
        <v>3 meses de café</v>
      </c>
      <c r="AZ13" s="111">
        <f t="shared" ref="AZ13" ca="1" si="461">IF(AND(NOT(ISBLANK(AY$1)), MOD(AY$1,$A$15)=0), -AZ$2*SUM(OFFSET(AY5,0,0,1,$A$15*4)), "")</f>
        <v>-42181.591717826115</v>
      </c>
      <c r="BA13" s="111" t="str">
        <f t="shared" ref="BA13" ca="1" si="462">IF(AND(NOT(ISBLANK(AZ$2)), MOD(AZ$2,$A$15)=0), -BA$1*SUM(OFFSET(AZ5,0,0,1,$A$15*4)), "")</f>
        <v/>
      </c>
      <c r="BB13" s="111" t="str">
        <f t="shared" ref="BB13" ca="1" si="463">IF(AND(NOT(ISBLANK(BA$1)), MOD(BA$1,$A$15)=0), -BB$1*SUM(OFFSET(BA5,0,0,1,$A$15*4)), "")</f>
        <v/>
      </c>
      <c r="BC13" s="123" t="str">
        <f t="shared" ref="BC13" ca="1" si="464">IF(BD13&lt;&gt;"", $A$15&amp;" meses de café", "")</f>
        <v/>
      </c>
      <c r="BD13" s="111" t="str">
        <f t="shared" ref="BD13" ca="1" si="465">IF(AND(NOT(ISBLANK(BC$1)), MOD(BC$1,$A$15)=0), -BD$2*SUM(OFFSET(BC5,0,0,1,$A$15*4)), "")</f>
        <v/>
      </c>
      <c r="BE13" s="111" t="str">
        <f t="shared" ref="BE13" ca="1" si="466">IF(AND(NOT(ISBLANK(BD$2)), MOD(BD$2,$A$15)=0), -BE$1*SUM(OFFSET(BD5,0,0,1,$A$15*4)), "")</f>
        <v/>
      </c>
      <c r="BF13" s="111" t="str">
        <f t="shared" ref="BF13" ca="1" si="467">IF(AND(NOT(ISBLANK(BE$1)), MOD(BE$1,$A$15)=0), -BF$1*SUM(OFFSET(BE5,0,0,1,$A$15*4)), "")</f>
        <v/>
      </c>
      <c r="BG13" s="123" t="str">
        <f t="shared" ref="BG13" ca="1" si="468">IF(BH13&lt;&gt;"", $A$15&amp;" meses de café", "")</f>
        <v/>
      </c>
      <c r="BH13" s="111" t="str">
        <f t="shared" ref="BH13" ca="1" si="469">IF(AND(NOT(ISBLANK(BG$1)), MOD(BG$1,$A$15)=0), -BH$2*SUM(OFFSET(BG5,0,0,1,$A$15*4)), "")</f>
        <v/>
      </c>
      <c r="BI13" s="111" t="str">
        <f t="shared" ref="BI13" ca="1" si="470">IF(AND(NOT(ISBLANK(BH$2)), MOD(BH$2,$A$15)=0), -BI$1*SUM(OFFSET(BH5,0,0,1,$A$15*4)), "")</f>
        <v/>
      </c>
      <c r="BJ13" s="111" t="str">
        <f t="shared" ref="BJ13" ca="1" si="471">IF(AND(NOT(ISBLANK(BI$1)), MOD(BI$1,$A$15)=0), -BJ$1*SUM(OFFSET(BI5,0,0,1,$A$15*4)), "")</f>
        <v/>
      </c>
      <c r="BK13" s="123" t="str">
        <f t="shared" ref="BK13" ca="1" si="472">IF(BL13&lt;&gt;"", $A$15&amp;" meses de café", "")</f>
        <v>3 meses de café</v>
      </c>
      <c r="BL13" s="111">
        <f t="shared" ref="BL13" ca="1" si="473">IF(AND(NOT(ISBLANK(BK$1)), MOD(BK$1,$A$15)=0), -BL$2*SUM(OFFSET(BK5,0,0,1,$A$15*4)), "")</f>
        <v>-49822.112345712812</v>
      </c>
      <c r="BM13" s="111" t="str">
        <f t="shared" ref="BM13" ca="1" si="474">IF(AND(NOT(ISBLANK(BL$2)), MOD(BL$2,$A$15)=0), -BM$1*SUM(OFFSET(BL5,0,0,1,$A$15*4)), "")</f>
        <v/>
      </c>
      <c r="BN13" s="111" t="str">
        <f t="shared" ref="BN13" ca="1" si="475">IF(AND(NOT(ISBLANK(BM$1)), MOD(BM$1,$A$15)=0), -BN$1*SUM(OFFSET(BM5,0,0,1,$A$15*4)), "")</f>
        <v/>
      </c>
      <c r="BO13" s="123" t="str">
        <f t="shared" ref="BO13" ca="1" si="476">IF(BP13&lt;&gt;"", $A$15&amp;" meses de café", "")</f>
        <v/>
      </c>
      <c r="BP13" s="111" t="str">
        <f t="shared" ref="BP13" ca="1" si="477">IF(AND(NOT(ISBLANK(BO$1)), MOD(BO$1,$A$15)=0), -BP$2*SUM(OFFSET(BO5,0,0,1,$A$15*4)), "")</f>
        <v/>
      </c>
      <c r="BQ13" s="111" t="str">
        <f t="shared" ref="BQ13" ca="1" si="478">IF(AND(NOT(ISBLANK(BP$2)), MOD(BP$2,$A$15)=0), -BQ$1*SUM(OFFSET(BP5,0,0,1,$A$15*4)), "")</f>
        <v/>
      </c>
      <c r="BR13" s="111" t="str">
        <f t="shared" ref="BR13" ca="1" si="479">IF(AND(NOT(ISBLANK(BQ$1)), MOD(BQ$1,$A$15)=0), -BR$1*SUM(OFFSET(BQ5,0,0,1,$A$15*4)), "")</f>
        <v/>
      </c>
      <c r="BS13" s="123" t="str">
        <f t="shared" ref="BS13" ca="1" si="480">IF(BT13&lt;&gt;"", $A$15&amp;" meses de café", "")</f>
        <v/>
      </c>
      <c r="BT13" s="111" t="str">
        <f t="shared" ref="BT13" ca="1" si="481">IF(AND(NOT(ISBLANK(BS$1)), MOD(BS$1,$A$15)=0), -BT$2*SUM(OFFSET(BS5,0,0,1,$A$15*4)), "")</f>
        <v/>
      </c>
      <c r="BU13" s="111" t="str">
        <f t="shared" ref="BU13" ca="1" si="482">IF(AND(NOT(ISBLANK(BT$2)), MOD(BT$2,$A$15)=0), -BU$1*SUM(OFFSET(BT5,0,0,1,$A$15*4)), "")</f>
        <v/>
      </c>
      <c r="BV13" s="111" t="str">
        <f t="shared" ref="BV13" ca="1" si="483">IF(AND(NOT(ISBLANK(BU$1)), MOD(BU$1,$A$15)=0), -BV$1*SUM(OFFSET(BU5,0,0,1,$A$15*4)), "")</f>
        <v/>
      </c>
      <c r="BW13" s="123" t="str">
        <f t="shared" ref="BW13" ca="1" si="484">IF(BX13&lt;&gt;"", $A$15&amp;" meses de café", "")</f>
        <v>3 meses de café</v>
      </c>
      <c r="BX13" s="111">
        <f t="shared" ref="BX13" ca="1" si="485">IF(AND(NOT(ISBLANK(BW$1)), MOD(BW$1,$A$15)=0), -BX$2*SUM(OFFSET(BW5,0,0,1,$A$15*4)), "")</f>
        <v>-48404.022428750708</v>
      </c>
      <c r="BY13" s="111" t="str">
        <f t="shared" ref="BY13" ca="1" si="486">IF(AND(NOT(ISBLANK(BX$2)), MOD(BX$2,$A$15)=0), -BY$1*SUM(OFFSET(BX5,0,0,1,$A$15*4)), "")</f>
        <v/>
      </c>
      <c r="BZ13" s="111" t="str">
        <f t="shared" ref="BZ13" ca="1" si="487">IF(AND(NOT(ISBLANK(BY$1)), MOD(BY$1,$A$15)=0), -BZ$1*SUM(OFFSET(BY5,0,0,1,$A$15*4)), "")</f>
        <v/>
      </c>
      <c r="CA13" s="123" t="str">
        <f t="shared" ref="CA13" ca="1" si="488">IF(CB13&lt;&gt;"", $A$15&amp;" meses de café", "")</f>
        <v/>
      </c>
      <c r="CB13" s="111" t="str">
        <f t="shared" ref="CB13" ca="1" si="489">IF(AND(NOT(ISBLANK(CA$1)), MOD(CA$1,$A$15)=0), -CB$2*SUM(OFFSET(CA5,0,0,1,$A$15*4)), "")</f>
        <v/>
      </c>
      <c r="CC13" s="111" t="str">
        <f t="shared" ref="CC13" ca="1" si="490">IF(AND(NOT(ISBLANK(CB$2)), MOD(CB$2,$A$15)=0), -CC$1*SUM(OFFSET(CB5,0,0,1,$A$15*4)), "")</f>
        <v/>
      </c>
      <c r="CD13" s="111" t="str">
        <f t="shared" ref="CD13" ca="1" si="491">IF(AND(NOT(ISBLANK(CC$1)), MOD(CC$1,$A$15)=0), -CD$1*SUM(OFFSET(CC5,0,0,1,$A$15*4)), "")</f>
        <v/>
      </c>
      <c r="CE13" s="123" t="str">
        <f t="shared" ref="CE13" ca="1" si="492">IF(CF13&lt;&gt;"", $A$15&amp;" meses de café", "")</f>
        <v/>
      </c>
      <c r="CF13" s="111" t="str">
        <f t="shared" ref="CF13" ca="1" si="493">IF(AND(NOT(ISBLANK(CE$1)), MOD(CE$1,$A$15)=0), -CF$2*SUM(OFFSET(CE5,0,0,1,$A$15*4)), "")</f>
        <v/>
      </c>
      <c r="CG13" s="111" t="str">
        <f t="shared" ref="CG13" ca="1" si="494">IF(AND(NOT(ISBLANK(CF$2)), MOD(CF$2,$A$15)=0), -CG$1*SUM(OFFSET(CF5,0,0,1,$A$15*4)), "")</f>
        <v/>
      </c>
      <c r="CH13" s="111" t="str">
        <f t="shared" ref="CH13" ca="1" si="495">IF(AND(NOT(ISBLANK(CG$1)), MOD(CG$1,$A$15)=0), -CH$1*SUM(OFFSET(CG5,0,0,1,$A$15*4)), "")</f>
        <v/>
      </c>
      <c r="CI13" s="123" t="str">
        <f t="shared" ref="CI13" ca="1" si="496">IF(CJ13&lt;&gt;"", $A$15&amp;" meses de café", "")</f>
        <v>3 meses de café</v>
      </c>
      <c r="CJ13" s="111">
        <f t="shared" ref="CJ13" ca="1" si="497">IF(AND(NOT(ISBLANK(CI$1)), MOD(CI$1,$A$15)=0), -CJ$2*SUM(OFFSET(CI5,0,0,1,$A$15*4)), "")</f>
        <v>-54756.954452684447</v>
      </c>
      <c r="CK13" s="111" t="str">
        <f t="shared" ref="CK13" ca="1" si="498">IF(AND(NOT(ISBLANK(CJ$2)), MOD(CJ$2,$A$15)=0), -CK$1*SUM(OFFSET(CJ5,0,0,1,$A$15*4)), "")</f>
        <v/>
      </c>
      <c r="CL13" s="111" t="str">
        <f t="shared" ref="CL13" ca="1" si="499">IF(AND(NOT(ISBLANK(CK$1)), MOD(CK$1,$A$15)=0), -CL$1*SUM(OFFSET(CK5,0,0,1,$A$15*4)), "")</f>
        <v/>
      </c>
      <c r="CM13" s="123" t="str">
        <f t="shared" ref="CM13" ca="1" si="500">IF(CN13&lt;&gt;"", $A$15&amp;" meses de café", "")</f>
        <v/>
      </c>
      <c r="CN13" s="111" t="str">
        <f t="shared" ref="CN13" ca="1" si="501">IF(AND(NOT(ISBLANK(CM$1)), MOD(CM$1,$A$15)=0), -CN$2*SUM(OFFSET(CM5,0,0,1,$A$15*4)), "")</f>
        <v/>
      </c>
      <c r="CO13" s="111" t="str">
        <f t="shared" ref="CO13" ca="1" si="502">IF(AND(NOT(ISBLANK(CN$2)), MOD(CN$2,$A$15)=0), -CO$1*SUM(OFFSET(CN5,0,0,1,$A$15*4)), "")</f>
        <v/>
      </c>
      <c r="CP13" s="111" t="str">
        <f t="shared" ref="CP13" ca="1" si="503">IF(AND(NOT(ISBLANK(CO$1)), MOD(CO$1,$A$15)=0), -CP$1*SUM(OFFSET(CO5,0,0,1,$A$15*4)), "")</f>
        <v/>
      </c>
      <c r="CQ13" s="123" t="str">
        <f t="shared" ref="CQ13" ca="1" si="504">IF(CR13&lt;&gt;"", $A$15&amp;" meses de café", "")</f>
        <v/>
      </c>
      <c r="CR13" s="111" t="str">
        <f t="shared" ref="CR13" ca="1" si="505">IF(AND(NOT(ISBLANK(CQ$1)), MOD(CQ$1,$A$15)=0), -CR$2*SUM(OFFSET(CQ5,0,0,1,$A$15*4)), "")</f>
        <v/>
      </c>
      <c r="CS13" s="111" t="str">
        <f t="shared" ref="CS13" ca="1" si="506">IF(AND(NOT(ISBLANK(CR$2)), MOD(CR$2,$A$15)=0), -CS$1*SUM(OFFSET(CR5,0,0,1,$A$15*4)), "")</f>
        <v/>
      </c>
      <c r="CT13" s="111" t="str">
        <f t="shared" ref="CT13" ca="1" si="507">IF(AND(NOT(ISBLANK(CS$1)), MOD(CS$1,$A$15)=0), -CT$1*SUM(OFFSET(CS5,0,0,1,$A$15*4)), "")</f>
        <v/>
      </c>
      <c r="CU13" s="123" t="str">
        <f t="shared" ref="CU13" ca="1" si="508">IF(CV13&lt;&gt;"", $A$15&amp;" meses de café", "")</f>
        <v>3 meses de café</v>
      </c>
      <c r="CV13" s="111">
        <f t="shared" ref="CV13" ca="1" si="509">IF(AND(NOT(ISBLANK(CU$1)), MOD(CU$1,$A$15)=0), -CV$2*SUM(OFFSET(CU5,0,0,1,$A$15*4)), "")</f>
        <v>-54896.029830373896</v>
      </c>
      <c r="CW13" s="111" t="str">
        <f t="shared" ref="CW13" ca="1" si="510">IF(AND(NOT(ISBLANK(CV$2)), MOD(CV$2,$A$15)=0), -CW$1*SUM(OFFSET(CV5,0,0,1,$A$15*4)), "")</f>
        <v/>
      </c>
      <c r="CX13" s="111" t="str">
        <f t="shared" ref="CX13" ca="1" si="511">IF(AND(NOT(ISBLANK(CW$1)), MOD(CW$1,$A$15)=0), -CX$1*SUM(OFFSET(CW5,0,0,1,$A$15*4)), "")</f>
        <v/>
      </c>
      <c r="CY13" s="123" t="str">
        <f t="shared" ref="CY13" ca="1" si="512">IF(CZ13&lt;&gt;"", $A$15&amp;" meses de café", "")</f>
        <v/>
      </c>
      <c r="CZ13" s="111" t="str">
        <f t="shared" ref="CZ13" ca="1" si="513">IF(AND(NOT(ISBLANK(CY$1)), MOD(CY$1,$A$15)=0), -CZ$2*SUM(OFFSET(CY5,0,0,1,$A$15*4)), "")</f>
        <v/>
      </c>
      <c r="DA13" s="111" t="str">
        <f t="shared" ref="DA13" ca="1" si="514">IF(AND(NOT(ISBLANK(CZ$2)), MOD(CZ$2,$A$15)=0), -DA$1*SUM(OFFSET(CZ5,0,0,1,$A$15*4)), "")</f>
        <v/>
      </c>
      <c r="DB13" s="111" t="str">
        <f t="shared" ref="DB13" ca="1" si="515">IF(AND(NOT(ISBLANK(DA$1)), MOD(DA$1,$A$15)=0), -DB$1*SUM(OFFSET(DA5,0,0,1,$A$15*4)), "")</f>
        <v/>
      </c>
      <c r="DC13" s="123" t="str">
        <f t="shared" ref="DC13" ca="1" si="516">IF(DD13&lt;&gt;"", $A$15&amp;" meses de café", "")</f>
        <v/>
      </c>
      <c r="DD13" s="111" t="str">
        <f t="shared" ref="DD13" ca="1" si="517">IF(AND(NOT(ISBLANK(DC$1)), MOD(DC$1,$A$15)=0), -DD$2*SUM(OFFSET(DC5,0,0,1,$A$15*4)), "")</f>
        <v/>
      </c>
      <c r="DE13" s="111" t="str">
        <f t="shared" ref="DE13" ca="1" si="518">IF(AND(NOT(ISBLANK(DD$2)), MOD(DD$2,$A$15)=0), -DE$1*SUM(OFFSET(DD5,0,0,1,$A$15*4)), "")</f>
        <v/>
      </c>
      <c r="DF13" s="111" t="str">
        <f t="shared" ref="DF13" ca="1" si="519">IF(AND(NOT(ISBLANK(DE$1)), MOD(DE$1,$A$15)=0), -DF$1*SUM(OFFSET(DE5,0,0,1,$A$15*4)), "")</f>
        <v/>
      </c>
      <c r="DG13" s="123" t="str">
        <f t="shared" ref="DG13" ca="1" si="520">IF(DH13&lt;&gt;"", $A$15&amp;" meses de café", "")</f>
        <v>3 meses de café</v>
      </c>
      <c r="DH13" s="111">
        <f t="shared" ref="DH13" ca="1" si="521">IF(AND(NOT(ISBLANK(DG$1)), MOD(DG$1,$A$15)=0), -DH$2*SUM(OFFSET(DG5,0,0,1,$A$15*4)), "")</f>
        <v>-65166.032735876259</v>
      </c>
      <c r="DI13" s="111" t="str">
        <f t="shared" ref="DI13" ca="1" si="522">IF(AND(NOT(ISBLANK(DH$2)), MOD(DH$2,$A$15)=0), -DI$1*SUM(OFFSET(DH5,0,0,1,$A$15*4)), "")</f>
        <v/>
      </c>
      <c r="DJ13" s="111" t="str">
        <f t="shared" ref="DJ13" ca="1" si="523">IF(AND(NOT(ISBLANK(DI$1)), MOD(DI$1,$A$15)=0), -DJ$1*SUM(OFFSET(DI5,0,0,1,$A$15*4)), "")</f>
        <v/>
      </c>
      <c r="DK13" s="123" t="str">
        <f t="shared" ref="DK13" ca="1" si="524">IF(DL13&lt;&gt;"", $A$15&amp;" meses de café", "")</f>
        <v/>
      </c>
      <c r="DL13" s="111" t="str">
        <f t="shared" ref="DL13" ca="1" si="525">IF(AND(NOT(ISBLANK(DK$1)), MOD(DK$1,$A$15)=0), -DL$2*SUM(OFFSET(DK5,0,0,1,$A$15*4)), "")</f>
        <v/>
      </c>
      <c r="DM13" s="111" t="str">
        <f t="shared" ref="DM13" ca="1" si="526">IF(AND(NOT(ISBLANK(DL$2)), MOD(DL$2,$A$15)=0), -DM$1*SUM(OFFSET(DL5,0,0,1,$A$15*4)), "")</f>
        <v/>
      </c>
      <c r="DN13" s="111" t="str">
        <f t="shared" ref="DN13" ca="1" si="527">IF(AND(NOT(ISBLANK(DM$1)), MOD(DM$1,$A$15)=0), -DN$1*SUM(OFFSET(DM5,0,0,1,$A$15*4)), "")</f>
        <v/>
      </c>
      <c r="DO13" s="123" t="str">
        <f t="shared" ref="DO13" ca="1" si="528">IF(DP13&lt;&gt;"", $A$15&amp;" meses de café", "")</f>
        <v/>
      </c>
      <c r="DP13" s="111" t="str">
        <f t="shared" ref="DP13" ca="1" si="529">IF(AND(NOT(ISBLANK(DO$1)), MOD(DO$1,$A$15)=0), -DP$2*SUM(OFFSET(DO5,0,0,1,$A$15*4)), "")</f>
        <v/>
      </c>
      <c r="DQ13" s="111" t="str">
        <f t="shared" ref="DQ13" ca="1" si="530">IF(AND(NOT(ISBLANK(DP$2)), MOD(DP$2,$A$15)=0), -DQ$1*SUM(OFFSET(DP5,0,0,1,$A$15*4)), "")</f>
        <v/>
      </c>
      <c r="DR13" s="111" t="str">
        <f t="shared" ref="DR13" ca="1" si="531">IF(AND(NOT(ISBLANK(DQ$1)), MOD(DQ$1,$A$15)=0), -DR$1*SUM(OFFSET(DQ5,0,0,1,$A$15*4)), "")</f>
        <v/>
      </c>
      <c r="DS13" s="123" t="str">
        <f t="shared" ref="DS13" ca="1" si="532">IF(DT13&lt;&gt;"", $A$15&amp;" meses de café", "")</f>
        <v>3 meses de café</v>
      </c>
      <c r="DT13" s="111">
        <f t="shared" ref="DT13" ca="1" si="533">IF(AND(NOT(ISBLANK(DS$1)), MOD(DS$1,$A$15)=0), -DT$2*SUM(OFFSET(DS5,0,0,1,$A$15*4)), "")</f>
        <v>-65880.657316753059</v>
      </c>
      <c r="DU13" s="111" t="str">
        <f t="shared" ref="DU13" ca="1" si="534">IF(AND(NOT(ISBLANK(DT$2)), MOD(DT$2,$A$15)=0), -DU$1*SUM(OFFSET(DT5,0,0,1,$A$15*4)), "")</f>
        <v/>
      </c>
      <c r="DV13" s="111" t="str">
        <f t="shared" ref="DV13" ca="1" si="535">IF(AND(NOT(ISBLANK(DU$1)), MOD(DU$1,$A$15)=0), -DV$1*SUM(OFFSET(DU5,0,0,1,$A$15*4)), "")</f>
        <v/>
      </c>
      <c r="DW13" s="123" t="str">
        <f t="shared" ref="DW13" ca="1" si="536">IF(DX13&lt;&gt;"", $A$15&amp;" meses de café", "")</f>
        <v/>
      </c>
      <c r="DX13" s="111" t="str">
        <f t="shared" ref="DX13" ca="1" si="537">IF(AND(NOT(ISBLANK(DW$1)), MOD(DW$1,$A$15)=0), -DX$2*SUM(OFFSET(DW5,0,0,1,$A$15*4)), "")</f>
        <v/>
      </c>
      <c r="DY13" s="111" t="str">
        <f t="shared" ref="DY13" ca="1" si="538">IF(AND(NOT(ISBLANK(DX$2)), MOD(DX$2,$A$15)=0), -DY$1*SUM(OFFSET(DX5,0,0,1,$A$15*4)), "")</f>
        <v/>
      </c>
      <c r="DZ13" s="111" t="str">
        <f t="shared" ref="DZ13" ca="1" si="539">IF(AND(NOT(ISBLANK(DY$1)), MOD(DY$1,$A$15)=0), -DZ$1*SUM(OFFSET(DY5,0,0,1,$A$15*4)), "")</f>
        <v/>
      </c>
      <c r="EA13" s="123" t="str">
        <f t="shared" ref="EA13" ca="1" si="540">IF(EB13&lt;&gt;"", $A$15&amp;" meses de café", "")</f>
        <v/>
      </c>
      <c r="EB13" s="111" t="str">
        <f t="shared" ref="EB13" ca="1" si="541">IF(AND(NOT(ISBLANK(EA$1)), MOD(EA$1,$A$15)=0), -EB$2*SUM(OFFSET(EA5,0,0,1,$A$15*4)), "")</f>
        <v/>
      </c>
      <c r="EC13" s="111" t="str">
        <f t="shared" ref="EC13" ca="1" si="542">IF(AND(NOT(ISBLANK(EB$2)), MOD(EB$2,$A$15)=0), -EC$1*SUM(OFFSET(EB5,0,0,1,$A$15*4)), "")</f>
        <v/>
      </c>
      <c r="ED13" s="111" t="str">
        <f t="shared" ref="ED13" ca="1" si="543">IF(AND(NOT(ISBLANK(EC$1)), MOD(EC$1,$A$15)=0), -ED$1*SUM(OFFSET(EC5,0,0,1,$A$15*4)), "")</f>
        <v/>
      </c>
      <c r="EE13" s="123" t="str">
        <f t="shared" ref="EE13" ca="1" si="544">IF(EF13&lt;&gt;"", $A$15&amp;" meses de café", "")</f>
        <v>3 meses de café</v>
      </c>
      <c r="EF13" s="111">
        <f t="shared" ref="EF13" ca="1" si="545">IF(AND(NOT(ISBLANK(EE$1)), MOD(EE$1,$A$15)=0), -EF$2*SUM(OFFSET(EE5,0,0,1,$A$15*4)), "")</f>
        <v>-72394.165434285751</v>
      </c>
      <c r="EG13" s="111" t="str">
        <f t="shared" ref="EG13" ca="1" si="546">IF(AND(NOT(ISBLANK(EF$2)), MOD(EF$2,$A$15)=0), -EG$1*SUM(OFFSET(EF5,0,0,1,$A$15*4)), "")</f>
        <v/>
      </c>
      <c r="EH13" s="111" t="str">
        <f t="shared" ref="EH13" ca="1" si="547">IF(AND(NOT(ISBLANK(EG$1)), MOD(EG$1,$A$15)=0), -EH$1*SUM(OFFSET(EG5,0,0,1,$A$15*4)), "")</f>
        <v/>
      </c>
      <c r="EI13" s="123" t="str">
        <f t="shared" ref="EI13" ca="1" si="548">IF(EJ13&lt;&gt;"", $A$15&amp;" meses de café", "")</f>
        <v/>
      </c>
      <c r="EJ13" s="111" t="str">
        <f t="shared" ref="EJ13" ca="1" si="549">IF(AND(NOT(ISBLANK(EI$1)), MOD(EI$1,$A$15)=0), -EJ$2*SUM(OFFSET(EI5,0,0,1,$A$15*4)), "")</f>
        <v/>
      </c>
      <c r="EK13" s="111" t="str">
        <f t="shared" ref="EK13" ca="1" si="550">IF(AND(NOT(ISBLANK(EJ$2)), MOD(EJ$2,$A$15)=0), -EK$1*SUM(OFFSET(EJ5,0,0,1,$A$15*4)), "")</f>
        <v/>
      </c>
      <c r="EL13" s="111" t="str">
        <f t="shared" ref="EL13" ca="1" si="551">IF(AND(NOT(ISBLANK(EK$1)), MOD(EK$1,$A$15)=0), -EL$1*SUM(OFFSET(EK5,0,0,1,$A$15*4)), "")</f>
        <v/>
      </c>
      <c r="EM13" s="123" t="str">
        <f t="shared" ref="EM13" ca="1" si="552">IF(EN13&lt;&gt;"", $A$15&amp;" meses de café", "")</f>
        <v/>
      </c>
      <c r="EN13" s="111" t="str">
        <f t="shared" ref="EN13" ca="1" si="553">IF(AND(NOT(ISBLANK(EM$1)), MOD(EM$1,$A$15)=0), -EN$2*SUM(OFFSET(EM5,0,0,1,$A$15*4)), "")</f>
        <v/>
      </c>
      <c r="EO13" s="111" t="str">
        <f t="shared" ref="EO13" ca="1" si="554">IF(AND(NOT(ISBLANK(EN$2)), MOD(EN$2,$A$15)=0), -EO$1*SUM(OFFSET(EN5,0,0,1,$A$15*4)), "")</f>
        <v/>
      </c>
      <c r="EP13" s="111" t="str">
        <f t="shared" ref="EP13" ca="1" si="555">IF(AND(NOT(ISBLANK(EO$1)), MOD(EO$1,$A$15)=0), -EP$1*SUM(OFFSET(EO5,0,0,1,$A$15*4)), "")</f>
        <v/>
      </c>
      <c r="EQ13" s="123" t="str">
        <f t="shared" ref="EQ13" ca="1" si="556">IF(ER13&lt;&gt;"", $A$15&amp;" meses de café", "")</f>
        <v>3 meses de café</v>
      </c>
      <c r="ER13" s="111">
        <f t="shared" ref="ER13" ca="1" si="557">IF(AND(NOT(ISBLANK(EQ$1)), MOD(EQ$1,$A$15)=0), -ER$2*SUM(OFFSET(EQ5,0,0,1,$A$15*4)), "")</f>
        <v>-84298.481820652611</v>
      </c>
      <c r="ES13" s="111" t="str">
        <f t="shared" ref="ES13" ca="1" si="558">IF(AND(NOT(ISBLANK(ER$2)), MOD(ER$2,$A$15)=0), -ES$1*SUM(OFFSET(ER5,0,0,1,$A$15*4)), "")</f>
        <v/>
      </c>
      <c r="ET13" s="111" t="str">
        <f t="shared" ref="ET13" ca="1" si="559">IF(AND(NOT(ISBLANK(ES$1)), MOD(ES$1,$A$15)=0), -ET$1*SUM(OFFSET(ES5,0,0,1,$A$15*4)), "")</f>
        <v/>
      </c>
      <c r="EU13" s="123" t="str">
        <f t="shared" ref="EU13" ca="1" si="560">IF(EV13&lt;&gt;"", $A$15&amp;" meses de café", "")</f>
        <v/>
      </c>
      <c r="EV13" s="111" t="str">
        <f t="shared" ref="EV13" ca="1" si="561">IF(AND(NOT(ISBLANK(EU$1)), MOD(EU$1,$A$15)=0), -EV$2*SUM(OFFSET(EU5,0,0,1,$A$15*4)), "")</f>
        <v/>
      </c>
      <c r="EW13" s="111" t="str">
        <f t="shared" ref="EW13" ca="1" si="562">IF(AND(NOT(ISBLANK(EV$2)), MOD(EV$2,$A$15)=0), -EW$1*SUM(OFFSET(EV5,0,0,1,$A$15*4)), "")</f>
        <v/>
      </c>
      <c r="EX13" s="111" t="str">
        <f t="shared" ref="EX13" ca="1" si="563">IF(AND(NOT(ISBLANK(EW$1)), MOD(EW$1,$A$15)=0), -EX$1*SUM(OFFSET(EW5,0,0,1,$A$15*4)), "")</f>
        <v/>
      </c>
      <c r="EY13" s="123" t="str">
        <f t="shared" ref="EY13" ca="1" si="564">IF(EZ13&lt;&gt;"", $A$15&amp;" meses de café", "")</f>
        <v/>
      </c>
      <c r="EZ13" s="111" t="str">
        <f t="shared" ref="EZ13" ca="1" si="565">IF(AND(NOT(ISBLANK(EY$1)), MOD(EY$1,$A$15)=0), -EZ$2*SUM(OFFSET(EY5,0,0,1,$A$15*4)), "")</f>
        <v/>
      </c>
      <c r="FA13" s="111" t="str">
        <f t="shared" ref="FA13" ca="1" si="566">IF(AND(NOT(ISBLANK(EZ$2)), MOD(EZ$2,$A$15)=0), -FA$1*SUM(OFFSET(EZ5,0,0,1,$A$15*4)), "")</f>
        <v/>
      </c>
      <c r="FB13" s="111" t="str">
        <f t="shared" ref="FB13" ca="1" si="567">IF(AND(NOT(ISBLANK(FA$1)), MOD(FA$1,$A$15)=0), -FB$1*SUM(OFFSET(FA5,0,0,1,$A$15*4)), "")</f>
        <v/>
      </c>
      <c r="FC13" s="123" t="str">
        <f t="shared" ref="FC13" ca="1" si="568">IF(FD13&lt;&gt;"", $A$15&amp;" meses de café", "")</f>
        <v>3 meses de café</v>
      </c>
      <c r="FD13" s="111">
        <f t="shared" ref="FD13" ca="1" si="569">IF(AND(NOT(ISBLANK(FC$1)), MOD(FC$1,$A$15)=0), -FD$2*SUM(OFFSET(FC5,0,0,1,$A$15*4)), "")</f>
        <v>-115955.27801433374</v>
      </c>
      <c r="FE13" s="111" t="str">
        <f t="shared" ref="FE13" ca="1" si="570">IF(AND(NOT(ISBLANK(FD$2)), MOD(FD$2,$A$15)=0), -FE$1*SUM(OFFSET(FD5,0,0,1,$A$15*4)), "")</f>
        <v/>
      </c>
      <c r="FF13" s="111" t="str">
        <f t="shared" ref="FF13" ca="1" si="571">IF(AND(NOT(ISBLANK(FE$1)), MOD(FE$1,$A$15)=0), -FF$1*SUM(OFFSET(FE5,0,0,1,$A$15*4)), "")</f>
        <v/>
      </c>
      <c r="FG13" s="123" t="str">
        <f t="shared" ref="FG13" ca="1" si="572">IF(FH13&lt;&gt;"", $A$15&amp;" meses de café", "")</f>
        <v/>
      </c>
      <c r="FH13" s="111" t="str">
        <f t="shared" ref="FH13" ca="1" si="573">IF(AND(NOT(ISBLANK(FG$1)), MOD(FG$1,$A$15)=0), -FH$2*SUM(OFFSET(FG5,0,0,1,$A$15*4)), "")</f>
        <v/>
      </c>
      <c r="FI13" s="111" t="str">
        <f t="shared" ref="FI13" ca="1" si="574">IF(AND(NOT(ISBLANK(FH$2)), MOD(FH$2,$A$15)=0), -FI$1*SUM(OFFSET(FH5,0,0,1,$A$15*4)), "")</f>
        <v/>
      </c>
      <c r="FJ13" s="111" t="str">
        <f t="shared" ref="FJ13" ca="1" si="575">IF(AND(NOT(ISBLANK(FI$1)), MOD(FI$1,$A$15)=0), -FJ$1*SUM(OFFSET(FI5,0,0,1,$A$15*4)), "")</f>
        <v/>
      </c>
      <c r="FK13" s="123" t="str">
        <f t="shared" ref="FK13" ca="1" si="576">IF(FL13&lt;&gt;"", $A$15&amp;" meses de café", "")</f>
        <v/>
      </c>
      <c r="FL13" s="111" t="str">
        <f t="shared" ref="FL13" ca="1" si="577">IF(AND(NOT(ISBLANK(FK$1)), MOD(FK$1,$A$15)=0), -FL$2*SUM(OFFSET(FK5,0,0,1,$A$15*4)), "")</f>
        <v/>
      </c>
      <c r="FM13" s="111" t="str">
        <f t="shared" ref="FM13" ca="1" si="578">IF(AND(NOT(ISBLANK(FL$2)), MOD(FL$2,$A$15)=0), -FM$1*SUM(OFFSET(FL5,0,0,1,$A$15*4)), "")</f>
        <v/>
      </c>
      <c r="FN13" s="111" t="str">
        <f t="shared" ref="FN13" ca="1" si="579">IF(AND(NOT(ISBLANK(FM$1)), MOD(FM$1,$A$15)=0), -FN$1*SUM(OFFSET(FM5,0,0,1,$A$15*4)), "")</f>
        <v/>
      </c>
      <c r="FO13" s="123" t="str">
        <f t="shared" ref="FO13" ca="1" si="580">IF(FP13&lt;&gt;"", $A$15&amp;" meses de café", "")</f>
        <v>3 meses de café</v>
      </c>
      <c r="FP13" s="111">
        <f t="shared" ref="FP13" ca="1" si="581">IF(AND(NOT(ISBLANK(FO$1)), MOD(FO$1,$A$15)=0), -FP$2*SUM(OFFSET(FO5,0,0,1,$A$15*4)), "")</f>
        <v>-120968.23625146542</v>
      </c>
      <c r="FQ13" s="111" t="str">
        <f t="shared" ref="FQ13" ca="1" si="582">IF(AND(NOT(ISBLANK(FP$2)), MOD(FP$2,$A$15)=0), -FQ$1*SUM(OFFSET(FP5,0,0,1,$A$15*4)), "")</f>
        <v/>
      </c>
      <c r="FR13" s="111" t="str">
        <f t="shared" ref="FR13" ca="1" si="583">IF(AND(NOT(ISBLANK(FQ$1)), MOD(FQ$1,$A$15)=0), -FR$1*SUM(OFFSET(FQ5,0,0,1,$A$15*4)), "")</f>
        <v/>
      </c>
      <c r="FS13" s="123" t="str">
        <f t="shared" ref="FS13" ca="1" si="584">IF(FT13&lt;&gt;"", $A$15&amp;" meses de café", "")</f>
        <v/>
      </c>
      <c r="FT13" s="111" t="str">
        <f t="shared" ref="FT13" ca="1" si="585">IF(AND(NOT(ISBLANK(FS$1)), MOD(FS$1,$A$15)=0), -FT$2*SUM(OFFSET(FS5,0,0,1,$A$15*4)), "")</f>
        <v/>
      </c>
      <c r="FU13" s="111" t="str">
        <f t="shared" ref="FU13" ca="1" si="586">IF(AND(NOT(ISBLANK(FT$2)), MOD(FT$2,$A$15)=0), -FU$1*SUM(OFFSET(FT5,0,0,1,$A$15*4)), "")</f>
        <v/>
      </c>
      <c r="FV13" s="111" t="str">
        <f t="shared" ref="FV13" ca="1" si="587">IF(AND(NOT(ISBLANK(FU$1)), MOD(FU$1,$A$15)=0), -FV$1*SUM(OFFSET(FU5,0,0,1,$A$15*4)), "")</f>
        <v/>
      </c>
      <c r="FW13" s="123" t="str">
        <f t="shared" ref="FW13" ca="1" si="588">IF(FX13&lt;&gt;"", $A$15&amp;" meses de café", "")</f>
        <v/>
      </c>
      <c r="FX13" s="111" t="str">
        <f t="shared" ref="FX13" ca="1" si="589">IF(AND(NOT(ISBLANK(FW$1)), MOD(FW$1,$A$15)=0), -FX$2*SUM(OFFSET(FW5,0,0,1,$A$15*4)), "")</f>
        <v/>
      </c>
      <c r="FY13" s="111" t="str">
        <f t="shared" ref="FY13" ca="1" si="590">IF(AND(NOT(ISBLANK(FX$2)), MOD(FX$2,$A$15)=0), -FY$1*SUM(OFFSET(FX5,0,0,1,$A$15*4)), "")</f>
        <v/>
      </c>
      <c r="FZ13" s="111" t="str">
        <f t="shared" ref="FZ13" ca="1" si="591">IF(AND(NOT(ISBLANK(FY$1)), MOD(FY$1,$A$15)=0), -FZ$1*SUM(OFFSET(FY5,0,0,1,$A$15*4)), "")</f>
        <v/>
      </c>
      <c r="GA13" s="123" t="str">
        <f t="shared" ref="GA13" ca="1" si="592">IF(GB13&lt;&gt;"", $A$15&amp;" meses de café", "")</f>
        <v>3 meses de café</v>
      </c>
      <c r="GB13" s="111">
        <f t="shared" ref="GB13" ca="1" si="593">IF(AND(NOT(ISBLANK(GA$1)), MOD(GA$1,$A$15)=0), -GB$2*SUM(OFFSET(GA5,0,0,1,$A$15*4)), "")</f>
        <v>-125063.40682363554</v>
      </c>
      <c r="GC13" s="111" t="str">
        <f t="shared" ref="GC13" ca="1" si="594">IF(AND(NOT(ISBLANK(GB$2)), MOD(GB$2,$A$15)=0), -GC$1*SUM(OFFSET(GB5,0,0,1,$A$15*4)), "")</f>
        <v/>
      </c>
      <c r="GD13" s="111" t="str">
        <f t="shared" ref="GD13" ca="1" si="595">IF(AND(NOT(ISBLANK(GC$1)), MOD(GC$1,$A$15)=0), -GD$1*SUM(OFFSET(GC5,0,0,1,$A$15*4)), "")</f>
        <v/>
      </c>
      <c r="GE13" s="123" t="str">
        <f t="shared" ref="GE13" ca="1" si="596">IF(GF13&lt;&gt;"", $A$15&amp;" meses de café", "")</f>
        <v/>
      </c>
      <c r="GF13" s="111" t="str">
        <f t="shared" ref="GF13" ca="1" si="597">IF(AND(NOT(ISBLANK(GE$1)), MOD(GE$1,$A$15)=0), -GF$2*SUM(OFFSET(GE5,0,0,1,$A$15*4)), "")</f>
        <v/>
      </c>
      <c r="GG13" s="111" t="str">
        <f t="shared" ref="GG13" ca="1" si="598">IF(AND(NOT(ISBLANK(GF$2)), MOD(GF$2,$A$15)=0), -GG$1*SUM(OFFSET(GF5,0,0,1,$A$15*4)), "")</f>
        <v/>
      </c>
      <c r="GH13" s="111" t="str">
        <f t="shared" ref="GH13" ca="1" si="599">IF(AND(NOT(ISBLANK(GG$1)), MOD(GG$1,$A$15)=0), -GH$1*SUM(OFFSET(GG5,0,0,1,$A$15*4)), "")</f>
        <v/>
      </c>
      <c r="GI13" s="123" t="str">
        <f t="shared" ref="GI13" ca="1" si="600">IF(GJ13&lt;&gt;"", $A$15&amp;" meses de café", "")</f>
        <v/>
      </c>
      <c r="GJ13" s="111" t="str">
        <f t="shared" ref="GJ13" ca="1" si="601">IF(AND(NOT(ISBLANK(GI$1)), MOD(GI$1,$A$15)=0), -GJ$2*SUM(OFFSET(GI5,0,0,1,$A$15*4)), "")</f>
        <v/>
      </c>
      <c r="GK13" s="111" t="str">
        <f t="shared" ref="GK13" ca="1" si="602">IF(AND(NOT(ISBLANK(GJ$2)), MOD(GJ$2,$A$15)=0), -GK$1*SUM(OFFSET(GJ5,0,0,1,$A$15*4)), "")</f>
        <v/>
      </c>
      <c r="GL13" s="111" t="str">
        <f t="shared" ref="GL13" ca="1" si="603">IF(AND(NOT(ISBLANK(GK$1)), MOD(GK$1,$A$15)=0), -GL$1*SUM(OFFSET(GK5,0,0,1,$A$15*4)), "")</f>
        <v/>
      </c>
      <c r="GM13" s="123" t="str">
        <f t="shared" ref="GM13" ca="1" si="604">IF(GN13&lt;&gt;"", $A$15&amp;" meses de café", "")</f>
        <v>3 meses de café</v>
      </c>
      <c r="GN13" s="111">
        <f t="shared" ref="GN13" ca="1" si="605">IF(AND(NOT(ISBLANK(GM$1)), MOD(GM$1,$A$15)=0), -GN$2*SUM(OFFSET(GM5,0,0,1,$A$15*4)), "")</f>
        <v>-131766.93226089046</v>
      </c>
      <c r="GO13" s="111" t="str">
        <f t="shared" ref="GO13" ca="1" si="606">IF(AND(NOT(ISBLANK(GN$2)), MOD(GN$2,$A$15)=0), -GO$1*SUM(OFFSET(GN5,0,0,1,$A$15*4)), "")</f>
        <v/>
      </c>
      <c r="GP13" s="111" t="str">
        <f t="shared" ref="GP13" ca="1" si="607">IF(AND(NOT(ISBLANK(GO$1)), MOD(GO$1,$A$15)=0), -GP$1*SUM(OFFSET(GO5,0,0,1,$A$15*4)), "")</f>
        <v/>
      </c>
      <c r="GQ13" s="123" t="str">
        <f t="shared" ref="GQ13" ca="1" si="608">IF(GR13&lt;&gt;"", $A$15&amp;" meses de café", "")</f>
        <v/>
      </c>
      <c r="GR13" s="111" t="str">
        <f t="shared" ref="GR13" ca="1" si="609">IF(AND(NOT(ISBLANK(GQ$1)), MOD(GQ$1,$A$15)=0), -GR$2*SUM(OFFSET(GQ5,0,0,1,$A$15*4)), "")</f>
        <v/>
      </c>
      <c r="GS13" s="111" t="str">
        <f t="shared" ref="GS13" ca="1" si="610">IF(AND(NOT(ISBLANK(GR$2)), MOD(GR$2,$A$15)=0), -GS$1*SUM(OFFSET(GR5,0,0,1,$A$15*4)), "")</f>
        <v/>
      </c>
      <c r="GT13" s="111" t="str">
        <f t="shared" ref="GT13" ca="1" si="611">IF(AND(NOT(ISBLANK(GS$1)), MOD(GS$1,$A$15)=0), -GT$1*SUM(OFFSET(GS5,0,0,1,$A$15*4)), "")</f>
        <v/>
      </c>
      <c r="GU13" s="123" t="str">
        <f t="shared" ref="GU13" ca="1" si="612">IF(GV13&lt;&gt;"", $A$15&amp;" meses de café", "")</f>
        <v/>
      </c>
      <c r="GV13" s="111" t="str">
        <f t="shared" ref="GV13" ca="1" si="613">IF(AND(NOT(ISBLANK(GU$1)), MOD(GU$1,$A$15)=0), -GV$2*SUM(OFFSET(GU5,0,0,1,$A$15*4)), "")</f>
        <v/>
      </c>
      <c r="GW13" s="111" t="str">
        <f t="shared" ref="GW13" ca="1" si="614">IF(AND(NOT(ISBLANK(GV$2)), MOD(GV$2,$A$15)=0), -GW$1*SUM(OFFSET(GV5,0,0,1,$A$15*4)), "")</f>
        <v/>
      </c>
      <c r="GX13" s="111" t="str">
        <f t="shared" ref="GX13" ca="1" si="615">IF(AND(NOT(ISBLANK(GW$1)), MOD(GW$1,$A$15)=0), -GX$1*SUM(OFFSET(GW5,0,0,1,$A$15*4)), "")</f>
        <v/>
      </c>
      <c r="GY13" s="123" t="str">
        <f t="shared" ref="GY13" ca="1" si="616">IF(GZ13&lt;&gt;"", $A$15&amp;" meses de café", "")</f>
        <v>3 meses de café</v>
      </c>
      <c r="GZ13" s="111">
        <f t="shared" ref="GZ13" ca="1" si="617">IF(AND(NOT(ISBLANK(GY$1)), MOD(GY$1,$A$15)=0), -GZ$2*SUM(OFFSET(GY5,0,0,1,$A$15*4)), "")</f>
        <v>-130788.13176413682</v>
      </c>
      <c r="HA13" s="111" t="str">
        <f t="shared" ref="HA13" ca="1" si="618">IF(AND(NOT(ISBLANK(GZ$2)), MOD(GZ$2,$A$15)=0), -HA$1*SUM(OFFSET(GZ5,0,0,1,$A$15*4)), "")</f>
        <v/>
      </c>
      <c r="HB13" s="111" t="str">
        <f t="shared" ref="HB13" ca="1" si="619">IF(AND(NOT(ISBLANK(HA$1)), MOD(HA$1,$A$15)=0), -HB$1*SUM(OFFSET(HA5,0,0,1,$A$15*4)), "")</f>
        <v/>
      </c>
      <c r="HC13" s="123" t="str">
        <f t="shared" ref="HC13" ca="1" si="620">IF(HD13&lt;&gt;"", $A$15&amp;" meses de café", "")</f>
        <v/>
      </c>
      <c r="HD13" s="111" t="str">
        <f t="shared" ref="HD13" ca="1" si="621">IF(AND(NOT(ISBLANK(HC$1)), MOD(HC$1,$A$15)=0), -HD$2*SUM(OFFSET(HC5,0,0,1,$A$15*4)), "")</f>
        <v/>
      </c>
      <c r="HE13" s="111" t="str">
        <f t="shared" ref="HE13" ca="1" si="622">IF(AND(NOT(ISBLANK(HD$2)), MOD(HD$2,$A$15)=0), -HE$1*SUM(OFFSET(HD5,0,0,1,$A$15*4)), "")</f>
        <v/>
      </c>
      <c r="HF13" s="111" t="str">
        <f t="shared" ref="HF13" ca="1" si="623">IF(AND(NOT(ISBLANK(HE$1)), MOD(HE$1,$A$15)=0), -HF$1*SUM(OFFSET(HE5,0,0,1,$A$15*4)), "")</f>
        <v/>
      </c>
      <c r="HG13" s="123" t="str">
        <f t="shared" ref="HG13" ca="1" si="624">IF(HH13&lt;&gt;"", $A$15&amp;" meses de café", "")</f>
        <v/>
      </c>
      <c r="HH13" s="111" t="str">
        <f t="shared" ref="HH13" ca="1" si="625">IF(AND(NOT(ISBLANK(HG$1)), MOD(HG$1,$A$15)=0), -HH$2*SUM(OFFSET(HG5,0,0,1,$A$15*4)), "")</f>
        <v/>
      </c>
      <c r="HI13" s="111" t="str">
        <f t="shared" ref="HI13" ca="1" si="626">IF(AND(NOT(ISBLANK(HH$2)), MOD(HH$2,$A$15)=0), -HI$1*SUM(OFFSET(HH5,0,0,1,$A$15*4)), "")</f>
        <v/>
      </c>
      <c r="HJ13" s="111" t="str">
        <f t="shared" ref="HJ13" ca="1" si="627">IF(AND(NOT(ISBLANK(HI$1)), MOD(HI$1,$A$15)=0), -HJ$1*SUM(OFFSET(HI5,0,0,1,$A$15*4)), "")</f>
        <v/>
      </c>
      <c r="HK13" s="123" t="str">
        <f t="shared" ref="HK13" ca="1" si="628">IF(HL13&lt;&gt;"", $A$15&amp;" meses de café", "")</f>
        <v>3 meses de café</v>
      </c>
      <c r="HL13" s="111">
        <f t="shared" ref="HL13" ca="1" si="629">IF(AND(NOT(ISBLANK(HK$1)), MOD(HK$1,$A$15)=0), -HL$2*SUM(OFFSET(HK5,0,0,1,$A$15*4)), "")</f>
        <v>-125127.65161876647</v>
      </c>
      <c r="HM13" s="111" t="str">
        <f t="shared" ref="HM13" ca="1" si="630">IF(AND(NOT(ISBLANK(HL$2)), MOD(HL$2,$A$15)=0), -HM$1*SUM(OFFSET(HL5,0,0,1,$A$15*4)), "")</f>
        <v/>
      </c>
      <c r="HN13" s="111" t="str">
        <f t="shared" ref="HN13" ca="1" si="631">IF(AND(NOT(ISBLANK(HM$1)), MOD(HM$1,$A$15)=0), -HN$1*SUM(OFFSET(HM5,0,0,1,$A$15*4)), "")</f>
        <v/>
      </c>
      <c r="HO13" s="123" t="str">
        <f t="shared" ref="HO13" ca="1" si="632">IF(HP13&lt;&gt;"", $A$15&amp;" meses de café", "")</f>
        <v/>
      </c>
      <c r="HP13" s="111" t="str">
        <f t="shared" ref="HP13" ca="1" si="633">IF(AND(NOT(ISBLANK(HO$1)), MOD(HO$1,$A$15)=0), -HP$2*SUM(OFFSET(HO5,0,0,1,$A$15*4)), "")</f>
        <v/>
      </c>
      <c r="HQ13" s="111" t="str">
        <f t="shared" ref="HQ13" ca="1" si="634">IF(AND(NOT(ISBLANK(HP$2)), MOD(HP$2,$A$15)=0), -HQ$1*SUM(OFFSET(HP5,0,0,1,$A$15*4)), "")</f>
        <v/>
      </c>
      <c r="HR13" s="111" t="str">
        <f t="shared" ref="HR13" ca="1" si="635">IF(AND(NOT(ISBLANK(HQ$1)), MOD(HQ$1,$A$15)=0), -HR$1*SUM(OFFSET(HQ5,0,0,1,$A$15*4)), "")</f>
        <v/>
      </c>
      <c r="HS13" s="123" t="str">
        <f t="shared" ref="HS13" ca="1" si="636">IF(HT13&lt;&gt;"", $A$15&amp;" meses de café", "")</f>
        <v/>
      </c>
      <c r="HT13" s="111" t="str">
        <f t="shared" ref="HT13" ca="1" si="637">IF(AND(NOT(ISBLANK(HS$1)), MOD(HS$1,$A$15)=0), -HT$2*SUM(OFFSET(HS5,0,0,1,$A$15*4)), "")</f>
        <v/>
      </c>
      <c r="HU13" s="111" t="str">
        <f t="shared" ref="HU13" ca="1" si="638">IF(AND(NOT(ISBLANK(HT$2)), MOD(HT$2,$A$15)=0), -HU$1*SUM(OFFSET(HT5,0,0,1,$A$15*4)), "")</f>
        <v/>
      </c>
      <c r="HV13" s="111" t="str">
        <f t="shared" ref="HV13" ca="1" si="639">IF(AND(NOT(ISBLANK(HU$1)), MOD(HU$1,$A$15)=0), -HV$1*SUM(OFFSET(HU5,0,0,1,$A$15*4)), "")</f>
        <v/>
      </c>
      <c r="HW13" s="123" t="str">
        <f t="shared" ref="HW13" ca="1" si="640">IF(HX13&lt;&gt;"", $A$15&amp;" meses de café", "")</f>
        <v>3 meses de café</v>
      </c>
      <c r="HX13" s="111">
        <f t="shared" ref="HX13" ca="1" si="641">IF(AND(NOT(ISBLANK(HW$1)), MOD(HW$1,$A$15)=0), -HX$2*SUM(OFFSET(HW5,0,0,1,$A$15*4)), "")</f>
        <v>-116266.60960672949</v>
      </c>
      <c r="HY13" s="111" t="str">
        <f t="shared" ref="HY13" ca="1" si="642">IF(AND(NOT(ISBLANK(HX$2)), MOD(HX$2,$A$15)=0), -HY$1*SUM(OFFSET(HX5,0,0,1,$A$15*4)), "")</f>
        <v/>
      </c>
      <c r="HZ13" s="111" t="str">
        <f t="shared" ref="HZ13" ca="1" si="643">IF(AND(NOT(ISBLANK(HY$1)), MOD(HY$1,$A$15)=0), -HZ$1*SUM(OFFSET(HY5,0,0,1,$A$15*4)), "")</f>
        <v/>
      </c>
      <c r="IA13" s="123" t="str">
        <f t="shared" ref="IA13" ca="1" si="644">IF(IB13&lt;&gt;"", $A$15&amp;" meses de café", "")</f>
        <v/>
      </c>
      <c r="IB13" s="111" t="str">
        <f t="shared" ref="IB13" ca="1" si="645">IF(AND(NOT(ISBLANK(IA$1)), MOD(IA$1,$A$15)=0), -IB$2*SUM(OFFSET(IA5,0,0,1,$A$15*4)), "")</f>
        <v/>
      </c>
      <c r="IC13" s="111" t="str">
        <f t="shared" ref="IC13" ca="1" si="646">IF(AND(NOT(ISBLANK(IB$2)), MOD(IB$2,$A$15)=0), -IC$1*SUM(OFFSET(IB5,0,0,1,$A$15*4)), "")</f>
        <v/>
      </c>
      <c r="ID13" s="111" t="str">
        <f t="shared" ref="ID13" ca="1" si="647">IF(AND(NOT(ISBLANK(IC$1)), MOD(IC$1,$A$15)=0), -ID$1*SUM(OFFSET(IC5,0,0,1,$A$15*4)), "")</f>
        <v/>
      </c>
      <c r="IE13" s="123" t="str">
        <f t="shared" ref="IE13" ca="1" si="648">IF(IF13&lt;&gt;"", $A$15&amp;" meses de café", "")</f>
        <v/>
      </c>
      <c r="IF13" s="111" t="str">
        <f t="shared" ref="IF13" ca="1" si="649">IF(AND(NOT(ISBLANK(IE$1)), MOD(IE$1,$A$15)=0), -IF$2*SUM(OFFSET(IE5,0,0,1,$A$15*4)), "")</f>
        <v/>
      </c>
      <c r="IG13" s="111" t="str">
        <f t="shared" ref="IG13" ca="1" si="650">IF(AND(NOT(ISBLANK(IF$2)), MOD(IF$2,$A$15)=0), -IG$1*SUM(OFFSET(IF5,0,0,1,$A$15*4)), "")</f>
        <v/>
      </c>
      <c r="IH13" s="111" t="str">
        <f t="shared" ref="IH13" ca="1" si="651">IF(AND(NOT(ISBLANK(IG$1)), MOD(IG$1,$A$15)=0), -IH$1*SUM(OFFSET(IG5,0,0,1,$A$15*4)), "")</f>
        <v/>
      </c>
      <c r="II13" s="123" t="str">
        <f t="shared" ref="II13" ca="1" si="652">IF(IJ13&lt;&gt;"", $A$15&amp;" meses de café", "")</f>
        <v>3 meses de café</v>
      </c>
      <c r="IJ13" s="111">
        <f t="shared" ref="IJ13" ca="1" si="653">IF(AND(NOT(ISBLANK(II$1)), MOD(II$1,$A$15)=0), -IJ$2*SUM(OFFSET(II5,0,0,1,$A$15*4)), "")</f>
        <v>-107980.74906409407</v>
      </c>
      <c r="IK13" s="111" t="str">
        <f t="shared" ref="IK13" ca="1" si="654">IF(AND(NOT(ISBLANK(IJ$2)), MOD(IJ$2,$A$15)=0), -IK$1*SUM(OFFSET(IJ5,0,0,1,$A$15*4)), "")</f>
        <v/>
      </c>
      <c r="IL13" s="111" t="str">
        <f t="shared" ref="IL13" ca="1" si="655">IF(AND(NOT(ISBLANK(IK$1)), MOD(IK$1,$A$15)=0), -IL$1*SUM(OFFSET(IK5,0,0,1,$A$15*4)), "")</f>
        <v/>
      </c>
      <c r="IM13" s="123" t="str">
        <f t="shared" ref="IM13" ca="1" si="656">IF(IN13&lt;&gt;"", $A$15&amp;" meses de café", "")</f>
        <v/>
      </c>
      <c r="IN13" s="111" t="str">
        <f t="shared" ref="IN13" ca="1" si="657">IF(AND(NOT(ISBLANK(IM$1)), MOD(IM$1,$A$15)=0), -IN$2*SUM(OFFSET(IM5,0,0,1,$A$15*4)), "")</f>
        <v/>
      </c>
      <c r="IO13" s="111" t="str">
        <f t="shared" ref="IO13" ca="1" si="658">IF(AND(NOT(ISBLANK(IN$2)), MOD(IN$2,$A$15)=0), -IO$1*SUM(OFFSET(IN5,0,0,1,$A$15*4)), "")</f>
        <v/>
      </c>
      <c r="IP13" s="111" t="str">
        <f t="shared" ref="IP13" ca="1" si="659">IF(AND(NOT(ISBLANK(IO$1)), MOD(IO$1,$A$15)=0), -IP$1*SUM(OFFSET(IO5,0,0,1,$A$15*4)), "")</f>
        <v/>
      </c>
      <c r="IQ13" s="123" t="str">
        <f t="shared" ref="IQ13" ca="1" si="660">IF(IR13&lt;&gt;"", $A$15&amp;" meses de café", "")</f>
        <v/>
      </c>
      <c r="IR13" s="111" t="str">
        <f t="shared" ref="IR13" ca="1" si="661">IF(AND(NOT(ISBLANK(IQ$1)), MOD(IQ$1,$A$15)=0), -IR$2*SUM(OFFSET(IQ5,0,0,1,$A$15*4)), "")</f>
        <v/>
      </c>
      <c r="IS13" s="111" t="str">
        <f t="shared" ref="IS13" ca="1" si="662">IF(AND(NOT(ISBLANK(IR$2)), MOD(IR$2,$A$15)=0), -IS$1*SUM(OFFSET(IR5,0,0,1,$A$15*4)), "")</f>
        <v/>
      </c>
      <c r="IT13" s="111" t="str">
        <f t="shared" ref="IT13" ca="1" si="663">IF(AND(NOT(ISBLANK(IS$1)), MOD(IS$1,$A$15)=0), -IT$1*SUM(OFFSET(IS5,0,0,1,$A$15*4)), "")</f>
        <v/>
      </c>
      <c r="IU13" s="123" t="str">
        <f t="shared" ref="IU13" ca="1" si="664">IF(IV13&lt;&gt;"", $A$15&amp;" meses de café", "")</f>
        <v>3 meses de café</v>
      </c>
      <c r="IV13" s="111">
        <f t="shared" ref="IV13" ca="1" si="665">IF(AND(NOT(ISBLANK(IU$1)), MOD(IU$1,$A$15)=0), -IV$2*SUM(OFFSET(IU5,0,0,1,$A$15*4)), "")</f>
        <v>-107655.73681068406</v>
      </c>
      <c r="IW13" s="111" t="str">
        <f t="shared" ref="IW13" ca="1" si="666">IF(AND(NOT(ISBLANK(IV$2)), MOD(IV$2,$A$15)=0), -IW$1*SUM(OFFSET(IV5,0,0,1,$A$15*4)), "")</f>
        <v/>
      </c>
      <c r="IX13" s="111" t="str">
        <f t="shared" ref="IX13" ca="1" si="667">IF(AND(NOT(ISBLANK(IW$1)), MOD(IW$1,$A$15)=0), -IX$1*SUM(OFFSET(IW5,0,0,1,$A$15*4)), "")</f>
        <v/>
      </c>
      <c r="IY13" s="123" t="str">
        <f t="shared" ref="IY13" ca="1" si="668">IF(IZ13&lt;&gt;"", $A$15&amp;" meses de café", "")</f>
        <v/>
      </c>
      <c r="IZ13" s="111" t="str">
        <f t="shared" ref="IZ13" ca="1" si="669">IF(AND(NOT(ISBLANK(IY$1)), MOD(IY$1,$A$15)=0), -IZ$2*SUM(OFFSET(IY5,0,0,1,$A$15*4)), "")</f>
        <v/>
      </c>
      <c r="JA13" s="111" t="str">
        <f t="shared" ref="JA13" ca="1" si="670">IF(AND(NOT(ISBLANK(IZ$2)), MOD(IZ$2,$A$15)=0), -JA$1*SUM(OFFSET(IZ5,0,0,1,$A$15*4)), "")</f>
        <v/>
      </c>
      <c r="JB13" s="111" t="str">
        <f t="shared" ref="JB13" ca="1" si="671">IF(AND(NOT(ISBLANK(JA$1)), MOD(JA$1,$A$15)=0), -JB$1*SUM(OFFSET(JA5,0,0,1,$A$15*4)), "")</f>
        <v/>
      </c>
      <c r="JC13" s="123" t="str">
        <f t="shared" ref="JC13" ca="1" si="672">IF(JD13&lt;&gt;"", $A$15&amp;" meses de café", "")</f>
        <v/>
      </c>
      <c r="JD13" s="111" t="str">
        <f t="shared" ref="JD13" ca="1" si="673">IF(AND(NOT(ISBLANK(JC$1)), MOD(JC$1,$A$15)=0), -JD$2*SUM(OFFSET(JC5,0,0,1,$A$15*4)), "")</f>
        <v/>
      </c>
      <c r="JE13" s="111" t="str">
        <f t="shared" ref="JE13" ca="1" si="674">IF(AND(NOT(ISBLANK(JD$2)), MOD(JD$2,$A$15)=0), -JE$1*SUM(OFFSET(JD5,0,0,1,$A$15*4)), "")</f>
        <v/>
      </c>
      <c r="JF13" s="111" t="str">
        <f t="shared" ref="JF13" ca="1" si="675">IF(AND(NOT(ISBLANK(JE$1)), MOD(JE$1,$A$15)=0), -JF$1*SUM(OFFSET(JE5,0,0,1,$A$15*4)), "")</f>
        <v/>
      </c>
      <c r="JG13" s="123" t="str">
        <f t="shared" ref="JG13" ca="1" si="676">IF(JH13&lt;&gt;"", $A$15&amp;" meses de café", "")</f>
        <v>3 meses de café</v>
      </c>
      <c r="JH13" s="111">
        <f t="shared" ref="JH13" ca="1" si="677">IF(AND(NOT(ISBLANK(JG$1)), MOD(JG$1,$A$15)=0), -JH$2*SUM(OFFSET(JG5,0,0,1,$A$15*4)), "")</f>
        <v>-113074.79728414622</v>
      </c>
      <c r="JI13" s="111" t="str">
        <f t="shared" ref="JI13" ca="1" si="678">IF(AND(NOT(ISBLANK(JH$2)), MOD(JH$2,$A$15)=0), -JI$1*SUM(OFFSET(JH5,0,0,1,$A$15*4)), "")</f>
        <v/>
      </c>
      <c r="JJ13" s="111" t="str">
        <f t="shared" ref="JJ13" ca="1" si="679">IF(AND(NOT(ISBLANK(JI$1)), MOD(JI$1,$A$15)=0), -JJ$1*SUM(OFFSET(JI5,0,0,1,$A$15*4)), "")</f>
        <v/>
      </c>
      <c r="JK13" s="123" t="str">
        <f t="shared" ref="JK13" ca="1" si="680">IF(JL13&lt;&gt;"", $A$15&amp;" meses de café", "")</f>
        <v/>
      </c>
      <c r="JL13" s="111" t="str">
        <f t="shared" ref="JL13" ca="1" si="681">IF(AND(NOT(ISBLANK(JK$1)), MOD(JK$1,$A$15)=0), -JL$2*SUM(OFFSET(JK5,0,0,1,$A$15*4)), "")</f>
        <v/>
      </c>
      <c r="JM13" s="111" t="str">
        <f t="shared" ref="JM13" ca="1" si="682">IF(AND(NOT(ISBLANK(JL$2)), MOD(JL$2,$A$15)=0), -JM$1*SUM(OFFSET(JL5,0,0,1,$A$15*4)), "")</f>
        <v/>
      </c>
      <c r="JN13" s="111" t="str">
        <f t="shared" ref="JN13" ca="1" si="683">IF(AND(NOT(ISBLANK(JM$1)), MOD(JM$1,$A$15)=0), -JN$1*SUM(OFFSET(JM5,0,0,1,$A$15*4)), "")</f>
        <v/>
      </c>
      <c r="JO13" s="123" t="str">
        <f t="shared" ref="JO13" ca="1" si="684">IF(JP13&lt;&gt;"", $A$15&amp;" meses de café", "")</f>
        <v/>
      </c>
      <c r="JP13" s="111" t="str">
        <f t="shared" ref="JP13" ca="1" si="685">IF(AND(NOT(ISBLANK(JO$1)), MOD(JO$1,$A$15)=0), -JP$2*SUM(OFFSET(JO5,0,0,1,$A$15*4)), "")</f>
        <v/>
      </c>
      <c r="JQ13" s="111" t="str">
        <f t="shared" ref="JQ13" ca="1" si="686">IF(AND(NOT(ISBLANK(JP$2)), MOD(JP$2,$A$15)=0), -JQ$1*SUM(OFFSET(JP5,0,0,1,$A$15*4)), "")</f>
        <v/>
      </c>
      <c r="JR13" s="111" t="str">
        <f t="shared" ref="JR13" ca="1" si="687">IF(AND(NOT(ISBLANK(JQ$1)), MOD(JQ$1,$A$15)=0), -JR$1*SUM(OFFSET(JQ5,0,0,1,$A$15*4)), "")</f>
        <v/>
      </c>
      <c r="JS13" s="123" t="str">
        <f t="shared" ref="JS13" ca="1" si="688">IF(JT13&lt;&gt;"", $A$15&amp;" meses de café", "")</f>
        <v>3 meses de café</v>
      </c>
      <c r="JT13" s="111">
        <f t="shared" ref="JT13" ca="1" si="689">IF(AND(NOT(ISBLANK(JS$1)), MOD(JS$1,$A$15)=0), -JT$2*SUM(OFFSET(JS5,0,0,1,$A$15*4)), "")</f>
        <v>-118984.33735790808</v>
      </c>
      <c r="JU13" s="111" t="str">
        <f t="shared" ref="JU13" ca="1" si="690">IF(AND(NOT(ISBLANK(JT$2)), MOD(JT$2,$A$15)=0), -JU$1*SUM(OFFSET(JT5,0,0,1,$A$15*4)), "")</f>
        <v/>
      </c>
      <c r="JV13" s="111" t="str">
        <f t="shared" ref="JV13" ca="1" si="691">IF(AND(NOT(ISBLANK(JU$1)), MOD(JU$1,$A$15)=0), -JV$1*SUM(OFFSET(JU5,0,0,1,$A$15*4)), "")</f>
        <v/>
      </c>
      <c r="JW13" s="123" t="str">
        <f t="shared" ref="JW13" ca="1" si="692">IF(JX13&lt;&gt;"", $A$15&amp;" meses de café", "")</f>
        <v/>
      </c>
      <c r="JX13" s="111" t="str">
        <f t="shared" ref="JX13" ca="1" si="693">IF(AND(NOT(ISBLANK(JW$1)), MOD(JW$1,$A$15)=0), -JX$2*SUM(OFFSET(JW5,0,0,1,$A$15*4)), "")</f>
        <v/>
      </c>
      <c r="JY13" s="111" t="str">
        <f t="shared" ref="JY13" ca="1" si="694">IF(AND(NOT(ISBLANK(JX$2)), MOD(JX$2,$A$15)=0), -JY$1*SUM(OFFSET(JX5,0,0,1,$A$15*4)), "")</f>
        <v/>
      </c>
      <c r="JZ13" s="111" t="str">
        <f t="shared" ref="JZ13" ca="1" si="695">IF(AND(NOT(ISBLANK(JY$1)), MOD(JY$1,$A$15)=0), -JZ$1*SUM(OFFSET(JY5,0,0,1,$A$15*4)), "")</f>
        <v/>
      </c>
      <c r="KA13" s="123" t="str">
        <f t="shared" ref="KA13" ca="1" si="696">IF(KB13&lt;&gt;"", $A$15&amp;" meses de café", "")</f>
        <v/>
      </c>
      <c r="KB13" s="111" t="str">
        <f t="shared" ref="KB13" ca="1" si="697">IF(AND(NOT(ISBLANK(KA$1)), MOD(KA$1,$A$15)=0), -KB$2*SUM(OFFSET(KA5,0,0,1,$A$15*4)), "")</f>
        <v/>
      </c>
      <c r="KC13" s="111" t="str">
        <f t="shared" ref="KC13" ca="1" si="698">IF(AND(NOT(ISBLANK(KB$2)), MOD(KB$2,$A$15)=0), -KC$1*SUM(OFFSET(KB5,0,0,1,$A$15*4)), "")</f>
        <v/>
      </c>
      <c r="KD13" s="111" t="str">
        <f t="shared" ref="KD13" ca="1" si="699">IF(AND(NOT(ISBLANK(KC$1)), MOD(KC$1,$A$15)=0), -KD$1*SUM(OFFSET(KC5,0,0,1,$A$15*4)), "")</f>
        <v/>
      </c>
    </row>
    <row r="14" spans="1:290" outlineLevel="1" x14ac:dyDescent="0.25">
      <c r="C14" s="103" t="s">
        <v>190</v>
      </c>
      <c r="D14" s="104">
        <f>-'Investimento Inicial'!$B$6</f>
        <v>-5000</v>
      </c>
      <c r="E14" s="63"/>
      <c r="F14" s="63"/>
      <c r="G14" s="103"/>
      <c r="H14" s="104"/>
      <c r="I14" s="63"/>
      <c r="J14" s="63"/>
      <c r="K14" s="103"/>
      <c r="L14" s="104"/>
      <c r="M14" s="63"/>
      <c r="N14" s="63"/>
      <c r="O14" s="103"/>
      <c r="P14" s="104"/>
      <c r="Q14" s="63"/>
      <c r="R14" s="63"/>
      <c r="S14" s="103"/>
      <c r="T14" s="104"/>
      <c r="U14" s="63"/>
      <c r="V14" s="63"/>
      <c r="W14" s="103"/>
      <c r="X14" s="104"/>
      <c r="Y14" s="63"/>
      <c r="Z14" s="63"/>
      <c r="AA14" s="103"/>
      <c r="AB14" s="104"/>
      <c r="AC14" s="63"/>
      <c r="AD14" s="63"/>
      <c r="AE14" s="103"/>
      <c r="AF14" s="104"/>
      <c r="AG14" s="63"/>
      <c r="AH14" s="63"/>
      <c r="AI14" s="103"/>
      <c r="AJ14" s="104"/>
      <c r="AK14" s="63"/>
      <c r="AL14" s="63"/>
      <c r="AM14" s="103"/>
      <c r="AN14" s="104"/>
      <c r="AO14" s="63"/>
      <c r="AP14" s="63"/>
      <c r="AQ14" s="103"/>
      <c r="AR14" s="104"/>
      <c r="AS14" s="63"/>
      <c r="AT14" s="63"/>
      <c r="AU14" s="103"/>
      <c r="AV14" s="104"/>
      <c r="AW14" s="63"/>
      <c r="AX14" s="63"/>
      <c r="AY14" s="103"/>
      <c r="AZ14" s="104"/>
      <c r="BA14" s="63"/>
      <c r="BB14" s="63"/>
      <c r="BC14" s="103"/>
      <c r="BD14" s="104"/>
      <c r="BE14" s="63"/>
      <c r="BF14" s="63"/>
      <c r="BG14" s="103"/>
      <c r="BH14" s="104"/>
      <c r="BI14" s="63"/>
      <c r="BJ14" s="63"/>
      <c r="BK14" s="103"/>
      <c r="BL14" s="104"/>
      <c r="BM14" s="63"/>
      <c r="BN14" s="63"/>
      <c r="BO14" s="103"/>
      <c r="BP14" s="104"/>
      <c r="BQ14" s="63"/>
      <c r="BR14" s="63"/>
      <c r="BS14" s="103"/>
      <c r="BT14" s="104"/>
      <c r="BU14" s="63"/>
      <c r="BV14" s="63"/>
      <c r="BW14" s="103"/>
      <c r="BX14" s="104"/>
      <c r="BY14" s="63"/>
      <c r="BZ14" s="63"/>
      <c r="CA14" s="103"/>
      <c r="CB14" s="104"/>
      <c r="CC14" s="63"/>
      <c r="CD14" s="63"/>
      <c r="CE14" s="103"/>
      <c r="CF14" s="104"/>
      <c r="CG14" s="63"/>
      <c r="CH14" s="63"/>
      <c r="CI14" s="103"/>
      <c r="CJ14" s="104"/>
      <c r="CK14" s="63"/>
      <c r="CL14" s="63"/>
      <c r="CM14" s="103"/>
      <c r="CN14" s="104"/>
      <c r="CO14" s="63"/>
      <c r="CP14" s="63"/>
      <c r="CQ14" s="103"/>
      <c r="CR14" s="104"/>
      <c r="CS14" s="63"/>
      <c r="CT14" s="63"/>
      <c r="CU14" s="103"/>
      <c r="CV14" s="104"/>
      <c r="CW14" s="63"/>
      <c r="CX14" s="63"/>
      <c r="CY14" s="103"/>
      <c r="CZ14" s="104"/>
      <c r="DA14" s="63"/>
      <c r="DB14" s="63"/>
      <c r="DC14" s="103"/>
      <c r="DD14" s="104"/>
      <c r="DE14" s="63"/>
      <c r="DF14" s="63"/>
      <c r="DG14" s="103"/>
      <c r="DH14" s="104"/>
      <c r="DI14" s="63"/>
      <c r="DJ14" s="63"/>
      <c r="DK14" s="103"/>
      <c r="DL14" s="104"/>
      <c r="DM14" s="63"/>
      <c r="DN14" s="63"/>
      <c r="DO14" s="103"/>
      <c r="DP14" s="104"/>
      <c r="DQ14" s="63"/>
      <c r="DR14" s="63"/>
      <c r="DS14" s="103"/>
      <c r="DT14" s="104"/>
      <c r="DU14" s="63"/>
      <c r="DV14" s="63"/>
      <c r="DW14" s="103"/>
      <c r="DX14" s="104"/>
      <c r="DY14" s="63"/>
      <c r="DZ14" s="63"/>
      <c r="EA14" s="103"/>
      <c r="EB14" s="104"/>
      <c r="EC14" s="63"/>
      <c r="ED14" s="63"/>
      <c r="EE14" s="103"/>
      <c r="EF14" s="104"/>
      <c r="EG14" s="63"/>
      <c r="EH14" s="63"/>
      <c r="EI14" s="103"/>
      <c r="EJ14" s="104"/>
      <c r="EK14" s="63"/>
      <c r="EL14" s="63"/>
      <c r="EM14" s="103"/>
      <c r="EN14" s="104"/>
      <c r="EO14" s="63"/>
      <c r="EP14" s="63"/>
      <c r="EQ14" s="103"/>
      <c r="ER14" s="104"/>
      <c r="ES14" s="63"/>
      <c r="ET14" s="63"/>
      <c r="EU14" s="103"/>
      <c r="EV14" s="104"/>
      <c r="EW14" s="63"/>
      <c r="EX14" s="63"/>
      <c r="EY14" s="103"/>
      <c r="EZ14" s="104"/>
      <c r="FA14" s="63"/>
      <c r="FB14" s="63"/>
      <c r="FC14" s="103"/>
      <c r="FD14" s="104"/>
      <c r="FE14" s="63"/>
      <c r="FF14" s="63"/>
      <c r="FG14" s="103"/>
      <c r="FH14" s="104"/>
      <c r="FI14" s="63"/>
      <c r="FJ14" s="63"/>
      <c r="FK14" s="103"/>
      <c r="FL14" s="104"/>
      <c r="FM14" s="63"/>
      <c r="FN14" s="63"/>
      <c r="FO14" s="103"/>
      <c r="FP14" s="104"/>
      <c r="FQ14" s="63"/>
      <c r="FR14" s="63"/>
      <c r="FS14" s="103"/>
      <c r="FT14" s="104"/>
      <c r="FU14" s="63"/>
      <c r="FV14" s="63"/>
      <c r="FW14" s="103"/>
      <c r="FX14" s="104"/>
      <c r="FY14" s="63"/>
      <c r="FZ14" s="63"/>
      <c r="GA14" s="103"/>
      <c r="GB14" s="104"/>
      <c r="GC14" s="63"/>
      <c r="GD14" s="63"/>
      <c r="GE14" s="103"/>
      <c r="GF14" s="104"/>
      <c r="GG14" s="63"/>
      <c r="GH14" s="63"/>
      <c r="GI14" s="103"/>
      <c r="GJ14" s="104"/>
      <c r="GK14" s="63"/>
      <c r="GL14" s="63"/>
      <c r="GM14" s="103"/>
      <c r="GN14" s="104"/>
      <c r="GO14" s="63"/>
      <c r="GP14" s="63"/>
      <c r="GQ14" s="103"/>
      <c r="GR14" s="104"/>
      <c r="GS14" s="63"/>
      <c r="GT14" s="63"/>
      <c r="GU14" s="103"/>
      <c r="GV14" s="104"/>
      <c r="GW14" s="63"/>
      <c r="GX14" s="63"/>
      <c r="GY14" s="103"/>
      <c r="GZ14" s="104"/>
      <c r="HA14" s="63"/>
      <c r="HB14" s="63"/>
      <c r="HC14" s="103"/>
      <c r="HD14" s="104"/>
      <c r="HE14" s="63"/>
      <c r="HF14" s="63"/>
      <c r="HG14" s="103"/>
      <c r="HH14" s="104"/>
      <c r="HI14" s="63"/>
      <c r="HJ14" s="63"/>
      <c r="HK14" s="103"/>
      <c r="HL14" s="104"/>
      <c r="HM14" s="63"/>
      <c r="HN14" s="63"/>
      <c r="HO14" s="103"/>
      <c r="HP14" s="104"/>
      <c r="HQ14" s="63"/>
      <c r="HR14" s="63"/>
      <c r="HS14" s="103"/>
      <c r="HT14" s="104"/>
      <c r="HU14" s="63"/>
      <c r="HV14" s="63"/>
      <c r="HW14" s="103"/>
      <c r="HX14" s="104"/>
      <c r="HY14" s="63"/>
      <c r="HZ14" s="63"/>
      <c r="IA14" s="103"/>
      <c r="IB14" s="104"/>
      <c r="IC14" s="63"/>
      <c r="ID14" s="63"/>
      <c r="IE14" s="103"/>
      <c r="IF14" s="104"/>
      <c r="IG14" s="63"/>
      <c r="IH14" s="63"/>
      <c r="II14" s="103"/>
      <c r="IJ14" s="104"/>
      <c r="IK14" s="63"/>
      <c r="IL14" s="63"/>
      <c r="IM14" s="103"/>
      <c r="IN14" s="104"/>
      <c r="IO14" s="63"/>
      <c r="IP14" s="63"/>
      <c r="IQ14" s="103"/>
      <c r="IR14" s="104"/>
      <c r="IS14" s="63"/>
      <c r="IT14" s="63"/>
      <c r="IU14" s="103"/>
      <c r="IV14" s="104"/>
      <c r="IW14" s="63"/>
      <c r="IX14" s="63"/>
      <c r="IY14" s="103"/>
      <c r="IZ14" s="104"/>
      <c r="JA14" s="63"/>
      <c r="JB14" s="63"/>
      <c r="JC14" s="103"/>
      <c r="JD14" s="104"/>
      <c r="JE14" s="63"/>
      <c r="JF14" s="63"/>
      <c r="JG14" s="103"/>
      <c r="JH14" s="104"/>
      <c r="JI14" s="63"/>
      <c r="JJ14" s="63"/>
      <c r="JK14" s="103"/>
      <c r="JL14" s="104"/>
      <c r="JM14" s="63"/>
      <c r="JN14" s="63"/>
      <c r="JO14" s="103"/>
      <c r="JP14" s="104"/>
      <c r="JQ14" s="63"/>
      <c r="JR14" s="63"/>
      <c r="JS14" s="103"/>
      <c r="JT14" s="104"/>
      <c r="JU14" s="63"/>
      <c r="JV14" s="63"/>
      <c r="JW14" s="103"/>
      <c r="JX14" s="104"/>
      <c r="JY14" s="63"/>
      <c r="JZ14" s="63"/>
      <c r="KA14" s="103"/>
      <c r="KB14" s="104"/>
      <c r="KC14" s="63"/>
      <c r="KD14" s="63"/>
    </row>
    <row r="15" spans="1:290" outlineLevel="1" x14ac:dyDescent="0.25">
      <c r="A15" s="121">
        <v>3</v>
      </c>
      <c r="C15" s="103" t="s">
        <v>192</v>
      </c>
      <c r="D15" s="104">
        <f>-'Investimento Inicial'!$B$8</f>
        <v>-4000</v>
      </c>
      <c r="E15" s="63"/>
      <c r="F15" s="63"/>
      <c r="G15" s="103"/>
      <c r="H15" s="104"/>
      <c r="I15" s="63"/>
      <c r="J15" s="63"/>
      <c r="K15" s="103"/>
      <c r="L15" s="104"/>
      <c r="M15" s="63"/>
      <c r="N15" s="63"/>
      <c r="O15" s="103"/>
      <c r="P15" s="104"/>
      <c r="Q15" s="63"/>
      <c r="R15" s="63"/>
      <c r="S15" s="103"/>
      <c r="T15" s="104"/>
      <c r="U15" s="63"/>
      <c r="V15" s="63"/>
      <c r="W15" s="103"/>
      <c r="X15" s="104"/>
      <c r="Y15" s="63"/>
      <c r="Z15" s="63"/>
      <c r="AA15" s="103"/>
      <c r="AB15" s="104"/>
      <c r="AC15" s="63"/>
      <c r="AD15" s="63"/>
      <c r="AE15" s="103"/>
      <c r="AF15" s="104"/>
      <c r="AG15" s="63"/>
      <c r="AH15" s="63"/>
      <c r="AI15" s="103"/>
      <c r="AJ15" s="104"/>
      <c r="AK15" s="63"/>
      <c r="AL15" s="63"/>
      <c r="AM15" s="103"/>
      <c r="AN15" s="104"/>
      <c r="AO15" s="63"/>
      <c r="AP15" s="63"/>
      <c r="AQ15" s="103"/>
      <c r="AR15" s="104"/>
      <c r="AS15" s="63"/>
      <c r="AT15" s="63"/>
      <c r="AU15" s="103"/>
      <c r="AV15" s="104"/>
      <c r="AW15" s="63"/>
      <c r="AX15" s="63"/>
      <c r="AY15" s="103"/>
      <c r="AZ15" s="104"/>
      <c r="BA15" s="63"/>
      <c r="BB15" s="63"/>
      <c r="BC15" s="103"/>
      <c r="BD15" s="104"/>
      <c r="BE15" s="63"/>
      <c r="BF15" s="63"/>
      <c r="BG15" s="103"/>
      <c r="BH15" s="104"/>
      <c r="BI15" s="63"/>
      <c r="BJ15" s="63"/>
      <c r="BK15" s="103"/>
      <c r="BL15" s="104"/>
      <c r="BM15" s="63"/>
      <c r="BN15" s="63"/>
      <c r="BO15" s="103"/>
      <c r="BP15" s="104"/>
      <c r="BQ15" s="63"/>
      <c r="BR15" s="63"/>
      <c r="BS15" s="103"/>
      <c r="BT15" s="104"/>
      <c r="BU15" s="63"/>
      <c r="BV15" s="63"/>
      <c r="BW15" s="103"/>
      <c r="BX15" s="104"/>
      <c r="BY15" s="63"/>
      <c r="BZ15" s="63"/>
      <c r="CA15" s="103"/>
      <c r="CB15" s="104"/>
      <c r="CC15" s="63"/>
      <c r="CD15" s="63"/>
      <c r="CE15" s="103"/>
      <c r="CF15" s="104"/>
      <c r="CG15" s="63"/>
      <c r="CH15" s="63"/>
      <c r="CI15" s="103"/>
      <c r="CJ15" s="104"/>
      <c r="CK15" s="63"/>
      <c r="CL15" s="63"/>
      <c r="CM15" s="103"/>
      <c r="CN15" s="104"/>
      <c r="CO15" s="63"/>
      <c r="CP15" s="63"/>
      <c r="CQ15" s="103"/>
      <c r="CR15" s="104"/>
      <c r="CS15" s="63"/>
      <c r="CT15" s="63"/>
      <c r="CU15" s="103"/>
      <c r="CV15" s="104"/>
      <c r="CW15" s="63"/>
      <c r="CX15" s="63"/>
      <c r="CY15" s="103"/>
      <c r="CZ15" s="104"/>
      <c r="DA15" s="63"/>
      <c r="DB15" s="63"/>
      <c r="DC15" s="103"/>
      <c r="DD15" s="104"/>
      <c r="DE15" s="63"/>
      <c r="DF15" s="63"/>
      <c r="DG15" s="103"/>
      <c r="DH15" s="104"/>
      <c r="DI15" s="63"/>
      <c r="DJ15" s="63"/>
      <c r="DK15" s="103"/>
      <c r="DL15" s="104"/>
      <c r="DM15" s="63"/>
      <c r="DN15" s="63"/>
      <c r="DO15" s="103"/>
      <c r="DP15" s="104"/>
      <c r="DQ15" s="63"/>
      <c r="DR15" s="63"/>
      <c r="DS15" s="103"/>
      <c r="DT15" s="104"/>
      <c r="DU15" s="63"/>
      <c r="DV15" s="63"/>
      <c r="DW15" s="103"/>
      <c r="DX15" s="104"/>
      <c r="DY15" s="63"/>
      <c r="DZ15" s="63"/>
      <c r="EA15" s="103"/>
      <c r="EB15" s="104"/>
      <c r="EC15" s="63"/>
      <c r="ED15" s="63"/>
      <c r="EE15" s="103"/>
      <c r="EF15" s="104"/>
      <c r="EG15" s="63"/>
      <c r="EH15" s="63"/>
      <c r="EI15" s="103"/>
      <c r="EJ15" s="104"/>
      <c r="EK15" s="63"/>
      <c r="EL15" s="63"/>
      <c r="EM15" s="103"/>
      <c r="EN15" s="104"/>
      <c r="EO15" s="63"/>
      <c r="EP15" s="63"/>
      <c r="EQ15" s="103"/>
      <c r="ER15" s="104"/>
      <c r="ES15" s="63"/>
      <c r="ET15" s="63"/>
      <c r="EU15" s="103"/>
      <c r="EV15" s="104"/>
      <c r="EW15" s="63"/>
      <c r="EX15" s="63"/>
      <c r="EY15" s="103"/>
      <c r="EZ15" s="104"/>
      <c r="FA15" s="63"/>
      <c r="FB15" s="63"/>
      <c r="FC15" s="103"/>
      <c r="FD15" s="104"/>
      <c r="FE15" s="63"/>
      <c r="FF15" s="63"/>
      <c r="FG15" s="103"/>
      <c r="FH15" s="104"/>
      <c r="FI15" s="63"/>
      <c r="FJ15" s="63"/>
      <c r="FK15" s="103"/>
      <c r="FL15" s="104"/>
      <c r="FM15" s="63"/>
      <c r="FN15" s="63"/>
      <c r="FO15" s="103"/>
      <c r="FP15" s="104"/>
      <c r="FQ15" s="63"/>
      <c r="FR15" s="63"/>
      <c r="FS15" s="103"/>
      <c r="FT15" s="104"/>
      <c r="FU15" s="63"/>
      <c r="FV15" s="63"/>
      <c r="FW15" s="103"/>
      <c r="FX15" s="104"/>
      <c r="FY15" s="63"/>
      <c r="FZ15" s="63"/>
      <c r="GA15" s="103"/>
      <c r="GB15" s="104"/>
      <c r="GC15" s="63"/>
      <c r="GD15" s="63"/>
      <c r="GE15" s="103"/>
      <c r="GF15" s="104"/>
      <c r="GG15" s="63"/>
      <c r="GH15" s="63"/>
      <c r="GI15" s="103"/>
      <c r="GJ15" s="104"/>
      <c r="GK15" s="63"/>
      <c r="GL15" s="63"/>
      <c r="GM15" s="103"/>
      <c r="GN15" s="104"/>
      <c r="GO15" s="63"/>
      <c r="GP15" s="63"/>
      <c r="GQ15" s="103"/>
      <c r="GR15" s="104"/>
      <c r="GS15" s="63"/>
      <c r="GT15" s="63"/>
      <c r="GU15" s="103"/>
      <c r="GV15" s="104"/>
      <c r="GW15" s="63"/>
      <c r="GX15" s="63"/>
      <c r="GY15" s="103"/>
      <c r="GZ15" s="104"/>
      <c r="HA15" s="63"/>
      <c r="HB15" s="63"/>
      <c r="HC15" s="103"/>
      <c r="HD15" s="104"/>
      <c r="HE15" s="63"/>
      <c r="HF15" s="63"/>
      <c r="HG15" s="103"/>
      <c r="HH15" s="104"/>
      <c r="HI15" s="63"/>
      <c r="HJ15" s="63"/>
      <c r="HK15" s="103"/>
      <c r="HL15" s="104"/>
      <c r="HM15" s="63"/>
      <c r="HN15" s="63"/>
      <c r="HO15" s="103"/>
      <c r="HP15" s="104"/>
      <c r="HQ15" s="63"/>
      <c r="HR15" s="63"/>
      <c r="HS15" s="103"/>
      <c r="HT15" s="104"/>
      <c r="HU15" s="63"/>
      <c r="HV15" s="63"/>
      <c r="HW15" s="103"/>
      <c r="HX15" s="104"/>
      <c r="HY15" s="63"/>
      <c r="HZ15" s="63"/>
      <c r="IA15" s="103"/>
      <c r="IB15" s="104"/>
      <c r="IC15" s="63"/>
      <c r="ID15" s="63"/>
      <c r="IE15" s="103"/>
      <c r="IF15" s="104"/>
      <c r="IG15" s="63"/>
      <c r="IH15" s="63"/>
      <c r="II15" s="103"/>
      <c r="IJ15" s="104"/>
      <c r="IK15" s="63"/>
      <c r="IL15" s="63"/>
      <c r="IM15" s="103"/>
      <c r="IN15" s="104"/>
      <c r="IO15" s="63"/>
      <c r="IP15" s="63"/>
      <c r="IQ15" s="103"/>
      <c r="IR15" s="104"/>
      <c r="IS15" s="63"/>
      <c r="IT15" s="63"/>
      <c r="IU15" s="103"/>
      <c r="IV15" s="104"/>
      <c r="IW15" s="63"/>
      <c r="IX15" s="63"/>
      <c r="IY15" s="103"/>
      <c r="IZ15" s="104"/>
      <c r="JA15" s="63"/>
      <c r="JB15" s="63"/>
      <c r="JC15" s="103"/>
      <c r="JD15" s="104"/>
      <c r="JE15" s="63"/>
      <c r="JF15" s="63"/>
      <c r="JG15" s="103"/>
      <c r="JH15" s="104"/>
      <c r="JI15" s="63"/>
      <c r="JJ15" s="63"/>
      <c r="JK15" s="103"/>
      <c r="JL15" s="104"/>
      <c r="JM15" s="63"/>
      <c r="JN15" s="63"/>
      <c r="JO15" s="103"/>
      <c r="JP15" s="104"/>
      <c r="JQ15" s="63"/>
      <c r="JR15" s="63"/>
      <c r="JS15" s="103"/>
      <c r="JT15" s="104"/>
      <c r="JU15" s="63"/>
      <c r="JV15" s="63"/>
      <c r="JW15" s="103"/>
      <c r="JX15" s="104"/>
      <c r="JY15" s="63"/>
      <c r="JZ15" s="63"/>
      <c r="KA15" s="103"/>
      <c r="KB15" s="104"/>
      <c r="KC15" s="63"/>
      <c r="KD15" s="63"/>
    </row>
    <row r="16" spans="1:290" outlineLevel="1" x14ac:dyDescent="0.25">
      <c r="A16" s="45"/>
      <c r="C16" s="103" t="s">
        <v>193</v>
      </c>
      <c r="D16" s="104">
        <f>-'Investimento Inicial'!$B$9</f>
        <v>-3000</v>
      </c>
      <c r="E16" s="63"/>
      <c r="F16" s="63"/>
      <c r="G16" s="103"/>
      <c r="H16" s="104"/>
      <c r="I16" s="63"/>
      <c r="J16" s="63"/>
      <c r="K16" s="103"/>
      <c r="L16" s="104"/>
      <c r="M16" s="63"/>
      <c r="N16" s="63"/>
      <c r="O16" s="103"/>
      <c r="P16" s="104"/>
      <c r="Q16" s="63"/>
      <c r="R16" s="63"/>
      <c r="S16" s="103"/>
      <c r="T16" s="104"/>
      <c r="U16" s="63"/>
      <c r="V16" s="63"/>
      <c r="W16" s="103"/>
      <c r="X16" s="104"/>
      <c r="Y16" s="63"/>
      <c r="Z16" s="63"/>
      <c r="AA16" s="103"/>
      <c r="AB16" s="104"/>
      <c r="AC16" s="63"/>
      <c r="AD16" s="63"/>
      <c r="AE16" s="103"/>
      <c r="AF16" s="104"/>
      <c r="AG16" s="63"/>
      <c r="AH16" s="63"/>
      <c r="AI16" s="103"/>
      <c r="AJ16" s="104"/>
      <c r="AK16" s="63"/>
      <c r="AL16" s="63"/>
      <c r="AM16" s="103"/>
      <c r="AN16" s="104"/>
      <c r="AO16" s="63"/>
      <c r="AP16" s="63"/>
      <c r="AQ16" s="103"/>
      <c r="AR16" s="104"/>
      <c r="AS16" s="63"/>
      <c r="AT16" s="63"/>
      <c r="AU16" s="103"/>
      <c r="AV16" s="104"/>
      <c r="AW16" s="63"/>
      <c r="AX16" s="63"/>
      <c r="AY16" s="103"/>
      <c r="AZ16" s="104"/>
      <c r="BA16" s="63"/>
      <c r="BB16" s="63"/>
      <c r="BC16" s="103"/>
      <c r="BD16" s="104"/>
      <c r="BE16" s="63"/>
      <c r="BF16" s="63"/>
      <c r="BG16" s="103"/>
      <c r="BH16" s="104"/>
      <c r="BI16" s="63"/>
      <c r="BJ16" s="63"/>
      <c r="BK16" s="103"/>
      <c r="BL16" s="104"/>
      <c r="BM16" s="63"/>
      <c r="BN16" s="63"/>
      <c r="BO16" s="103"/>
      <c r="BP16" s="104"/>
      <c r="BQ16" s="63"/>
      <c r="BR16" s="63"/>
      <c r="BS16" s="103"/>
      <c r="BT16" s="104"/>
      <c r="BU16" s="63"/>
      <c r="BV16" s="63"/>
      <c r="BW16" s="103"/>
      <c r="BX16" s="104"/>
      <c r="BY16" s="63"/>
      <c r="BZ16" s="63"/>
      <c r="CA16" s="103"/>
      <c r="CB16" s="104"/>
      <c r="CC16" s="63"/>
      <c r="CD16" s="63"/>
      <c r="CE16" s="103"/>
      <c r="CF16" s="104"/>
      <c r="CG16" s="63"/>
      <c r="CH16" s="63"/>
      <c r="CI16" s="103"/>
      <c r="CJ16" s="104"/>
      <c r="CK16" s="63"/>
      <c r="CL16" s="63"/>
      <c r="CM16" s="103"/>
      <c r="CN16" s="104"/>
      <c r="CO16" s="63"/>
      <c r="CP16" s="63"/>
      <c r="CQ16" s="103"/>
      <c r="CR16" s="104"/>
      <c r="CS16" s="63"/>
      <c r="CT16" s="63"/>
      <c r="CU16" s="103"/>
      <c r="CV16" s="104"/>
      <c r="CW16" s="63"/>
      <c r="CX16" s="63"/>
      <c r="CY16" s="103"/>
      <c r="CZ16" s="104"/>
      <c r="DA16" s="63"/>
      <c r="DB16" s="63"/>
      <c r="DC16" s="103"/>
      <c r="DD16" s="104"/>
      <c r="DE16" s="63"/>
      <c r="DF16" s="63"/>
      <c r="DG16" s="103"/>
      <c r="DH16" s="104"/>
      <c r="DI16" s="63"/>
      <c r="DJ16" s="63"/>
      <c r="DK16" s="103"/>
      <c r="DL16" s="104"/>
      <c r="DM16" s="63"/>
      <c r="DN16" s="63"/>
      <c r="DO16" s="103"/>
      <c r="DP16" s="104"/>
      <c r="DQ16" s="63"/>
      <c r="DR16" s="63"/>
      <c r="DS16" s="103"/>
      <c r="DT16" s="104"/>
      <c r="DU16" s="63"/>
      <c r="DV16" s="63"/>
      <c r="DW16" s="103"/>
      <c r="DX16" s="104"/>
      <c r="DY16" s="63"/>
      <c r="DZ16" s="63"/>
      <c r="EA16" s="103"/>
      <c r="EB16" s="104"/>
      <c r="EC16" s="63"/>
      <c r="ED16" s="63"/>
      <c r="EE16" s="103"/>
      <c r="EF16" s="104"/>
      <c r="EG16" s="63"/>
      <c r="EH16" s="63"/>
      <c r="EI16" s="103"/>
      <c r="EJ16" s="104"/>
      <c r="EK16" s="63"/>
      <c r="EL16" s="63"/>
      <c r="EM16" s="103"/>
      <c r="EN16" s="104"/>
      <c r="EO16" s="63"/>
      <c r="EP16" s="63"/>
      <c r="EQ16" s="103"/>
      <c r="ER16" s="104"/>
      <c r="ES16" s="63"/>
      <c r="ET16" s="63"/>
      <c r="EU16" s="103"/>
      <c r="EV16" s="104"/>
      <c r="EW16" s="63"/>
      <c r="EX16" s="63"/>
      <c r="EY16" s="103"/>
      <c r="EZ16" s="104"/>
      <c r="FA16" s="63"/>
      <c r="FB16" s="63"/>
      <c r="FC16" s="103"/>
      <c r="FD16" s="104"/>
      <c r="FE16" s="63"/>
      <c r="FF16" s="63"/>
      <c r="FG16" s="103"/>
      <c r="FH16" s="104"/>
      <c r="FI16" s="63"/>
      <c r="FJ16" s="63"/>
      <c r="FK16" s="103"/>
      <c r="FL16" s="104"/>
      <c r="FM16" s="63"/>
      <c r="FN16" s="63"/>
      <c r="FO16" s="103"/>
      <c r="FP16" s="104"/>
      <c r="FQ16" s="63"/>
      <c r="FR16" s="63"/>
      <c r="FS16" s="103"/>
      <c r="FT16" s="104"/>
      <c r="FU16" s="63"/>
      <c r="FV16" s="63"/>
      <c r="FW16" s="103"/>
      <c r="FX16" s="104"/>
      <c r="FY16" s="63"/>
      <c r="FZ16" s="63"/>
      <c r="GA16" s="103"/>
      <c r="GB16" s="104"/>
      <c r="GC16" s="63"/>
      <c r="GD16" s="63"/>
      <c r="GE16" s="103"/>
      <c r="GF16" s="104"/>
      <c r="GG16" s="63"/>
      <c r="GH16" s="63"/>
      <c r="GI16" s="103"/>
      <c r="GJ16" s="104"/>
      <c r="GK16" s="63"/>
      <c r="GL16" s="63"/>
      <c r="GM16" s="103"/>
      <c r="GN16" s="104"/>
      <c r="GO16" s="63"/>
      <c r="GP16" s="63"/>
      <c r="GQ16" s="103"/>
      <c r="GR16" s="104"/>
      <c r="GS16" s="63"/>
      <c r="GT16" s="63"/>
      <c r="GU16" s="103"/>
      <c r="GV16" s="104"/>
      <c r="GW16" s="63"/>
      <c r="GX16" s="63"/>
      <c r="GY16" s="103"/>
      <c r="GZ16" s="104"/>
      <c r="HA16" s="63"/>
      <c r="HB16" s="63"/>
      <c r="HC16" s="103"/>
      <c r="HD16" s="104"/>
      <c r="HE16" s="63"/>
      <c r="HF16" s="63"/>
      <c r="HG16" s="103"/>
      <c r="HH16" s="104"/>
      <c r="HI16" s="63"/>
      <c r="HJ16" s="63"/>
      <c r="HK16" s="103"/>
      <c r="HL16" s="104"/>
      <c r="HM16" s="63"/>
      <c r="HN16" s="63"/>
      <c r="HO16" s="103"/>
      <c r="HP16" s="104"/>
      <c r="HQ16" s="63"/>
      <c r="HR16" s="63"/>
      <c r="HS16" s="103"/>
      <c r="HT16" s="104"/>
      <c r="HU16" s="63"/>
      <c r="HV16" s="63"/>
      <c r="HW16" s="103"/>
      <c r="HX16" s="104"/>
      <c r="HY16" s="63"/>
      <c r="HZ16" s="63"/>
      <c r="IA16" s="103"/>
      <c r="IB16" s="104"/>
      <c r="IC16" s="63"/>
      <c r="ID16" s="63"/>
      <c r="IE16" s="103"/>
      <c r="IF16" s="104"/>
      <c r="IG16" s="63"/>
      <c r="IH16" s="63"/>
      <c r="II16" s="103"/>
      <c r="IJ16" s="104"/>
      <c r="IK16" s="63"/>
      <c r="IL16" s="63"/>
      <c r="IM16" s="103"/>
      <c r="IN16" s="104"/>
      <c r="IO16" s="63"/>
      <c r="IP16" s="63"/>
      <c r="IQ16" s="103"/>
      <c r="IR16" s="104"/>
      <c r="IS16" s="63"/>
      <c r="IT16" s="63"/>
      <c r="IU16" s="103"/>
      <c r="IV16" s="104"/>
      <c r="IW16" s="63"/>
      <c r="IX16" s="63"/>
      <c r="IY16" s="103"/>
      <c r="IZ16" s="104"/>
      <c r="JA16" s="63"/>
      <c r="JB16" s="63"/>
      <c r="JC16" s="103"/>
      <c r="JD16" s="104"/>
      <c r="JE16" s="63"/>
      <c r="JF16" s="63"/>
      <c r="JG16" s="103"/>
      <c r="JH16" s="104"/>
      <c r="JI16" s="63"/>
      <c r="JJ16" s="63"/>
      <c r="JK16" s="103"/>
      <c r="JL16" s="104"/>
      <c r="JM16" s="63"/>
      <c r="JN16" s="63"/>
      <c r="JO16" s="103"/>
      <c r="JP16" s="104"/>
      <c r="JQ16" s="63"/>
      <c r="JR16" s="63"/>
      <c r="JS16" s="103"/>
      <c r="JT16" s="104"/>
      <c r="JU16" s="63"/>
      <c r="JV16" s="63"/>
      <c r="JW16" s="103"/>
      <c r="JX16" s="104"/>
      <c r="JY16" s="63"/>
      <c r="JZ16" s="63"/>
      <c r="KA16" s="103"/>
      <c r="KB16" s="104"/>
      <c r="KC16" s="63"/>
      <c r="KD16" s="63"/>
    </row>
    <row r="17" spans="1:290" outlineLevel="1" x14ac:dyDescent="0.25">
      <c r="C17" s="105" t="str">
        <f ca="1">IF(C$13&lt;&gt;"", "Frete do café verde", "")</f>
        <v>Frete do café verde</v>
      </c>
      <c r="D17" s="104">
        <f ca="1">IF(D$13&lt;&gt;"", -1000,"")</f>
        <v>-1000</v>
      </c>
      <c r="E17" s="63"/>
      <c r="F17" s="63"/>
      <c r="G17" s="105" t="str">
        <f ca="1">IF(G$13&lt;&gt;"", "Frete do café verde", "")</f>
        <v/>
      </c>
      <c r="H17" s="104" t="str">
        <f ca="1">IF(H$13&lt;&gt;"", -1000,"")</f>
        <v/>
      </c>
      <c r="I17" s="63"/>
      <c r="J17" s="63"/>
      <c r="K17" s="105" t="str">
        <f t="shared" ref="K17" ca="1" si="700">IF(K$13&lt;&gt;"", "Frete do café verde", "")</f>
        <v/>
      </c>
      <c r="L17" s="104" t="str">
        <f t="shared" ref="L17" ca="1" si="701">IF(L$13&lt;&gt;"", -1000,"")</f>
        <v/>
      </c>
      <c r="M17" s="63"/>
      <c r="N17" s="63"/>
      <c r="O17" s="105" t="str">
        <f t="shared" ref="O17" ca="1" si="702">IF(O$13&lt;&gt;"", "Frete do café verde", "")</f>
        <v>Frete do café verde</v>
      </c>
      <c r="P17" s="104">
        <f t="shared" ref="P17" ca="1" si="703">IF(P$13&lt;&gt;"", -1000,"")</f>
        <v>-1000</v>
      </c>
      <c r="Q17" s="63"/>
      <c r="R17" s="63"/>
      <c r="S17" s="105" t="str">
        <f t="shared" ref="S17" ca="1" si="704">IF(S$13&lt;&gt;"", "Frete do café verde", "")</f>
        <v/>
      </c>
      <c r="T17" s="104" t="str">
        <f t="shared" ref="T17" ca="1" si="705">IF(T$13&lt;&gt;"", -1000,"")</f>
        <v/>
      </c>
      <c r="U17" s="63"/>
      <c r="V17" s="63"/>
      <c r="W17" s="105" t="str">
        <f t="shared" ref="W17" ca="1" si="706">IF(W$13&lt;&gt;"", "Frete do café verde", "")</f>
        <v/>
      </c>
      <c r="X17" s="104" t="str">
        <f t="shared" ref="X17" ca="1" si="707">IF(X$13&lt;&gt;"", -1000,"")</f>
        <v/>
      </c>
      <c r="Y17" s="63"/>
      <c r="Z17" s="63"/>
      <c r="AA17" s="105" t="str">
        <f t="shared" ref="AA17" ca="1" si="708">IF(AA$13&lt;&gt;"", "Frete do café verde", "")</f>
        <v>Frete do café verde</v>
      </c>
      <c r="AB17" s="104">
        <f t="shared" ref="AB17" ca="1" si="709">IF(AB$13&lt;&gt;"", -1000,"")</f>
        <v>-1000</v>
      </c>
      <c r="AC17" s="63"/>
      <c r="AD17" s="63"/>
      <c r="AE17" s="105" t="str">
        <f t="shared" ref="AE17" ca="1" si="710">IF(AE$13&lt;&gt;"", "Frete do café verde", "")</f>
        <v/>
      </c>
      <c r="AF17" s="104" t="str">
        <f t="shared" ref="AF17" ca="1" si="711">IF(AF$13&lt;&gt;"", -1000,"")</f>
        <v/>
      </c>
      <c r="AG17" s="63"/>
      <c r="AH17" s="63"/>
      <c r="AI17" s="105" t="str">
        <f t="shared" ref="AI17" ca="1" si="712">IF(AI$13&lt;&gt;"", "Frete do café verde", "")</f>
        <v/>
      </c>
      <c r="AJ17" s="104" t="str">
        <f t="shared" ref="AJ17" ca="1" si="713">IF(AJ$13&lt;&gt;"", -1000,"")</f>
        <v/>
      </c>
      <c r="AK17" s="63"/>
      <c r="AL17" s="63"/>
      <c r="AM17" s="105" t="str">
        <f t="shared" ref="AM17" ca="1" si="714">IF(AM$13&lt;&gt;"", "Frete do café verde", "")</f>
        <v>Frete do café verde</v>
      </c>
      <c r="AN17" s="104">
        <f t="shared" ref="AN17" ca="1" si="715">IF(AN$13&lt;&gt;"", -1000,"")</f>
        <v>-1000</v>
      </c>
      <c r="AO17" s="63"/>
      <c r="AP17" s="63"/>
      <c r="AQ17" s="105" t="str">
        <f t="shared" ref="AQ17" ca="1" si="716">IF(AQ$13&lt;&gt;"", "Frete do café verde", "")</f>
        <v/>
      </c>
      <c r="AR17" s="104" t="str">
        <f t="shared" ref="AR17" ca="1" si="717">IF(AR$13&lt;&gt;"", -1000,"")</f>
        <v/>
      </c>
      <c r="AS17" s="63"/>
      <c r="AT17" s="63"/>
      <c r="AU17" s="105" t="str">
        <f t="shared" ref="AU17" ca="1" si="718">IF(AU$13&lt;&gt;"", "Frete do café verde", "")</f>
        <v/>
      </c>
      <c r="AV17" s="104" t="str">
        <f t="shared" ref="AV17" ca="1" si="719">IF(AV$13&lt;&gt;"", -1000,"")</f>
        <v/>
      </c>
      <c r="AW17" s="63"/>
      <c r="AX17" s="63"/>
      <c r="AY17" s="105" t="str">
        <f t="shared" ref="AY17" ca="1" si="720">IF(AY$13&lt;&gt;"", "Frete do café verde", "")</f>
        <v>Frete do café verde</v>
      </c>
      <c r="AZ17" s="104">
        <f t="shared" ref="AZ17" ca="1" si="721">IF(AZ$13&lt;&gt;"", -1000,"")</f>
        <v>-1000</v>
      </c>
      <c r="BA17" s="63"/>
      <c r="BB17" s="63"/>
      <c r="BC17" s="105" t="str">
        <f t="shared" ref="BC17" ca="1" si="722">IF(BC$13&lt;&gt;"", "Frete do café verde", "")</f>
        <v/>
      </c>
      <c r="BD17" s="104" t="str">
        <f t="shared" ref="BD17" ca="1" si="723">IF(BD$13&lt;&gt;"", -1000,"")</f>
        <v/>
      </c>
      <c r="BE17" s="63"/>
      <c r="BF17" s="63"/>
      <c r="BG17" s="105" t="str">
        <f t="shared" ref="BG17" ca="1" si="724">IF(BG$13&lt;&gt;"", "Frete do café verde", "")</f>
        <v/>
      </c>
      <c r="BH17" s="104" t="str">
        <f t="shared" ref="BH17" ca="1" si="725">IF(BH$13&lt;&gt;"", -1000,"")</f>
        <v/>
      </c>
      <c r="BI17" s="63"/>
      <c r="BJ17" s="63"/>
      <c r="BK17" s="105" t="str">
        <f t="shared" ref="BK17" ca="1" si="726">IF(BK$13&lt;&gt;"", "Frete do café verde", "")</f>
        <v>Frete do café verde</v>
      </c>
      <c r="BL17" s="104">
        <f t="shared" ref="BL17" ca="1" si="727">IF(BL$13&lt;&gt;"", -1000,"")</f>
        <v>-1000</v>
      </c>
      <c r="BM17" s="63"/>
      <c r="BN17" s="63"/>
      <c r="BO17" s="105" t="str">
        <f t="shared" ref="BO17" ca="1" si="728">IF(BO$13&lt;&gt;"", "Frete do café verde", "")</f>
        <v/>
      </c>
      <c r="BP17" s="104" t="str">
        <f t="shared" ref="BP17" ca="1" si="729">IF(BP$13&lt;&gt;"", -1000,"")</f>
        <v/>
      </c>
      <c r="BQ17" s="63"/>
      <c r="BR17" s="63"/>
      <c r="BS17" s="105" t="str">
        <f t="shared" ref="BS17" ca="1" si="730">IF(BS$13&lt;&gt;"", "Frete do café verde", "")</f>
        <v/>
      </c>
      <c r="BT17" s="104" t="str">
        <f t="shared" ref="BT17" ca="1" si="731">IF(BT$13&lt;&gt;"", -1000,"")</f>
        <v/>
      </c>
      <c r="BU17" s="63"/>
      <c r="BV17" s="63"/>
      <c r="BW17" s="105" t="str">
        <f t="shared" ref="BW17" ca="1" si="732">IF(BW$13&lt;&gt;"", "Frete do café verde", "")</f>
        <v>Frete do café verde</v>
      </c>
      <c r="BX17" s="104">
        <f t="shared" ref="BX17" ca="1" si="733">IF(BX$13&lt;&gt;"", -1000,"")</f>
        <v>-1000</v>
      </c>
      <c r="BY17" s="63"/>
      <c r="BZ17" s="63"/>
      <c r="CA17" s="105" t="str">
        <f t="shared" ref="CA17" ca="1" si="734">IF(CA$13&lt;&gt;"", "Frete do café verde", "")</f>
        <v/>
      </c>
      <c r="CB17" s="104" t="str">
        <f t="shared" ref="CB17" ca="1" si="735">IF(CB$13&lt;&gt;"", -1000,"")</f>
        <v/>
      </c>
      <c r="CC17" s="63"/>
      <c r="CD17" s="63"/>
      <c r="CE17" s="105" t="str">
        <f t="shared" ref="CE17" ca="1" si="736">IF(CE$13&lt;&gt;"", "Frete do café verde", "")</f>
        <v/>
      </c>
      <c r="CF17" s="104" t="str">
        <f t="shared" ref="CF17" ca="1" si="737">IF(CF$13&lt;&gt;"", -1000,"")</f>
        <v/>
      </c>
      <c r="CG17" s="63"/>
      <c r="CH17" s="63"/>
      <c r="CI17" s="105" t="str">
        <f t="shared" ref="CI17" ca="1" si="738">IF(CI$13&lt;&gt;"", "Frete do café verde", "")</f>
        <v>Frete do café verde</v>
      </c>
      <c r="CJ17" s="104">
        <f t="shared" ref="CJ17" ca="1" si="739">IF(CJ$13&lt;&gt;"", -1000,"")</f>
        <v>-1000</v>
      </c>
      <c r="CK17" s="63"/>
      <c r="CL17" s="63"/>
      <c r="CM17" s="105" t="str">
        <f t="shared" ref="CM17" ca="1" si="740">IF(CM$13&lt;&gt;"", "Frete do café verde", "")</f>
        <v/>
      </c>
      <c r="CN17" s="104" t="str">
        <f t="shared" ref="CN17" ca="1" si="741">IF(CN$13&lt;&gt;"", -1000,"")</f>
        <v/>
      </c>
      <c r="CO17" s="63"/>
      <c r="CP17" s="63"/>
      <c r="CQ17" s="105" t="str">
        <f t="shared" ref="CQ17" ca="1" si="742">IF(CQ$13&lt;&gt;"", "Frete do café verde", "")</f>
        <v/>
      </c>
      <c r="CR17" s="104" t="str">
        <f t="shared" ref="CR17" ca="1" si="743">IF(CR$13&lt;&gt;"", -1000,"")</f>
        <v/>
      </c>
      <c r="CS17" s="63"/>
      <c r="CT17" s="63"/>
      <c r="CU17" s="105" t="str">
        <f t="shared" ref="CU17" ca="1" si="744">IF(CU$13&lt;&gt;"", "Frete do café verde", "")</f>
        <v>Frete do café verde</v>
      </c>
      <c r="CV17" s="104">
        <f t="shared" ref="CV17" ca="1" si="745">IF(CV$13&lt;&gt;"", -1000,"")</f>
        <v>-1000</v>
      </c>
      <c r="CW17" s="63"/>
      <c r="CX17" s="63"/>
      <c r="CY17" s="105" t="str">
        <f t="shared" ref="CY17" ca="1" si="746">IF(CY$13&lt;&gt;"", "Frete do café verde", "")</f>
        <v/>
      </c>
      <c r="CZ17" s="104" t="str">
        <f t="shared" ref="CZ17" ca="1" si="747">IF(CZ$13&lt;&gt;"", -1000,"")</f>
        <v/>
      </c>
      <c r="DA17" s="63"/>
      <c r="DB17" s="63"/>
      <c r="DC17" s="105" t="str">
        <f t="shared" ref="DC17" ca="1" si="748">IF(DC$13&lt;&gt;"", "Frete do café verde", "")</f>
        <v/>
      </c>
      <c r="DD17" s="104" t="str">
        <f t="shared" ref="DD17" ca="1" si="749">IF(DD$13&lt;&gt;"", -1000,"")</f>
        <v/>
      </c>
      <c r="DE17" s="63"/>
      <c r="DF17" s="63"/>
      <c r="DG17" s="105" t="str">
        <f t="shared" ref="DG17" ca="1" si="750">IF(DG$13&lt;&gt;"", "Frete do café verde", "")</f>
        <v>Frete do café verde</v>
      </c>
      <c r="DH17" s="104">
        <f t="shared" ref="DH17" ca="1" si="751">IF(DH$13&lt;&gt;"", -1000,"")</f>
        <v>-1000</v>
      </c>
      <c r="DI17" s="63"/>
      <c r="DJ17" s="63"/>
      <c r="DK17" s="105" t="str">
        <f t="shared" ref="DK17" ca="1" si="752">IF(DK$13&lt;&gt;"", "Frete do café verde", "")</f>
        <v/>
      </c>
      <c r="DL17" s="104" t="str">
        <f t="shared" ref="DL17" ca="1" si="753">IF(DL$13&lt;&gt;"", -1000,"")</f>
        <v/>
      </c>
      <c r="DM17" s="63"/>
      <c r="DN17" s="63"/>
      <c r="DO17" s="105" t="str">
        <f t="shared" ref="DO17" ca="1" si="754">IF(DO$13&lt;&gt;"", "Frete do café verde", "")</f>
        <v/>
      </c>
      <c r="DP17" s="104" t="str">
        <f t="shared" ref="DP17" ca="1" si="755">IF(DP$13&lt;&gt;"", -1000,"")</f>
        <v/>
      </c>
      <c r="DQ17" s="63"/>
      <c r="DR17" s="63"/>
      <c r="DS17" s="105" t="str">
        <f t="shared" ref="DS17" ca="1" si="756">IF(DS$13&lt;&gt;"", "Frete do café verde", "")</f>
        <v>Frete do café verde</v>
      </c>
      <c r="DT17" s="104">
        <f t="shared" ref="DT17" ca="1" si="757">IF(DT$13&lt;&gt;"", -1000,"")</f>
        <v>-1000</v>
      </c>
      <c r="DU17" s="63"/>
      <c r="DV17" s="63"/>
      <c r="DW17" s="105" t="str">
        <f t="shared" ref="DW17" ca="1" si="758">IF(DW$13&lt;&gt;"", "Frete do café verde", "")</f>
        <v/>
      </c>
      <c r="DX17" s="104" t="str">
        <f t="shared" ref="DX17" ca="1" si="759">IF(DX$13&lt;&gt;"", -1000,"")</f>
        <v/>
      </c>
      <c r="DY17" s="63"/>
      <c r="DZ17" s="63"/>
      <c r="EA17" s="105" t="str">
        <f t="shared" ref="EA17" ca="1" si="760">IF(EA$13&lt;&gt;"", "Frete do café verde", "")</f>
        <v/>
      </c>
      <c r="EB17" s="104" t="str">
        <f t="shared" ref="EB17" ca="1" si="761">IF(EB$13&lt;&gt;"", -1000,"")</f>
        <v/>
      </c>
      <c r="EC17" s="63"/>
      <c r="ED17" s="63"/>
      <c r="EE17" s="105" t="str">
        <f t="shared" ref="EE17" ca="1" si="762">IF(EE$13&lt;&gt;"", "Frete do café verde", "")</f>
        <v>Frete do café verde</v>
      </c>
      <c r="EF17" s="104">
        <f t="shared" ref="EF17" ca="1" si="763">IF(EF$13&lt;&gt;"", -1000,"")</f>
        <v>-1000</v>
      </c>
      <c r="EG17" s="63"/>
      <c r="EH17" s="63"/>
      <c r="EI17" s="105" t="str">
        <f t="shared" ref="EI17" ca="1" si="764">IF(EI$13&lt;&gt;"", "Frete do café verde", "")</f>
        <v/>
      </c>
      <c r="EJ17" s="104" t="str">
        <f t="shared" ref="EJ17" ca="1" si="765">IF(EJ$13&lt;&gt;"", -1000,"")</f>
        <v/>
      </c>
      <c r="EK17" s="63"/>
      <c r="EL17" s="63"/>
      <c r="EM17" s="105" t="str">
        <f t="shared" ref="EM17" ca="1" si="766">IF(EM$13&lt;&gt;"", "Frete do café verde", "")</f>
        <v/>
      </c>
      <c r="EN17" s="104" t="str">
        <f t="shared" ref="EN17" ca="1" si="767">IF(EN$13&lt;&gt;"", -1000,"")</f>
        <v/>
      </c>
      <c r="EO17" s="63"/>
      <c r="EP17" s="63"/>
      <c r="EQ17" s="105" t="str">
        <f t="shared" ref="EQ17" ca="1" si="768">IF(EQ$13&lt;&gt;"", "Frete do café verde", "")</f>
        <v>Frete do café verde</v>
      </c>
      <c r="ER17" s="104">
        <f t="shared" ref="ER17" ca="1" si="769">IF(ER$13&lt;&gt;"", -1000,"")</f>
        <v>-1000</v>
      </c>
      <c r="ES17" s="63"/>
      <c r="ET17" s="63"/>
      <c r="EU17" s="105" t="str">
        <f t="shared" ref="EU17" ca="1" si="770">IF(EU$13&lt;&gt;"", "Frete do café verde", "")</f>
        <v/>
      </c>
      <c r="EV17" s="104" t="str">
        <f t="shared" ref="EV17" ca="1" si="771">IF(EV$13&lt;&gt;"", -1000,"")</f>
        <v/>
      </c>
      <c r="EW17" s="63"/>
      <c r="EX17" s="63"/>
      <c r="EY17" s="105" t="str">
        <f t="shared" ref="EY17" ca="1" si="772">IF(EY$13&lt;&gt;"", "Frete do café verde", "")</f>
        <v/>
      </c>
      <c r="EZ17" s="104" t="str">
        <f t="shared" ref="EZ17" ca="1" si="773">IF(EZ$13&lt;&gt;"", -1000,"")</f>
        <v/>
      </c>
      <c r="FA17" s="63"/>
      <c r="FB17" s="63"/>
      <c r="FC17" s="105" t="str">
        <f t="shared" ref="FC17" ca="1" si="774">IF(FC$13&lt;&gt;"", "Frete do café verde", "")</f>
        <v>Frete do café verde</v>
      </c>
      <c r="FD17" s="104">
        <f t="shared" ref="FD17" ca="1" si="775">IF(FD$13&lt;&gt;"", -1000,"")</f>
        <v>-1000</v>
      </c>
      <c r="FE17" s="63"/>
      <c r="FF17" s="63"/>
      <c r="FG17" s="105" t="str">
        <f t="shared" ref="FG17" ca="1" si="776">IF(FG$13&lt;&gt;"", "Frete do café verde", "")</f>
        <v/>
      </c>
      <c r="FH17" s="104" t="str">
        <f t="shared" ref="FH17" ca="1" si="777">IF(FH$13&lt;&gt;"", -1000,"")</f>
        <v/>
      </c>
      <c r="FI17" s="63"/>
      <c r="FJ17" s="63"/>
      <c r="FK17" s="105" t="str">
        <f t="shared" ref="FK17" ca="1" si="778">IF(FK$13&lt;&gt;"", "Frete do café verde", "")</f>
        <v/>
      </c>
      <c r="FL17" s="104" t="str">
        <f t="shared" ref="FL17" ca="1" si="779">IF(FL$13&lt;&gt;"", -1000,"")</f>
        <v/>
      </c>
      <c r="FM17" s="63"/>
      <c r="FN17" s="63"/>
      <c r="FO17" s="105" t="str">
        <f t="shared" ref="FO17" ca="1" si="780">IF(FO$13&lt;&gt;"", "Frete do café verde", "")</f>
        <v>Frete do café verde</v>
      </c>
      <c r="FP17" s="104">
        <f t="shared" ref="FP17" ca="1" si="781">IF(FP$13&lt;&gt;"", -1000,"")</f>
        <v>-1000</v>
      </c>
      <c r="FQ17" s="63"/>
      <c r="FR17" s="63"/>
      <c r="FS17" s="105" t="str">
        <f t="shared" ref="FS17" ca="1" si="782">IF(FS$13&lt;&gt;"", "Frete do café verde", "")</f>
        <v/>
      </c>
      <c r="FT17" s="104" t="str">
        <f t="shared" ref="FT17" ca="1" si="783">IF(FT$13&lt;&gt;"", -1000,"")</f>
        <v/>
      </c>
      <c r="FU17" s="63"/>
      <c r="FV17" s="63"/>
      <c r="FW17" s="105" t="str">
        <f t="shared" ref="FW17" ca="1" si="784">IF(FW$13&lt;&gt;"", "Frete do café verde", "")</f>
        <v/>
      </c>
      <c r="FX17" s="104" t="str">
        <f t="shared" ref="FX17" ca="1" si="785">IF(FX$13&lt;&gt;"", -1000,"")</f>
        <v/>
      </c>
      <c r="FY17" s="63"/>
      <c r="FZ17" s="63"/>
      <c r="GA17" s="105" t="str">
        <f t="shared" ref="GA17" ca="1" si="786">IF(GA$13&lt;&gt;"", "Frete do café verde", "")</f>
        <v>Frete do café verde</v>
      </c>
      <c r="GB17" s="104">
        <f t="shared" ref="GB17" ca="1" si="787">IF(GB$13&lt;&gt;"", -1000,"")</f>
        <v>-1000</v>
      </c>
      <c r="GC17" s="63"/>
      <c r="GD17" s="63"/>
      <c r="GE17" s="105" t="str">
        <f t="shared" ref="GE17" ca="1" si="788">IF(GE$13&lt;&gt;"", "Frete do café verde", "")</f>
        <v/>
      </c>
      <c r="GF17" s="104" t="str">
        <f t="shared" ref="GF17" ca="1" si="789">IF(GF$13&lt;&gt;"", -1000,"")</f>
        <v/>
      </c>
      <c r="GG17" s="63"/>
      <c r="GH17" s="63"/>
      <c r="GI17" s="105" t="str">
        <f t="shared" ref="GI17" ca="1" si="790">IF(GI$13&lt;&gt;"", "Frete do café verde", "")</f>
        <v/>
      </c>
      <c r="GJ17" s="104" t="str">
        <f t="shared" ref="GJ17" ca="1" si="791">IF(GJ$13&lt;&gt;"", -1000,"")</f>
        <v/>
      </c>
      <c r="GK17" s="63"/>
      <c r="GL17" s="63"/>
      <c r="GM17" s="105" t="str">
        <f t="shared" ref="GM17" ca="1" si="792">IF(GM$13&lt;&gt;"", "Frete do café verde", "")</f>
        <v>Frete do café verde</v>
      </c>
      <c r="GN17" s="104">
        <f t="shared" ref="GN17" ca="1" si="793">IF(GN$13&lt;&gt;"", -1000,"")</f>
        <v>-1000</v>
      </c>
      <c r="GO17" s="63"/>
      <c r="GP17" s="63"/>
      <c r="GQ17" s="105" t="str">
        <f t="shared" ref="GQ17" ca="1" si="794">IF(GQ$13&lt;&gt;"", "Frete do café verde", "")</f>
        <v/>
      </c>
      <c r="GR17" s="104" t="str">
        <f t="shared" ref="GR17" ca="1" si="795">IF(GR$13&lt;&gt;"", -1000,"")</f>
        <v/>
      </c>
      <c r="GS17" s="63"/>
      <c r="GT17" s="63"/>
      <c r="GU17" s="105" t="str">
        <f t="shared" ref="GU17" ca="1" si="796">IF(GU$13&lt;&gt;"", "Frete do café verde", "")</f>
        <v/>
      </c>
      <c r="GV17" s="104" t="str">
        <f t="shared" ref="GV17" ca="1" si="797">IF(GV$13&lt;&gt;"", -1000,"")</f>
        <v/>
      </c>
      <c r="GW17" s="63"/>
      <c r="GX17" s="63"/>
      <c r="GY17" s="105" t="str">
        <f t="shared" ref="GY17" ca="1" si="798">IF(GY$13&lt;&gt;"", "Frete do café verde", "")</f>
        <v>Frete do café verde</v>
      </c>
      <c r="GZ17" s="104">
        <f t="shared" ref="GZ17" ca="1" si="799">IF(GZ$13&lt;&gt;"", -1000,"")</f>
        <v>-1000</v>
      </c>
      <c r="HA17" s="63"/>
      <c r="HB17" s="63"/>
      <c r="HC17" s="105" t="str">
        <f t="shared" ref="HC17" ca="1" si="800">IF(HC$13&lt;&gt;"", "Frete do café verde", "")</f>
        <v/>
      </c>
      <c r="HD17" s="104" t="str">
        <f t="shared" ref="HD17" ca="1" si="801">IF(HD$13&lt;&gt;"", -1000,"")</f>
        <v/>
      </c>
      <c r="HE17" s="63"/>
      <c r="HF17" s="63"/>
      <c r="HG17" s="105" t="str">
        <f t="shared" ref="HG17" ca="1" si="802">IF(HG$13&lt;&gt;"", "Frete do café verde", "")</f>
        <v/>
      </c>
      <c r="HH17" s="104" t="str">
        <f t="shared" ref="HH17" ca="1" si="803">IF(HH$13&lt;&gt;"", -1000,"")</f>
        <v/>
      </c>
      <c r="HI17" s="63"/>
      <c r="HJ17" s="63"/>
      <c r="HK17" s="105" t="str">
        <f t="shared" ref="HK17" ca="1" si="804">IF(HK$13&lt;&gt;"", "Frete do café verde", "")</f>
        <v>Frete do café verde</v>
      </c>
      <c r="HL17" s="104">
        <f t="shared" ref="HL17" ca="1" si="805">IF(HL$13&lt;&gt;"", -1000,"")</f>
        <v>-1000</v>
      </c>
      <c r="HM17" s="63"/>
      <c r="HN17" s="63"/>
      <c r="HO17" s="105" t="str">
        <f t="shared" ref="HO17" ca="1" si="806">IF(HO$13&lt;&gt;"", "Frete do café verde", "")</f>
        <v/>
      </c>
      <c r="HP17" s="104" t="str">
        <f t="shared" ref="HP17" ca="1" si="807">IF(HP$13&lt;&gt;"", -1000,"")</f>
        <v/>
      </c>
      <c r="HQ17" s="63"/>
      <c r="HR17" s="63"/>
      <c r="HS17" s="105" t="str">
        <f t="shared" ref="HS17" ca="1" si="808">IF(HS$13&lt;&gt;"", "Frete do café verde", "")</f>
        <v/>
      </c>
      <c r="HT17" s="104" t="str">
        <f t="shared" ref="HT17" ca="1" si="809">IF(HT$13&lt;&gt;"", -1000,"")</f>
        <v/>
      </c>
      <c r="HU17" s="63"/>
      <c r="HV17" s="63"/>
      <c r="HW17" s="105" t="str">
        <f t="shared" ref="HW17" ca="1" si="810">IF(HW$13&lt;&gt;"", "Frete do café verde", "")</f>
        <v>Frete do café verde</v>
      </c>
      <c r="HX17" s="104">
        <f t="shared" ref="HX17" ca="1" si="811">IF(HX$13&lt;&gt;"", -1000,"")</f>
        <v>-1000</v>
      </c>
      <c r="HY17" s="63"/>
      <c r="HZ17" s="63"/>
      <c r="IA17" s="105" t="str">
        <f t="shared" ref="IA17" ca="1" si="812">IF(IA$13&lt;&gt;"", "Frete do café verde", "")</f>
        <v/>
      </c>
      <c r="IB17" s="104" t="str">
        <f t="shared" ref="IB17" ca="1" si="813">IF(IB$13&lt;&gt;"", -1000,"")</f>
        <v/>
      </c>
      <c r="IC17" s="63"/>
      <c r="ID17" s="63"/>
      <c r="IE17" s="105" t="str">
        <f t="shared" ref="IE17" ca="1" si="814">IF(IE$13&lt;&gt;"", "Frete do café verde", "")</f>
        <v/>
      </c>
      <c r="IF17" s="104" t="str">
        <f t="shared" ref="IF17" ca="1" si="815">IF(IF$13&lt;&gt;"", -1000,"")</f>
        <v/>
      </c>
      <c r="IG17" s="63"/>
      <c r="IH17" s="63"/>
      <c r="II17" s="105" t="str">
        <f t="shared" ref="II17" ca="1" si="816">IF(II$13&lt;&gt;"", "Frete do café verde", "")</f>
        <v>Frete do café verde</v>
      </c>
      <c r="IJ17" s="104">
        <f t="shared" ref="IJ17" ca="1" si="817">IF(IJ$13&lt;&gt;"", -1000,"")</f>
        <v>-1000</v>
      </c>
      <c r="IK17" s="63"/>
      <c r="IL17" s="63"/>
      <c r="IM17" s="105" t="str">
        <f t="shared" ref="IM17" ca="1" si="818">IF(IM$13&lt;&gt;"", "Frete do café verde", "")</f>
        <v/>
      </c>
      <c r="IN17" s="104" t="str">
        <f t="shared" ref="IN17" ca="1" si="819">IF(IN$13&lt;&gt;"", -1000,"")</f>
        <v/>
      </c>
      <c r="IO17" s="63"/>
      <c r="IP17" s="63"/>
      <c r="IQ17" s="105" t="str">
        <f t="shared" ref="IQ17" ca="1" si="820">IF(IQ$13&lt;&gt;"", "Frete do café verde", "")</f>
        <v/>
      </c>
      <c r="IR17" s="104" t="str">
        <f t="shared" ref="IR17" ca="1" si="821">IF(IR$13&lt;&gt;"", -1000,"")</f>
        <v/>
      </c>
      <c r="IS17" s="63"/>
      <c r="IT17" s="63"/>
      <c r="IU17" s="105" t="str">
        <f t="shared" ref="IU17" ca="1" si="822">IF(IU$13&lt;&gt;"", "Frete do café verde", "")</f>
        <v>Frete do café verde</v>
      </c>
      <c r="IV17" s="104">
        <f t="shared" ref="IV17" ca="1" si="823">IF(IV$13&lt;&gt;"", -1000,"")</f>
        <v>-1000</v>
      </c>
      <c r="IW17" s="63"/>
      <c r="IX17" s="63"/>
      <c r="IY17" s="105" t="str">
        <f t="shared" ref="IY17" ca="1" si="824">IF(IY$13&lt;&gt;"", "Frete do café verde", "")</f>
        <v/>
      </c>
      <c r="IZ17" s="104" t="str">
        <f t="shared" ref="IZ17" ca="1" si="825">IF(IZ$13&lt;&gt;"", -1000,"")</f>
        <v/>
      </c>
      <c r="JA17" s="63"/>
      <c r="JB17" s="63"/>
      <c r="JC17" s="105" t="str">
        <f t="shared" ref="JC17" ca="1" si="826">IF(JC$13&lt;&gt;"", "Frete do café verde", "")</f>
        <v/>
      </c>
      <c r="JD17" s="104" t="str">
        <f t="shared" ref="JD17" ca="1" si="827">IF(JD$13&lt;&gt;"", -1000,"")</f>
        <v/>
      </c>
      <c r="JE17" s="63"/>
      <c r="JF17" s="63"/>
      <c r="JG17" s="105" t="str">
        <f t="shared" ref="JG17" ca="1" si="828">IF(JG$13&lt;&gt;"", "Frete do café verde", "")</f>
        <v>Frete do café verde</v>
      </c>
      <c r="JH17" s="104">
        <f t="shared" ref="JH17" ca="1" si="829">IF(JH$13&lt;&gt;"", -1000,"")</f>
        <v>-1000</v>
      </c>
      <c r="JI17" s="63"/>
      <c r="JJ17" s="63"/>
      <c r="JK17" s="105" t="str">
        <f t="shared" ref="JK17" ca="1" si="830">IF(JK$13&lt;&gt;"", "Frete do café verde", "")</f>
        <v/>
      </c>
      <c r="JL17" s="104" t="str">
        <f t="shared" ref="JL17" ca="1" si="831">IF(JL$13&lt;&gt;"", -1000,"")</f>
        <v/>
      </c>
      <c r="JM17" s="63"/>
      <c r="JN17" s="63"/>
      <c r="JO17" s="105" t="str">
        <f t="shared" ref="JO17" ca="1" si="832">IF(JO$13&lt;&gt;"", "Frete do café verde", "")</f>
        <v/>
      </c>
      <c r="JP17" s="104" t="str">
        <f t="shared" ref="JP17" ca="1" si="833">IF(JP$13&lt;&gt;"", -1000,"")</f>
        <v/>
      </c>
      <c r="JQ17" s="63"/>
      <c r="JR17" s="63"/>
      <c r="JS17" s="105" t="str">
        <f t="shared" ref="JS17" ca="1" si="834">IF(JS$13&lt;&gt;"", "Frete do café verde", "")</f>
        <v>Frete do café verde</v>
      </c>
      <c r="JT17" s="104">
        <f t="shared" ref="JT17" ca="1" si="835">IF(JT$13&lt;&gt;"", -1000,"")</f>
        <v>-1000</v>
      </c>
      <c r="JU17" s="63"/>
      <c r="JV17" s="63"/>
      <c r="JW17" s="105" t="str">
        <f t="shared" ref="JW17" ca="1" si="836">IF(JW$13&lt;&gt;"", "Frete do café verde", "")</f>
        <v/>
      </c>
      <c r="JX17" s="104" t="str">
        <f t="shared" ref="JX17" ca="1" si="837">IF(JX$13&lt;&gt;"", -1000,"")</f>
        <v/>
      </c>
      <c r="JY17" s="63"/>
      <c r="JZ17" s="63"/>
      <c r="KA17" s="105" t="str">
        <f t="shared" ref="KA17" ca="1" si="838">IF(KA$13&lt;&gt;"", "Frete do café verde", "")</f>
        <v/>
      </c>
      <c r="KB17" s="104" t="str">
        <f t="shared" ref="KB17" ca="1" si="839">IF(KB$13&lt;&gt;"", -1000,"")</f>
        <v/>
      </c>
      <c r="KC17" s="63"/>
      <c r="KD17" s="63"/>
    </row>
    <row r="18" spans="1:290" x14ac:dyDescent="0.25">
      <c r="C18" s="107" t="s">
        <v>191</v>
      </c>
      <c r="D18" s="108">
        <f>-'Investimento Inicial'!$B$7</f>
        <v>-3000</v>
      </c>
      <c r="E18" s="63"/>
      <c r="F18" s="63"/>
      <c r="G18" s="107" t="s">
        <v>191</v>
      </c>
      <c r="H18" s="108">
        <f>-'Investimento Inicial'!$B$7</f>
        <v>-3000</v>
      </c>
      <c r="I18" s="63"/>
      <c r="J18" s="63"/>
      <c r="K18" s="107" t="s">
        <v>191</v>
      </c>
      <c r="L18" s="108">
        <f>-'Investimento Inicial'!$B$7</f>
        <v>-3000</v>
      </c>
      <c r="M18" s="63"/>
      <c r="N18" s="63"/>
      <c r="O18" s="107" t="s">
        <v>191</v>
      </c>
      <c r="P18" s="108">
        <f>-'Investimento Inicial'!$B$7</f>
        <v>-3000</v>
      </c>
      <c r="Q18" s="63"/>
      <c r="R18" s="63"/>
      <c r="S18" s="107" t="s">
        <v>191</v>
      </c>
      <c r="T18" s="108">
        <f>-'Investimento Inicial'!$B$7</f>
        <v>-3000</v>
      </c>
      <c r="U18" s="63"/>
      <c r="V18" s="63"/>
      <c r="W18" s="107" t="s">
        <v>191</v>
      </c>
      <c r="X18" s="108">
        <f>-'Investimento Inicial'!$B$7</f>
        <v>-3000</v>
      </c>
      <c r="Y18" s="63"/>
      <c r="Z18" s="63"/>
      <c r="AA18" s="107" t="s">
        <v>191</v>
      </c>
      <c r="AB18" s="108">
        <f>-'Investimento Inicial'!$B$7</f>
        <v>-3000</v>
      </c>
      <c r="AC18" s="63"/>
      <c r="AD18" s="63"/>
      <c r="AE18" s="107" t="s">
        <v>191</v>
      </c>
      <c r="AF18" s="108">
        <f>-'Investimento Inicial'!$B$7</f>
        <v>-3000</v>
      </c>
      <c r="AG18" s="63"/>
      <c r="AH18" s="63"/>
      <c r="AI18" s="107" t="s">
        <v>191</v>
      </c>
      <c r="AJ18" s="108">
        <f>-'Investimento Inicial'!$B$7</f>
        <v>-3000</v>
      </c>
      <c r="AK18" s="63"/>
      <c r="AL18" s="63"/>
      <c r="AM18" s="107" t="s">
        <v>191</v>
      </c>
      <c r="AN18" s="108">
        <f>-'Investimento Inicial'!$B$7</f>
        <v>-3000</v>
      </c>
      <c r="AO18" s="63"/>
      <c r="AP18" s="63"/>
      <c r="AQ18" s="107" t="s">
        <v>191</v>
      </c>
      <c r="AR18" s="108">
        <f>-'Investimento Inicial'!$B$7</f>
        <v>-3000</v>
      </c>
      <c r="AS18" s="63"/>
      <c r="AT18" s="63"/>
      <c r="AU18" s="107" t="s">
        <v>191</v>
      </c>
      <c r="AV18" s="108">
        <f>-'Investimento Inicial'!$B$7</f>
        <v>-3000</v>
      </c>
      <c r="AW18" s="63"/>
      <c r="AX18" s="63"/>
      <c r="AY18" s="107" t="s">
        <v>191</v>
      </c>
      <c r="AZ18" s="108">
        <f>-'Investimento Inicial'!$B$7</f>
        <v>-3000</v>
      </c>
      <c r="BA18" s="63"/>
      <c r="BB18" s="63"/>
      <c r="BC18" s="107" t="s">
        <v>191</v>
      </c>
      <c r="BD18" s="108">
        <f>-'Investimento Inicial'!$B$7</f>
        <v>-3000</v>
      </c>
      <c r="BE18" s="63"/>
      <c r="BF18" s="63"/>
      <c r="BG18" s="107" t="s">
        <v>191</v>
      </c>
      <c r="BH18" s="108">
        <f>-'Investimento Inicial'!$B$7</f>
        <v>-3000</v>
      </c>
      <c r="BI18" s="63"/>
      <c r="BJ18" s="63"/>
      <c r="BK18" s="107" t="s">
        <v>191</v>
      </c>
      <c r="BL18" s="108">
        <f>-'Investimento Inicial'!$B$7</f>
        <v>-3000</v>
      </c>
      <c r="BM18" s="63"/>
      <c r="BN18" s="63"/>
      <c r="BO18" s="107" t="s">
        <v>191</v>
      </c>
      <c r="BP18" s="108">
        <f>-'Investimento Inicial'!$B$7</f>
        <v>-3000</v>
      </c>
      <c r="BQ18" s="63"/>
      <c r="BR18" s="63"/>
      <c r="BS18" s="107" t="s">
        <v>191</v>
      </c>
      <c r="BT18" s="108">
        <f>-'Investimento Inicial'!$B$7</f>
        <v>-3000</v>
      </c>
      <c r="BU18" s="63"/>
      <c r="BV18" s="63"/>
      <c r="BW18" s="107" t="s">
        <v>191</v>
      </c>
      <c r="BX18" s="108">
        <f>-'Investimento Inicial'!$B$7</f>
        <v>-3000</v>
      </c>
      <c r="BY18" s="63"/>
      <c r="BZ18" s="63"/>
      <c r="CA18" s="107" t="s">
        <v>191</v>
      </c>
      <c r="CB18" s="108">
        <f>-'Investimento Inicial'!$B$7</f>
        <v>-3000</v>
      </c>
      <c r="CC18" s="63"/>
      <c r="CD18" s="63"/>
      <c r="CE18" s="107" t="s">
        <v>191</v>
      </c>
      <c r="CF18" s="108">
        <f>-'Investimento Inicial'!$B$7</f>
        <v>-3000</v>
      </c>
      <c r="CG18" s="63"/>
      <c r="CH18" s="63"/>
      <c r="CI18" s="107" t="s">
        <v>191</v>
      </c>
      <c r="CJ18" s="108">
        <f>-'Investimento Inicial'!$B$7</f>
        <v>-3000</v>
      </c>
      <c r="CK18" s="63"/>
      <c r="CL18" s="63"/>
      <c r="CM18" s="107" t="s">
        <v>191</v>
      </c>
      <c r="CN18" s="108">
        <f>-'Investimento Inicial'!$B$7</f>
        <v>-3000</v>
      </c>
      <c r="CO18" s="63"/>
      <c r="CP18" s="63"/>
      <c r="CQ18" s="107" t="s">
        <v>191</v>
      </c>
      <c r="CR18" s="108">
        <f>-'Investimento Inicial'!$B$7</f>
        <v>-3000</v>
      </c>
      <c r="CS18" s="63"/>
      <c r="CT18" s="63"/>
      <c r="CU18" s="107" t="s">
        <v>191</v>
      </c>
      <c r="CV18" s="108">
        <f>-'Investimento Inicial'!$B$7</f>
        <v>-3000</v>
      </c>
      <c r="CW18" s="63"/>
      <c r="CX18" s="63"/>
      <c r="CY18" s="107" t="s">
        <v>191</v>
      </c>
      <c r="CZ18" s="108">
        <f>-'Investimento Inicial'!$B$7</f>
        <v>-3000</v>
      </c>
      <c r="DA18" s="63"/>
      <c r="DB18" s="63"/>
      <c r="DC18" s="107" t="s">
        <v>191</v>
      </c>
      <c r="DD18" s="108">
        <f>-'Investimento Inicial'!$B$7</f>
        <v>-3000</v>
      </c>
      <c r="DE18" s="63"/>
      <c r="DF18" s="63"/>
      <c r="DG18" s="107" t="s">
        <v>191</v>
      </c>
      <c r="DH18" s="108">
        <f>-'Investimento Inicial'!$B$7</f>
        <v>-3000</v>
      </c>
      <c r="DI18" s="63"/>
      <c r="DJ18" s="63"/>
      <c r="DK18" s="107" t="s">
        <v>191</v>
      </c>
      <c r="DL18" s="108">
        <f>-'Investimento Inicial'!$B$7</f>
        <v>-3000</v>
      </c>
      <c r="DM18" s="63"/>
      <c r="DN18" s="63"/>
      <c r="DO18" s="107" t="s">
        <v>191</v>
      </c>
      <c r="DP18" s="108">
        <f>-'Investimento Inicial'!$B$7</f>
        <v>-3000</v>
      </c>
      <c r="DQ18" s="63"/>
      <c r="DR18" s="63"/>
      <c r="DS18" s="107" t="s">
        <v>191</v>
      </c>
      <c r="DT18" s="108">
        <f>-'Investimento Inicial'!$B$7</f>
        <v>-3000</v>
      </c>
      <c r="DU18" s="63"/>
      <c r="DV18" s="63"/>
      <c r="DW18" s="107" t="s">
        <v>191</v>
      </c>
      <c r="DX18" s="108">
        <f>-'Investimento Inicial'!$B$7</f>
        <v>-3000</v>
      </c>
      <c r="DY18" s="63"/>
      <c r="DZ18" s="63"/>
      <c r="EA18" s="107" t="s">
        <v>191</v>
      </c>
      <c r="EB18" s="108">
        <f>-'Investimento Inicial'!$B$7</f>
        <v>-3000</v>
      </c>
      <c r="EC18" s="63"/>
      <c r="ED18" s="63"/>
      <c r="EE18" s="107" t="s">
        <v>191</v>
      </c>
      <c r="EF18" s="108">
        <f>-'Investimento Inicial'!$B$7</f>
        <v>-3000</v>
      </c>
      <c r="EG18" s="63"/>
      <c r="EH18" s="63"/>
      <c r="EI18" s="107" t="s">
        <v>191</v>
      </c>
      <c r="EJ18" s="108">
        <f>-'Investimento Inicial'!$B$7</f>
        <v>-3000</v>
      </c>
      <c r="EK18" s="63"/>
      <c r="EL18" s="63"/>
      <c r="EM18" s="107" t="s">
        <v>191</v>
      </c>
      <c r="EN18" s="108">
        <f>-'Investimento Inicial'!$B$7</f>
        <v>-3000</v>
      </c>
      <c r="EO18" s="63"/>
      <c r="EP18" s="63"/>
      <c r="EQ18" s="107" t="s">
        <v>191</v>
      </c>
      <c r="ER18" s="108">
        <f>-'Investimento Inicial'!$B$7</f>
        <v>-3000</v>
      </c>
      <c r="ES18" s="63"/>
      <c r="ET18" s="63"/>
      <c r="EU18" s="107" t="s">
        <v>191</v>
      </c>
      <c r="EV18" s="108">
        <f>-'Investimento Inicial'!$B$7</f>
        <v>-3000</v>
      </c>
      <c r="EW18" s="63"/>
      <c r="EX18" s="63"/>
      <c r="EY18" s="107" t="s">
        <v>191</v>
      </c>
      <c r="EZ18" s="108">
        <f>-'Investimento Inicial'!$B$7</f>
        <v>-3000</v>
      </c>
      <c r="FA18" s="63"/>
      <c r="FB18" s="63"/>
      <c r="FC18" s="107" t="s">
        <v>191</v>
      </c>
      <c r="FD18" s="108">
        <f>-'Investimento Inicial'!$B$7</f>
        <v>-3000</v>
      </c>
      <c r="FE18" s="63"/>
      <c r="FF18" s="63"/>
      <c r="FG18" s="107" t="s">
        <v>191</v>
      </c>
      <c r="FH18" s="108">
        <f>-'Investimento Inicial'!$B$7</f>
        <v>-3000</v>
      </c>
      <c r="FI18" s="63"/>
      <c r="FJ18" s="63"/>
      <c r="FK18" s="107" t="s">
        <v>191</v>
      </c>
      <c r="FL18" s="108">
        <f>-'Investimento Inicial'!$B$7</f>
        <v>-3000</v>
      </c>
      <c r="FM18" s="63"/>
      <c r="FN18" s="63"/>
      <c r="FO18" s="107" t="s">
        <v>191</v>
      </c>
      <c r="FP18" s="108">
        <f>-'Investimento Inicial'!$B$7</f>
        <v>-3000</v>
      </c>
      <c r="FQ18" s="63"/>
      <c r="FR18" s="63"/>
      <c r="FS18" s="107" t="s">
        <v>191</v>
      </c>
      <c r="FT18" s="108">
        <f>-'Investimento Inicial'!$B$7</f>
        <v>-3000</v>
      </c>
      <c r="FU18" s="63"/>
      <c r="FV18" s="63"/>
      <c r="FW18" s="107" t="s">
        <v>191</v>
      </c>
      <c r="FX18" s="108">
        <f>-'Investimento Inicial'!$B$7</f>
        <v>-3000</v>
      </c>
      <c r="FY18" s="63"/>
      <c r="FZ18" s="63"/>
      <c r="GA18" s="107" t="s">
        <v>191</v>
      </c>
      <c r="GB18" s="108">
        <f>-'Investimento Inicial'!$B$7</f>
        <v>-3000</v>
      </c>
      <c r="GC18" s="63"/>
      <c r="GD18" s="63"/>
      <c r="GE18" s="107" t="s">
        <v>191</v>
      </c>
      <c r="GF18" s="108">
        <f>-'Investimento Inicial'!$B$7</f>
        <v>-3000</v>
      </c>
      <c r="GG18" s="63"/>
      <c r="GH18" s="63"/>
      <c r="GI18" s="107" t="s">
        <v>191</v>
      </c>
      <c r="GJ18" s="108">
        <f>-'Investimento Inicial'!$B$7</f>
        <v>-3000</v>
      </c>
      <c r="GK18" s="63"/>
      <c r="GL18" s="63"/>
      <c r="GM18" s="107" t="s">
        <v>191</v>
      </c>
      <c r="GN18" s="108">
        <f>-'Investimento Inicial'!$B$7</f>
        <v>-3000</v>
      </c>
      <c r="GO18" s="63"/>
      <c r="GP18" s="63"/>
      <c r="GQ18" s="107" t="s">
        <v>191</v>
      </c>
      <c r="GR18" s="108">
        <f>-'Investimento Inicial'!$B$7</f>
        <v>-3000</v>
      </c>
      <c r="GS18" s="63"/>
      <c r="GT18" s="63"/>
      <c r="GU18" s="107" t="s">
        <v>191</v>
      </c>
      <c r="GV18" s="108">
        <f>-'Investimento Inicial'!$B$7</f>
        <v>-3000</v>
      </c>
      <c r="GW18" s="63"/>
      <c r="GX18" s="63"/>
      <c r="GY18" s="107" t="s">
        <v>191</v>
      </c>
      <c r="GZ18" s="108">
        <f>-'Investimento Inicial'!$B$7</f>
        <v>-3000</v>
      </c>
      <c r="HA18" s="63"/>
      <c r="HB18" s="63"/>
      <c r="HC18" s="107" t="s">
        <v>191</v>
      </c>
      <c r="HD18" s="108">
        <f>-'Investimento Inicial'!$B$7</f>
        <v>-3000</v>
      </c>
      <c r="HE18" s="63"/>
      <c r="HF18" s="63"/>
      <c r="HG18" s="107" t="s">
        <v>191</v>
      </c>
      <c r="HH18" s="108">
        <f>-'Investimento Inicial'!$B$7</f>
        <v>-3000</v>
      </c>
      <c r="HI18" s="63"/>
      <c r="HJ18" s="63"/>
      <c r="HK18" s="107" t="s">
        <v>191</v>
      </c>
      <c r="HL18" s="108">
        <f>-'Investimento Inicial'!$B$7</f>
        <v>-3000</v>
      </c>
      <c r="HM18" s="63"/>
      <c r="HN18" s="63"/>
      <c r="HO18" s="107" t="s">
        <v>191</v>
      </c>
      <c r="HP18" s="108">
        <f>-'Investimento Inicial'!$B$7</f>
        <v>-3000</v>
      </c>
      <c r="HQ18" s="63"/>
      <c r="HR18" s="63"/>
      <c r="HS18" s="107" t="s">
        <v>191</v>
      </c>
      <c r="HT18" s="108">
        <f>-'Investimento Inicial'!$B$7</f>
        <v>-3000</v>
      </c>
      <c r="HU18" s="63"/>
      <c r="HV18" s="63"/>
      <c r="HW18" s="107" t="s">
        <v>191</v>
      </c>
      <c r="HX18" s="108">
        <f>-'Investimento Inicial'!$B$7</f>
        <v>-3000</v>
      </c>
      <c r="HY18" s="63"/>
      <c r="HZ18" s="63"/>
      <c r="IA18" s="107" t="s">
        <v>191</v>
      </c>
      <c r="IB18" s="108">
        <f>-'Investimento Inicial'!$B$7</f>
        <v>-3000</v>
      </c>
      <c r="IC18" s="63"/>
      <c r="ID18" s="63"/>
      <c r="IE18" s="107" t="s">
        <v>191</v>
      </c>
      <c r="IF18" s="108">
        <f>-'Investimento Inicial'!$B$7</f>
        <v>-3000</v>
      </c>
      <c r="IG18" s="63"/>
      <c r="IH18" s="63"/>
      <c r="II18" s="107" t="s">
        <v>191</v>
      </c>
      <c r="IJ18" s="108">
        <f>-'Investimento Inicial'!$B$7</f>
        <v>-3000</v>
      </c>
      <c r="IK18" s="63"/>
      <c r="IL18" s="63"/>
      <c r="IM18" s="107" t="s">
        <v>191</v>
      </c>
      <c r="IN18" s="108">
        <f>-'Investimento Inicial'!$B$7</f>
        <v>-3000</v>
      </c>
      <c r="IO18" s="63"/>
      <c r="IP18" s="63"/>
      <c r="IQ18" s="107" t="s">
        <v>191</v>
      </c>
      <c r="IR18" s="108">
        <f>-'Investimento Inicial'!$B$7</f>
        <v>-3000</v>
      </c>
      <c r="IS18" s="63"/>
      <c r="IT18" s="63"/>
      <c r="IU18" s="107" t="s">
        <v>191</v>
      </c>
      <c r="IV18" s="108">
        <f>-'Investimento Inicial'!$B$7</f>
        <v>-3000</v>
      </c>
      <c r="IW18" s="63"/>
      <c r="IX18" s="63"/>
      <c r="IY18" s="107" t="s">
        <v>191</v>
      </c>
      <c r="IZ18" s="108">
        <f>-'Investimento Inicial'!$B$7</f>
        <v>-3000</v>
      </c>
      <c r="JA18" s="63"/>
      <c r="JB18" s="63"/>
      <c r="JC18" s="107" t="s">
        <v>191</v>
      </c>
      <c r="JD18" s="108">
        <f>-'Investimento Inicial'!$B$7</f>
        <v>-3000</v>
      </c>
      <c r="JE18" s="63"/>
      <c r="JF18" s="63"/>
      <c r="JG18" s="107" t="s">
        <v>191</v>
      </c>
      <c r="JH18" s="108">
        <f>-'Investimento Inicial'!$B$7</f>
        <v>-3000</v>
      </c>
      <c r="JI18" s="63"/>
      <c r="JJ18" s="63"/>
      <c r="JK18" s="107" t="s">
        <v>191</v>
      </c>
      <c r="JL18" s="108">
        <f>-'Investimento Inicial'!$B$7</f>
        <v>-3000</v>
      </c>
      <c r="JM18" s="63"/>
      <c r="JN18" s="63"/>
      <c r="JO18" s="107" t="s">
        <v>191</v>
      </c>
      <c r="JP18" s="108">
        <f>-'Investimento Inicial'!$B$7</f>
        <v>-3000</v>
      </c>
      <c r="JQ18" s="63"/>
      <c r="JR18" s="63"/>
      <c r="JS18" s="107" t="s">
        <v>191</v>
      </c>
      <c r="JT18" s="108">
        <f>-'Investimento Inicial'!$B$7</f>
        <v>-3000</v>
      </c>
      <c r="JU18" s="63"/>
      <c r="JV18" s="63"/>
      <c r="JW18" s="107" t="s">
        <v>191</v>
      </c>
      <c r="JX18" s="108">
        <f>-'Investimento Inicial'!$B$7</f>
        <v>-3000</v>
      </c>
      <c r="JY18" s="63"/>
      <c r="JZ18" s="63"/>
      <c r="KA18" s="107" t="s">
        <v>191</v>
      </c>
      <c r="KB18" s="108">
        <f>-'Investimento Inicial'!$B$7</f>
        <v>-3000</v>
      </c>
      <c r="KC18" s="63"/>
      <c r="KD18" s="63"/>
    </row>
    <row r="19" spans="1:290" x14ac:dyDescent="0.25">
      <c r="A19" s="45"/>
      <c r="C19" s="107" t="s">
        <v>200</v>
      </c>
      <c r="D19" s="108">
        <f>-'Investimento Inicial'!$C$4</f>
        <v>-5000</v>
      </c>
      <c r="E19" s="63"/>
      <c r="F19" s="63"/>
      <c r="G19" s="107" t="s">
        <v>200</v>
      </c>
      <c r="H19" s="108">
        <f>-'Investimento Inicial'!$C$4</f>
        <v>-5000</v>
      </c>
      <c r="I19" s="63"/>
      <c r="J19" s="63"/>
      <c r="K19" s="107" t="s">
        <v>200</v>
      </c>
      <c r="L19" s="108">
        <f>-'Investimento Inicial'!$C$4</f>
        <v>-5000</v>
      </c>
      <c r="M19" s="63"/>
      <c r="N19" s="63"/>
      <c r="O19" s="107" t="s">
        <v>200</v>
      </c>
      <c r="P19" s="108">
        <f>-'Investimento Inicial'!$C$4</f>
        <v>-5000</v>
      </c>
      <c r="Q19" s="63"/>
      <c r="R19" s="63"/>
      <c r="S19" s="107" t="s">
        <v>200</v>
      </c>
      <c r="T19" s="108">
        <f>-'Investimento Inicial'!$C$4</f>
        <v>-5000</v>
      </c>
      <c r="U19" s="63"/>
      <c r="V19" s="63"/>
      <c r="W19" s="107" t="s">
        <v>200</v>
      </c>
      <c r="X19" s="108">
        <f>-'Investimento Inicial'!$C$4</f>
        <v>-5000</v>
      </c>
      <c r="Y19" s="63"/>
      <c r="Z19" s="63"/>
      <c r="AA19" s="107" t="s">
        <v>200</v>
      </c>
      <c r="AB19" s="108">
        <f>-'Investimento Inicial'!$C$4</f>
        <v>-5000</v>
      </c>
      <c r="AC19" s="63"/>
      <c r="AD19" s="63"/>
      <c r="AE19" s="107" t="s">
        <v>200</v>
      </c>
      <c r="AF19" s="108">
        <f>-'Investimento Inicial'!$C$4</f>
        <v>-5000</v>
      </c>
      <c r="AG19" s="63"/>
      <c r="AH19" s="63"/>
      <c r="AI19" s="107" t="s">
        <v>200</v>
      </c>
      <c r="AJ19" s="108">
        <f>-'Investimento Inicial'!$C$4</f>
        <v>-5000</v>
      </c>
      <c r="AK19" s="63"/>
      <c r="AL19" s="63"/>
      <c r="AM19" s="107" t="s">
        <v>200</v>
      </c>
      <c r="AN19" s="108">
        <f>-'Investimento Inicial'!$C$4</f>
        <v>-5000</v>
      </c>
      <c r="AO19" s="63"/>
      <c r="AP19" s="63"/>
      <c r="AQ19" s="107" t="s">
        <v>200</v>
      </c>
      <c r="AR19" s="108">
        <f>-'Investimento Inicial'!$C$4</f>
        <v>-5000</v>
      </c>
      <c r="AS19" s="63"/>
      <c r="AT19" s="63"/>
      <c r="AU19" s="107" t="s">
        <v>200</v>
      </c>
      <c r="AV19" s="108">
        <f>-'Investimento Inicial'!$C$4</f>
        <v>-5000</v>
      </c>
      <c r="AW19" s="63"/>
      <c r="AX19" s="63"/>
      <c r="AY19" s="107" t="s">
        <v>200</v>
      </c>
      <c r="AZ19" s="108">
        <f>-'Investimento Inicial'!$C$4</f>
        <v>-5000</v>
      </c>
      <c r="BA19" s="63"/>
      <c r="BB19" s="63"/>
      <c r="BC19" s="107" t="s">
        <v>200</v>
      </c>
      <c r="BD19" s="108">
        <f>-'Investimento Inicial'!$C$4</f>
        <v>-5000</v>
      </c>
      <c r="BE19" s="63"/>
      <c r="BF19" s="63"/>
      <c r="BG19" s="107" t="s">
        <v>200</v>
      </c>
      <c r="BH19" s="108">
        <f>-'Investimento Inicial'!$C$4</f>
        <v>-5000</v>
      </c>
      <c r="BI19" s="63"/>
      <c r="BJ19" s="63"/>
      <c r="BK19" s="107" t="s">
        <v>200</v>
      </c>
      <c r="BL19" s="108">
        <f>-'Investimento Inicial'!$C$4</f>
        <v>-5000</v>
      </c>
      <c r="BM19" s="63"/>
      <c r="BN19" s="63"/>
      <c r="BO19" s="107" t="s">
        <v>200</v>
      </c>
      <c r="BP19" s="108">
        <f>-'Investimento Inicial'!$C$4</f>
        <v>-5000</v>
      </c>
      <c r="BQ19" s="63"/>
      <c r="BR19" s="63"/>
      <c r="BS19" s="107" t="s">
        <v>200</v>
      </c>
      <c r="BT19" s="108">
        <f>-'Investimento Inicial'!$C$4</f>
        <v>-5000</v>
      </c>
      <c r="BU19" s="63"/>
      <c r="BV19" s="63"/>
      <c r="BW19" s="107" t="s">
        <v>200</v>
      </c>
      <c r="BX19" s="108">
        <f>-'Investimento Inicial'!$C$4</f>
        <v>-5000</v>
      </c>
      <c r="BY19" s="63"/>
      <c r="BZ19" s="63"/>
      <c r="CA19" s="107" t="s">
        <v>200</v>
      </c>
      <c r="CB19" s="108">
        <f>-'Investimento Inicial'!$C$4</f>
        <v>-5000</v>
      </c>
      <c r="CC19" s="63"/>
      <c r="CD19" s="63"/>
      <c r="CE19" s="107" t="s">
        <v>200</v>
      </c>
      <c r="CF19" s="108">
        <f>-'Investimento Inicial'!$C$4</f>
        <v>-5000</v>
      </c>
      <c r="CG19" s="63"/>
      <c r="CH19" s="63"/>
      <c r="CI19" s="107" t="s">
        <v>200</v>
      </c>
      <c r="CJ19" s="108">
        <f>-'Investimento Inicial'!$C$4</f>
        <v>-5000</v>
      </c>
      <c r="CK19" s="63"/>
      <c r="CL19" s="63"/>
      <c r="CM19" s="107" t="s">
        <v>200</v>
      </c>
      <c r="CN19" s="108">
        <f>-'Investimento Inicial'!$C$4</f>
        <v>-5000</v>
      </c>
      <c r="CO19" s="63"/>
      <c r="CP19" s="63"/>
      <c r="CQ19" s="107" t="s">
        <v>200</v>
      </c>
      <c r="CR19" s="108">
        <f>-'Investimento Inicial'!$C$4</f>
        <v>-5000</v>
      </c>
      <c r="CS19" s="63"/>
      <c r="CT19" s="63"/>
      <c r="CU19" s="107" t="s">
        <v>200</v>
      </c>
      <c r="CV19" s="108">
        <f>-'Investimento Inicial'!$C$4</f>
        <v>-5000</v>
      </c>
      <c r="CW19" s="63"/>
      <c r="CX19" s="63"/>
      <c r="CY19" s="107" t="s">
        <v>200</v>
      </c>
      <c r="CZ19" s="108">
        <f>-'Investimento Inicial'!$C$4</f>
        <v>-5000</v>
      </c>
      <c r="DA19" s="63"/>
      <c r="DB19" s="63"/>
      <c r="DC19" s="107" t="s">
        <v>200</v>
      </c>
      <c r="DD19" s="108">
        <f>-'Investimento Inicial'!$C$4</f>
        <v>-5000</v>
      </c>
      <c r="DE19" s="63"/>
      <c r="DF19" s="63"/>
      <c r="DG19" s="107" t="s">
        <v>200</v>
      </c>
      <c r="DH19" s="108">
        <f>-'Investimento Inicial'!$C$4</f>
        <v>-5000</v>
      </c>
      <c r="DI19" s="63"/>
      <c r="DJ19" s="63"/>
      <c r="DK19" s="107" t="s">
        <v>200</v>
      </c>
      <c r="DL19" s="108">
        <f>-'Investimento Inicial'!$C$4</f>
        <v>-5000</v>
      </c>
      <c r="DM19" s="63"/>
      <c r="DN19" s="63"/>
      <c r="DO19" s="107" t="s">
        <v>200</v>
      </c>
      <c r="DP19" s="108">
        <f>-'Investimento Inicial'!$C$4</f>
        <v>-5000</v>
      </c>
      <c r="DQ19" s="63"/>
      <c r="DR19" s="63"/>
      <c r="DS19" s="107" t="s">
        <v>200</v>
      </c>
      <c r="DT19" s="108">
        <f>-'Investimento Inicial'!$C$4</f>
        <v>-5000</v>
      </c>
      <c r="DU19" s="63"/>
      <c r="DV19" s="63"/>
      <c r="DW19" s="107" t="s">
        <v>200</v>
      </c>
      <c r="DX19" s="108">
        <f>-'Investimento Inicial'!$C$4</f>
        <v>-5000</v>
      </c>
      <c r="DY19" s="63"/>
      <c r="DZ19" s="63"/>
      <c r="EA19" s="107" t="s">
        <v>200</v>
      </c>
      <c r="EB19" s="108">
        <f>-'Investimento Inicial'!$C$4</f>
        <v>-5000</v>
      </c>
      <c r="EC19" s="63"/>
      <c r="ED19" s="63"/>
      <c r="EE19" s="107" t="s">
        <v>200</v>
      </c>
      <c r="EF19" s="108">
        <f>-'Investimento Inicial'!$C$4</f>
        <v>-5000</v>
      </c>
      <c r="EG19" s="63"/>
      <c r="EH19" s="63"/>
      <c r="EI19" s="107" t="s">
        <v>200</v>
      </c>
      <c r="EJ19" s="108">
        <f>-'Investimento Inicial'!$C$4</f>
        <v>-5000</v>
      </c>
      <c r="EK19" s="63"/>
      <c r="EL19" s="63"/>
      <c r="EM19" s="107" t="s">
        <v>200</v>
      </c>
      <c r="EN19" s="108">
        <f>-'Investimento Inicial'!$C$4</f>
        <v>-5000</v>
      </c>
      <c r="EO19" s="63"/>
      <c r="EP19" s="63"/>
      <c r="EQ19" s="107" t="s">
        <v>200</v>
      </c>
      <c r="ER19" s="108">
        <f>-'Investimento Inicial'!$C$4</f>
        <v>-5000</v>
      </c>
      <c r="ES19" s="63"/>
      <c r="ET19" s="63"/>
      <c r="EU19" s="107" t="s">
        <v>200</v>
      </c>
      <c r="EV19" s="108">
        <f>-'Investimento Inicial'!$C$4</f>
        <v>-5000</v>
      </c>
      <c r="EW19" s="63"/>
      <c r="EX19" s="63"/>
      <c r="EY19" s="107" t="s">
        <v>200</v>
      </c>
      <c r="EZ19" s="108">
        <f>-'Investimento Inicial'!$C$4</f>
        <v>-5000</v>
      </c>
      <c r="FA19" s="63"/>
      <c r="FB19" s="63"/>
      <c r="FC19" s="107" t="s">
        <v>200</v>
      </c>
      <c r="FD19" s="108">
        <f>-'Investimento Inicial'!$C$4</f>
        <v>-5000</v>
      </c>
      <c r="FE19" s="63"/>
      <c r="FF19" s="63"/>
      <c r="FG19" s="107" t="s">
        <v>200</v>
      </c>
      <c r="FH19" s="108">
        <f>-'Investimento Inicial'!$C$4</f>
        <v>-5000</v>
      </c>
      <c r="FI19" s="63"/>
      <c r="FJ19" s="63"/>
      <c r="FK19" s="107" t="s">
        <v>200</v>
      </c>
      <c r="FL19" s="108">
        <f>-'Investimento Inicial'!$C$4</f>
        <v>-5000</v>
      </c>
      <c r="FM19" s="63"/>
      <c r="FN19" s="63"/>
      <c r="FO19" s="107" t="s">
        <v>200</v>
      </c>
      <c r="FP19" s="108">
        <f>-'Investimento Inicial'!$C$4</f>
        <v>-5000</v>
      </c>
      <c r="FQ19" s="63"/>
      <c r="FR19" s="63"/>
      <c r="FS19" s="107" t="s">
        <v>200</v>
      </c>
      <c r="FT19" s="108">
        <f>-'Investimento Inicial'!$C$4</f>
        <v>-5000</v>
      </c>
      <c r="FU19" s="63"/>
      <c r="FV19" s="63"/>
      <c r="FW19" s="107" t="s">
        <v>200</v>
      </c>
      <c r="FX19" s="108">
        <f>-'Investimento Inicial'!$C$4</f>
        <v>-5000</v>
      </c>
      <c r="FY19" s="63"/>
      <c r="FZ19" s="63"/>
      <c r="GA19" s="107" t="s">
        <v>200</v>
      </c>
      <c r="GB19" s="108">
        <f>-'Investimento Inicial'!$C$4</f>
        <v>-5000</v>
      </c>
      <c r="GC19" s="63"/>
      <c r="GD19" s="63"/>
      <c r="GE19" s="107" t="s">
        <v>200</v>
      </c>
      <c r="GF19" s="108">
        <f>-'Investimento Inicial'!$C$4</f>
        <v>-5000</v>
      </c>
      <c r="GG19" s="63"/>
      <c r="GH19" s="63"/>
      <c r="GI19" s="107" t="s">
        <v>200</v>
      </c>
      <c r="GJ19" s="108">
        <f>-'Investimento Inicial'!$C$4</f>
        <v>-5000</v>
      </c>
      <c r="GK19" s="63"/>
      <c r="GL19" s="63"/>
      <c r="GM19" s="107" t="s">
        <v>200</v>
      </c>
      <c r="GN19" s="108">
        <f>-'Investimento Inicial'!$C$4</f>
        <v>-5000</v>
      </c>
      <c r="GO19" s="63"/>
      <c r="GP19" s="63"/>
      <c r="GQ19" s="107" t="s">
        <v>200</v>
      </c>
      <c r="GR19" s="108">
        <f>-'Investimento Inicial'!$C$4</f>
        <v>-5000</v>
      </c>
      <c r="GS19" s="63"/>
      <c r="GT19" s="63"/>
      <c r="GU19" s="107" t="s">
        <v>200</v>
      </c>
      <c r="GV19" s="108">
        <f>-'Investimento Inicial'!$C$4</f>
        <v>-5000</v>
      </c>
      <c r="GW19" s="63"/>
      <c r="GX19" s="63"/>
      <c r="GY19" s="107" t="s">
        <v>200</v>
      </c>
      <c r="GZ19" s="108">
        <f>-'Investimento Inicial'!$C$4</f>
        <v>-5000</v>
      </c>
      <c r="HA19" s="63"/>
      <c r="HB19" s="63"/>
      <c r="HC19" s="107" t="s">
        <v>200</v>
      </c>
      <c r="HD19" s="108">
        <f>-'Investimento Inicial'!$C$4</f>
        <v>-5000</v>
      </c>
      <c r="HE19" s="63"/>
      <c r="HF19" s="63"/>
      <c r="HG19" s="107" t="s">
        <v>200</v>
      </c>
      <c r="HH19" s="108">
        <f>-'Investimento Inicial'!$C$4</f>
        <v>-5000</v>
      </c>
      <c r="HI19" s="63"/>
      <c r="HJ19" s="63"/>
      <c r="HK19" s="107" t="s">
        <v>200</v>
      </c>
      <c r="HL19" s="108">
        <f>-'Investimento Inicial'!$C$4</f>
        <v>-5000</v>
      </c>
      <c r="HM19" s="63"/>
      <c r="HN19" s="63"/>
      <c r="HO19" s="107" t="s">
        <v>200</v>
      </c>
      <c r="HP19" s="108">
        <f>-'Investimento Inicial'!$C$4</f>
        <v>-5000</v>
      </c>
      <c r="HQ19" s="63"/>
      <c r="HR19" s="63"/>
      <c r="HS19" s="107" t="s">
        <v>200</v>
      </c>
      <c r="HT19" s="108">
        <f>-'Investimento Inicial'!$C$4</f>
        <v>-5000</v>
      </c>
      <c r="HU19" s="63"/>
      <c r="HV19" s="63"/>
      <c r="HW19" s="107" t="s">
        <v>200</v>
      </c>
      <c r="HX19" s="108">
        <f>-'Investimento Inicial'!$C$4</f>
        <v>-5000</v>
      </c>
      <c r="HY19" s="63"/>
      <c r="HZ19" s="63"/>
      <c r="IA19" s="107" t="s">
        <v>200</v>
      </c>
      <c r="IB19" s="108">
        <f>-'Investimento Inicial'!$C$4</f>
        <v>-5000</v>
      </c>
      <c r="IC19" s="63"/>
      <c r="ID19" s="63"/>
      <c r="IE19" s="107" t="s">
        <v>200</v>
      </c>
      <c r="IF19" s="108">
        <f>-'Investimento Inicial'!$C$4</f>
        <v>-5000</v>
      </c>
      <c r="IG19" s="63"/>
      <c r="IH19" s="63"/>
      <c r="II19" s="107" t="s">
        <v>200</v>
      </c>
      <c r="IJ19" s="108">
        <f>-'Investimento Inicial'!$C$4</f>
        <v>-5000</v>
      </c>
      <c r="IK19" s="63"/>
      <c r="IL19" s="63"/>
      <c r="IM19" s="107" t="s">
        <v>200</v>
      </c>
      <c r="IN19" s="108">
        <f>-'Investimento Inicial'!$C$4</f>
        <v>-5000</v>
      </c>
      <c r="IO19" s="63"/>
      <c r="IP19" s="63"/>
      <c r="IQ19" s="107" t="s">
        <v>200</v>
      </c>
      <c r="IR19" s="108">
        <f>-'Investimento Inicial'!$C$4</f>
        <v>-5000</v>
      </c>
      <c r="IS19" s="63"/>
      <c r="IT19" s="63"/>
      <c r="IU19" s="107" t="s">
        <v>200</v>
      </c>
      <c r="IV19" s="108">
        <f>-'Investimento Inicial'!$C$4</f>
        <v>-5000</v>
      </c>
      <c r="IW19" s="63"/>
      <c r="IX19" s="63"/>
      <c r="IY19" s="107" t="s">
        <v>200</v>
      </c>
      <c r="IZ19" s="108">
        <f>-'Investimento Inicial'!$C$4</f>
        <v>-5000</v>
      </c>
      <c r="JA19" s="63"/>
      <c r="JB19" s="63"/>
      <c r="JC19" s="107" t="s">
        <v>200</v>
      </c>
      <c r="JD19" s="108">
        <f>-'Investimento Inicial'!$C$4</f>
        <v>-5000</v>
      </c>
      <c r="JE19" s="63"/>
      <c r="JF19" s="63"/>
      <c r="JG19" s="107" t="s">
        <v>200</v>
      </c>
      <c r="JH19" s="108">
        <f>-'Investimento Inicial'!$C$4</f>
        <v>-5000</v>
      </c>
      <c r="JI19" s="63"/>
      <c r="JJ19" s="63"/>
      <c r="JK19" s="107" t="s">
        <v>200</v>
      </c>
      <c r="JL19" s="108">
        <f>-'Investimento Inicial'!$C$4</f>
        <v>-5000</v>
      </c>
      <c r="JM19" s="63"/>
      <c r="JN19" s="63"/>
      <c r="JO19" s="107" t="s">
        <v>200</v>
      </c>
      <c r="JP19" s="108">
        <f>-'Investimento Inicial'!$C$4</f>
        <v>-5000</v>
      </c>
      <c r="JQ19" s="63"/>
      <c r="JR19" s="63"/>
      <c r="JS19" s="107" t="s">
        <v>200</v>
      </c>
      <c r="JT19" s="108">
        <f>-'Investimento Inicial'!$C$4</f>
        <v>-5000</v>
      </c>
      <c r="JU19" s="63"/>
      <c r="JV19" s="63"/>
      <c r="JW19" s="107" t="s">
        <v>200</v>
      </c>
      <c r="JX19" s="108">
        <f>-'Investimento Inicial'!$C$4</f>
        <v>-5000</v>
      </c>
      <c r="JY19" s="63"/>
      <c r="JZ19" s="63"/>
      <c r="KA19" s="107" t="s">
        <v>200</v>
      </c>
      <c r="KB19" s="108">
        <f>-'Investimento Inicial'!$C$4</f>
        <v>-5000</v>
      </c>
      <c r="KC19" s="63"/>
      <c r="KD19" s="63"/>
    </row>
    <row r="20" spans="1:290" x14ac:dyDescent="0.25">
      <c r="A20" s="96"/>
      <c r="C20" s="107" t="s">
        <v>201</v>
      </c>
      <c r="D20" s="108">
        <f>-'Investimento Inicial'!$C$10</f>
        <v>-1000</v>
      </c>
      <c r="E20" s="63"/>
      <c r="F20" s="63"/>
      <c r="G20" s="107" t="s">
        <v>201</v>
      </c>
      <c r="H20" s="108">
        <f>-'Investimento Inicial'!$C$10</f>
        <v>-1000</v>
      </c>
      <c r="I20" s="63"/>
      <c r="J20" s="63"/>
      <c r="K20" s="107" t="s">
        <v>201</v>
      </c>
      <c r="L20" s="108">
        <f>-'Investimento Inicial'!$C$10</f>
        <v>-1000</v>
      </c>
      <c r="M20" s="63"/>
      <c r="N20" s="63"/>
      <c r="O20" s="107" t="s">
        <v>201</v>
      </c>
      <c r="P20" s="108">
        <f>-'Investimento Inicial'!$C$10</f>
        <v>-1000</v>
      </c>
      <c r="Q20" s="63"/>
      <c r="R20" s="63"/>
      <c r="S20" s="107" t="s">
        <v>201</v>
      </c>
      <c r="T20" s="108">
        <f>-'Investimento Inicial'!$C$10</f>
        <v>-1000</v>
      </c>
      <c r="U20" s="63"/>
      <c r="V20" s="63"/>
      <c r="W20" s="107" t="s">
        <v>201</v>
      </c>
      <c r="X20" s="108">
        <f>-'Investimento Inicial'!$C$10</f>
        <v>-1000</v>
      </c>
      <c r="Y20" s="63"/>
      <c r="Z20" s="63"/>
      <c r="AA20" s="107" t="s">
        <v>201</v>
      </c>
      <c r="AB20" s="108">
        <f>-'Investimento Inicial'!$C$10</f>
        <v>-1000</v>
      </c>
      <c r="AC20" s="63"/>
      <c r="AD20" s="63"/>
      <c r="AE20" s="107" t="s">
        <v>201</v>
      </c>
      <c r="AF20" s="108">
        <f>-'Investimento Inicial'!$C$10</f>
        <v>-1000</v>
      </c>
      <c r="AG20" s="63"/>
      <c r="AH20" s="63"/>
      <c r="AI20" s="107" t="s">
        <v>201</v>
      </c>
      <c r="AJ20" s="108">
        <f>-'Investimento Inicial'!$C$10</f>
        <v>-1000</v>
      </c>
      <c r="AK20" s="63"/>
      <c r="AL20" s="63"/>
      <c r="AM20" s="107" t="s">
        <v>201</v>
      </c>
      <c r="AN20" s="108">
        <f>-'Investimento Inicial'!$C$10</f>
        <v>-1000</v>
      </c>
      <c r="AO20" s="63"/>
      <c r="AP20" s="63"/>
      <c r="AQ20" s="107" t="s">
        <v>201</v>
      </c>
      <c r="AR20" s="108">
        <f>-'Investimento Inicial'!$C$10</f>
        <v>-1000</v>
      </c>
      <c r="AS20" s="63"/>
      <c r="AT20" s="63"/>
      <c r="AU20" s="107" t="s">
        <v>201</v>
      </c>
      <c r="AV20" s="108">
        <f>-'Investimento Inicial'!$C$10</f>
        <v>-1000</v>
      </c>
      <c r="AW20" s="63"/>
      <c r="AX20" s="63"/>
      <c r="AY20" s="107" t="s">
        <v>201</v>
      </c>
      <c r="AZ20" s="108">
        <f>-'Investimento Inicial'!$C$10</f>
        <v>-1000</v>
      </c>
      <c r="BA20" s="63"/>
      <c r="BB20" s="63"/>
      <c r="BC20" s="107" t="s">
        <v>201</v>
      </c>
      <c r="BD20" s="108">
        <f>-'Investimento Inicial'!$C$10</f>
        <v>-1000</v>
      </c>
      <c r="BE20" s="63"/>
      <c r="BF20" s="63"/>
      <c r="BG20" s="107" t="s">
        <v>201</v>
      </c>
      <c r="BH20" s="108">
        <f>-'Investimento Inicial'!$C$10</f>
        <v>-1000</v>
      </c>
      <c r="BI20" s="63"/>
      <c r="BJ20" s="63"/>
      <c r="BK20" s="107" t="s">
        <v>201</v>
      </c>
      <c r="BL20" s="108">
        <f>-'Investimento Inicial'!$C$10</f>
        <v>-1000</v>
      </c>
      <c r="BM20" s="63"/>
      <c r="BN20" s="63"/>
      <c r="BO20" s="107" t="s">
        <v>201</v>
      </c>
      <c r="BP20" s="108">
        <f>-'Investimento Inicial'!$C$10</f>
        <v>-1000</v>
      </c>
      <c r="BQ20" s="63"/>
      <c r="BR20" s="63"/>
      <c r="BS20" s="107" t="s">
        <v>201</v>
      </c>
      <c r="BT20" s="108">
        <f>-'Investimento Inicial'!$C$10</f>
        <v>-1000</v>
      </c>
      <c r="BU20" s="63"/>
      <c r="BV20" s="63"/>
      <c r="BW20" s="107" t="s">
        <v>201</v>
      </c>
      <c r="BX20" s="108">
        <f>-'Investimento Inicial'!$C$10</f>
        <v>-1000</v>
      </c>
      <c r="BY20" s="63"/>
      <c r="BZ20" s="63"/>
      <c r="CA20" s="107" t="s">
        <v>201</v>
      </c>
      <c r="CB20" s="108">
        <f>-'Investimento Inicial'!$C$10</f>
        <v>-1000</v>
      </c>
      <c r="CC20" s="63"/>
      <c r="CD20" s="63"/>
      <c r="CE20" s="107" t="s">
        <v>201</v>
      </c>
      <c r="CF20" s="108">
        <f>-'Investimento Inicial'!$C$10</f>
        <v>-1000</v>
      </c>
      <c r="CG20" s="63"/>
      <c r="CH20" s="63"/>
      <c r="CI20" s="107" t="s">
        <v>201</v>
      </c>
      <c r="CJ20" s="108">
        <f>-'Investimento Inicial'!$C$10</f>
        <v>-1000</v>
      </c>
      <c r="CK20" s="63"/>
      <c r="CL20" s="63"/>
      <c r="CM20" s="107" t="s">
        <v>201</v>
      </c>
      <c r="CN20" s="108">
        <f>-'Investimento Inicial'!$C$10</f>
        <v>-1000</v>
      </c>
      <c r="CO20" s="63"/>
      <c r="CP20" s="63"/>
      <c r="CQ20" s="107" t="s">
        <v>201</v>
      </c>
      <c r="CR20" s="108">
        <f>-'Investimento Inicial'!$C$10</f>
        <v>-1000</v>
      </c>
      <c r="CS20" s="63"/>
      <c r="CT20" s="63"/>
      <c r="CU20" s="107" t="s">
        <v>201</v>
      </c>
      <c r="CV20" s="108">
        <f>-'Investimento Inicial'!$C$10</f>
        <v>-1000</v>
      </c>
      <c r="CW20" s="63"/>
      <c r="CX20" s="63"/>
      <c r="CY20" s="107" t="s">
        <v>201</v>
      </c>
      <c r="CZ20" s="108">
        <f>-'Investimento Inicial'!$C$10</f>
        <v>-1000</v>
      </c>
      <c r="DA20" s="63"/>
      <c r="DB20" s="63"/>
      <c r="DC20" s="107" t="s">
        <v>201</v>
      </c>
      <c r="DD20" s="108">
        <f>-'Investimento Inicial'!$C$10</f>
        <v>-1000</v>
      </c>
      <c r="DE20" s="63"/>
      <c r="DF20" s="63"/>
      <c r="DG20" s="107" t="s">
        <v>201</v>
      </c>
      <c r="DH20" s="108">
        <f>-'Investimento Inicial'!$C$10</f>
        <v>-1000</v>
      </c>
      <c r="DI20" s="63"/>
      <c r="DJ20" s="63"/>
      <c r="DK20" s="107" t="s">
        <v>201</v>
      </c>
      <c r="DL20" s="108">
        <f>-'Investimento Inicial'!$C$10</f>
        <v>-1000</v>
      </c>
      <c r="DM20" s="63"/>
      <c r="DN20" s="63"/>
      <c r="DO20" s="107" t="s">
        <v>201</v>
      </c>
      <c r="DP20" s="108">
        <f>-'Investimento Inicial'!$C$10</f>
        <v>-1000</v>
      </c>
      <c r="DQ20" s="63"/>
      <c r="DR20" s="63"/>
      <c r="DS20" s="107" t="s">
        <v>201</v>
      </c>
      <c r="DT20" s="108">
        <f>-'Investimento Inicial'!$C$10</f>
        <v>-1000</v>
      </c>
      <c r="DU20" s="63"/>
      <c r="DV20" s="63"/>
      <c r="DW20" s="107" t="s">
        <v>201</v>
      </c>
      <c r="DX20" s="108">
        <f>-'Investimento Inicial'!$C$10</f>
        <v>-1000</v>
      </c>
      <c r="DY20" s="63"/>
      <c r="DZ20" s="63"/>
      <c r="EA20" s="107" t="s">
        <v>201</v>
      </c>
      <c r="EB20" s="108">
        <f>-'Investimento Inicial'!$C$10</f>
        <v>-1000</v>
      </c>
      <c r="EC20" s="63"/>
      <c r="ED20" s="63"/>
      <c r="EE20" s="107" t="s">
        <v>201</v>
      </c>
      <c r="EF20" s="108">
        <f>-'Investimento Inicial'!$C$10</f>
        <v>-1000</v>
      </c>
      <c r="EG20" s="63"/>
      <c r="EH20" s="63"/>
      <c r="EI20" s="107" t="s">
        <v>201</v>
      </c>
      <c r="EJ20" s="108">
        <f>-'Investimento Inicial'!$C$10</f>
        <v>-1000</v>
      </c>
      <c r="EK20" s="63"/>
      <c r="EL20" s="63"/>
      <c r="EM20" s="107" t="s">
        <v>201</v>
      </c>
      <c r="EN20" s="108">
        <f>-'Investimento Inicial'!$C$10</f>
        <v>-1000</v>
      </c>
      <c r="EO20" s="63"/>
      <c r="EP20" s="63"/>
      <c r="EQ20" s="107" t="s">
        <v>201</v>
      </c>
      <c r="ER20" s="108">
        <f>-'Investimento Inicial'!$C$10</f>
        <v>-1000</v>
      </c>
      <c r="ES20" s="63"/>
      <c r="ET20" s="63"/>
      <c r="EU20" s="107" t="s">
        <v>201</v>
      </c>
      <c r="EV20" s="108">
        <f>-'Investimento Inicial'!$C$10</f>
        <v>-1000</v>
      </c>
      <c r="EW20" s="63"/>
      <c r="EX20" s="63"/>
      <c r="EY20" s="107" t="s">
        <v>201</v>
      </c>
      <c r="EZ20" s="108">
        <f>-'Investimento Inicial'!$C$10</f>
        <v>-1000</v>
      </c>
      <c r="FA20" s="63"/>
      <c r="FB20" s="63"/>
      <c r="FC20" s="107" t="s">
        <v>201</v>
      </c>
      <c r="FD20" s="108">
        <f>-'Investimento Inicial'!$C$10</f>
        <v>-1000</v>
      </c>
      <c r="FE20" s="63"/>
      <c r="FF20" s="63"/>
      <c r="FG20" s="107" t="s">
        <v>201</v>
      </c>
      <c r="FH20" s="108">
        <f>-'Investimento Inicial'!$C$10</f>
        <v>-1000</v>
      </c>
      <c r="FI20" s="63"/>
      <c r="FJ20" s="63"/>
      <c r="FK20" s="107" t="s">
        <v>201</v>
      </c>
      <c r="FL20" s="108">
        <f>-'Investimento Inicial'!$C$10</f>
        <v>-1000</v>
      </c>
      <c r="FM20" s="63"/>
      <c r="FN20" s="63"/>
      <c r="FO20" s="107" t="s">
        <v>201</v>
      </c>
      <c r="FP20" s="108">
        <f>-'Investimento Inicial'!$C$10</f>
        <v>-1000</v>
      </c>
      <c r="FQ20" s="63"/>
      <c r="FR20" s="63"/>
      <c r="FS20" s="107" t="s">
        <v>201</v>
      </c>
      <c r="FT20" s="108">
        <f>-'Investimento Inicial'!$C$10</f>
        <v>-1000</v>
      </c>
      <c r="FU20" s="63"/>
      <c r="FV20" s="63"/>
      <c r="FW20" s="107" t="s">
        <v>201</v>
      </c>
      <c r="FX20" s="108">
        <f>-'Investimento Inicial'!$C$10</f>
        <v>-1000</v>
      </c>
      <c r="FY20" s="63"/>
      <c r="FZ20" s="63"/>
      <c r="GA20" s="107" t="s">
        <v>201</v>
      </c>
      <c r="GB20" s="108">
        <f>-'Investimento Inicial'!$C$10</f>
        <v>-1000</v>
      </c>
      <c r="GC20" s="63"/>
      <c r="GD20" s="63"/>
      <c r="GE20" s="107" t="s">
        <v>201</v>
      </c>
      <c r="GF20" s="108">
        <f>-'Investimento Inicial'!$C$10</f>
        <v>-1000</v>
      </c>
      <c r="GG20" s="63"/>
      <c r="GH20" s="63"/>
      <c r="GI20" s="107" t="s">
        <v>201</v>
      </c>
      <c r="GJ20" s="108">
        <f>-'Investimento Inicial'!$C$10</f>
        <v>-1000</v>
      </c>
      <c r="GK20" s="63"/>
      <c r="GL20" s="63"/>
      <c r="GM20" s="107" t="s">
        <v>201</v>
      </c>
      <c r="GN20" s="108">
        <f>-'Investimento Inicial'!$C$10</f>
        <v>-1000</v>
      </c>
      <c r="GO20" s="63"/>
      <c r="GP20" s="63"/>
      <c r="GQ20" s="107" t="s">
        <v>201</v>
      </c>
      <c r="GR20" s="108">
        <f>-'Investimento Inicial'!$C$10</f>
        <v>-1000</v>
      </c>
      <c r="GS20" s="63"/>
      <c r="GT20" s="63"/>
      <c r="GU20" s="107" t="s">
        <v>201</v>
      </c>
      <c r="GV20" s="108">
        <f>-'Investimento Inicial'!$C$10</f>
        <v>-1000</v>
      </c>
      <c r="GW20" s="63"/>
      <c r="GX20" s="63"/>
      <c r="GY20" s="107" t="s">
        <v>201</v>
      </c>
      <c r="GZ20" s="108">
        <f>-'Investimento Inicial'!$C$10</f>
        <v>-1000</v>
      </c>
      <c r="HA20" s="63"/>
      <c r="HB20" s="63"/>
      <c r="HC20" s="107" t="s">
        <v>201</v>
      </c>
      <c r="HD20" s="108">
        <f>-'Investimento Inicial'!$C$10</f>
        <v>-1000</v>
      </c>
      <c r="HE20" s="63"/>
      <c r="HF20" s="63"/>
      <c r="HG20" s="107" t="s">
        <v>201</v>
      </c>
      <c r="HH20" s="108">
        <f>-'Investimento Inicial'!$C$10</f>
        <v>-1000</v>
      </c>
      <c r="HI20" s="63"/>
      <c r="HJ20" s="63"/>
      <c r="HK20" s="107" t="s">
        <v>201</v>
      </c>
      <c r="HL20" s="108">
        <f>-'Investimento Inicial'!$C$10</f>
        <v>-1000</v>
      </c>
      <c r="HM20" s="63"/>
      <c r="HN20" s="63"/>
      <c r="HO20" s="107" t="s">
        <v>201</v>
      </c>
      <c r="HP20" s="108">
        <f>-'Investimento Inicial'!$C$10</f>
        <v>-1000</v>
      </c>
      <c r="HQ20" s="63"/>
      <c r="HR20" s="63"/>
      <c r="HS20" s="107" t="s">
        <v>201</v>
      </c>
      <c r="HT20" s="108">
        <f>-'Investimento Inicial'!$C$10</f>
        <v>-1000</v>
      </c>
      <c r="HU20" s="63"/>
      <c r="HV20" s="63"/>
      <c r="HW20" s="107" t="s">
        <v>201</v>
      </c>
      <c r="HX20" s="108">
        <f>-'Investimento Inicial'!$C$10</f>
        <v>-1000</v>
      </c>
      <c r="HY20" s="63"/>
      <c r="HZ20" s="63"/>
      <c r="IA20" s="107" t="s">
        <v>201</v>
      </c>
      <c r="IB20" s="108">
        <f>-'Investimento Inicial'!$C$10</f>
        <v>-1000</v>
      </c>
      <c r="IC20" s="63"/>
      <c r="ID20" s="63"/>
      <c r="IE20" s="107" t="s">
        <v>201</v>
      </c>
      <c r="IF20" s="108">
        <f>-'Investimento Inicial'!$C$10</f>
        <v>-1000</v>
      </c>
      <c r="IG20" s="63"/>
      <c r="IH20" s="63"/>
      <c r="II20" s="107" t="s">
        <v>201</v>
      </c>
      <c r="IJ20" s="108">
        <f>-'Investimento Inicial'!$C$10</f>
        <v>-1000</v>
      </c>
      <c r="IK20" s="63"/>
      <c r="IL20" s="63"/>
      <c r="IM20" s="107" t="s">
        <v>201</v>
      </c>
      <c r="IN20" s="108">
        <f>-'Investimento Inicial'!$C$10</f>
        <v>-1000</v>
      </c>
      <c r="IO20" s="63"/>
      <c r="IP20" s="63"/>
      <c r="IQ20" s="107" t="s">
        <v>201</v>
      </c>
      <c r="IR20" s="108">
        <f>-'Investimento Inicial'!$C$10</f>
        <v>-1000</v>
      </c>
      <c r="IS20" s="63"/>
      <c r="IT20" s="63"/>
      <c r="IU20" s="107" t="s">
        <v>201</v>
      </c>
      <c r="IV20" s="108">
        <f>-'Investimento Inicial'!$C$10</f>
        <v>-1000</v>
      </c>
      <c r="IW20" s="63"/>
      <c r="IX20" s="63"/>
      <c r="IY20" s="107" t="s">
        <v>201</v>
      </c>
      <c r="IZ20" s="108">
        <f>-'Investimento Inicial'!$C$10</f>
        <v>-1000</v>
      </c>
      <c r="JA20" s="63"/>
      <c r="JB20" s="63"/>
      <c r="JC20" s="107" t="s">
        <v>201</v>
      </c>
      <c r="JD20" s="108">
        <f>-'Investimento Inicial'!$C$10</f>
        <v>-1000</v>
      </c>
      <c r="JE20" s="63"/>
      <c r="JF20" s="63"/>
      <c r="JG20" s="107" t="s">
        <v>201</v>
      </c>
      <c r="JH20" s="108">
        <f>-'Investimento Inicial'!$C$10</f>
        <v>-1000</v>
      </c>
      <c r="JI20" s="63"/>
      <c r="JJ20" s="63"/>
      <c r="JK20" s="107" t="s">
        <v>201</v>
      </c>
      <c r="JL20" s="108">
        <f>-'Investimento Inicial'!$C$10</f>
        <v>-1000</v>
      </c>
      <c r="JM20" s="63"/>
      <c r="JN20" s="63"/>
      <c r="JO20" s="107" t="s">
        <v>201</v>
      </c>
      <c r="JP20" s="108">
        <f>-'Investimento Inicial'!$C$10</f>
        <v>-1000</v>
      </c>
      <c r="JQ20" s="63"/>
      <c r="JR20" s="63"/>
      <c r="JS20" s="107" t="s">
        <v>201</v>
      </c>
      <c r="JT20" s="108">
        <f>-'Investimento Inicial'!$C$10</f>
        <v>-1000</v>
      </c>
      <c r="JU20" s="63"/>
      <c r="JV20" s="63"/>
      <c r="JW20" s="107" t="s">
        <v>201</v>
      </c>
      <c r="JX20" s="108">
        <f>-'Investimento Inicial'!$C$10</f>
        <v>-1000</v>
      </c>
      <c r="JY20" s="63"/>
      <c r="JZ20" s="63"/>
      <c r="KA20" s="107" t="s">
        <v>201</v>
      </c>
      <c r="KB20" s="108">
        <f>-'Investimento Inicial'!$C$10</f>
        <v>-1000</v>
      </c>
      <c r="KC20" s="63"/>
      <c r="KD20" s="63"/>
    </row>
    <row r="21" spans="1:290" x14ac:dyDescent="0.25">
      <c r="C21" s="107" t="s">
        <v>216</v>
      </c>
      <c r="D21" s="108">
        <v>-300</v>
      </c>
      <c r="F21" s="63"/>
      <c r="G21" s="107" t="s">
        <v>216</v>
      </c>
      <c r="H21" s="108">
        <v>-300</v>
      </c>
      <c r="I21" s="44"/>
      <c r="J21" s="63"/>
      <c r="K21" s="107" t="s">
        <v>216</v>
      </c>
      <c r="L21" s="108">
        <v>-300</v>
      </c>
      <c r="M21" s="44"/>
      <c r="N21" s="63"/>
      <c r="O21" s="107" t="s">
        <v>216</v>
      </c>
      <c r="P21" s="108">
        <v>-300</v>
      </c>
      <c r="Q21" s="44"/>
      <c r="R21" s="63"/>
      <c r="S21" s="107" t="s">
        <v>216</v>
      </c>
      <c r="T21" s="108">
        <v>-300</v>
      </c>
      <c r="U21" s="44"/>
      <c r="V21" s="63"/>
      <c r="W21" s="107" t="s">
        <v>216</v>
      </c>
      <c r="X21" s="108">
        <v>-300</v>
      </c>
      <c r="Y21" s="44"/>
      <c r="Z21" s="63"/>
      <c r="AA21" s="107" t="s">
        <v>216</v>
      </c>
      <c r="AB21" s="108">
        <v>-300</v>
      </c>
      <c r="AC21" s="44"/>
      <c r="AD21" s="63"/>
      <c r="AE21" s="107" t="s">
        <v>216</v>
      </c>
      <c r="AF21" s="108">
        <v>-300</v>
      </c>
      <c r="AG21" s="44"/>
      <c r="AH21" s="63"/>
      <c r="AI21" s="107" t="s">
        <v>216</v>
      </c>
      <c r="AJ21" s="108">
        <v>-300</v>
      </c>
      <c r="AK21" s="44"/>
      <c r="AL21" s="63"/>
      <c r="AM21" s="107" t="s">
        <v>216</v>
      </c>
      <c r="AN21" s="108">
        <v>-300</v>
      </c>
      <c r="AO21" s="44"/>
      <c r="AP21" s="63"/>
      <c r="AQ21" s="107" t="s">
        <v>216</v>
      </c>
      <c r="AR21" s="108">
        <v>-300</v>
      </c>
      <c r="AS21" s="44"/>
      <c r="AT21" s="63"/>
      <c r="AU21" s="107" t="s">
        <v>216</v>
      </c>
      <c r="AV21" s="108">
        <v>-300</v>
      </c>
      <c r="AW21" s="44"/>
      <c r="AX21" s="63"/>
      <c r="AY21" s="107" t="s">
        <v>216</v>
      </c>
      <c r="AZ21" s="108">
        <v>-300</v>
      </c>
      <c r="BA21" s="44"/>
      <c r="BB21" s="63"/>
      <c r="BC21" s="107" t="s">
        <v>216</v>
      </c>
      <c r="BD21" s="108">
        <v>-300</v>
      </c>
      <c r="BE21" s="44"/>
      <c r="BF21" s="63"/>
      <c r="BG21" s="107" t="s">
        <v>216</v>
      </c>
      <c r="BH21" s="108">
        <v>-300</v>
      </c>
      <c r="BI21" s="44"/>
      <c r="BJ21" s="63"/>
      <c r="BK21" s="107" t="s">
        <v>216</v>
      </c>
      <c r="BL21" s="108">
        <v>-300</v>
      </c>
      <c r="BM21" s="44"/>
      <c r="BN21" s="63"/>
      <c r="BO21" s="107" t="s">
        <v>216</v>
      </c>
      <c r="BP21" s="108">
        <v>-300</v>
      </c>
      <c r="BQ21" s="44"/>
      <c r="BR21" s="63"/>
      <c r="BS21" s="107" t="s">
        <v>216</v>
      </c>
      <c r="BT21" s="108">
        <v>-300</v>
      </c>
      <c r="BU21" s="44"/>
      <c r="BV21" s="63"/>
      <c r="BW21" s="107" t="s">
        <v>216</v>
      </c>
      <c r="BX21" s="108">
        <v>-300</v>
      </c>
      <c r="BY21" s="44"/>
      <c r="BZ21" s="63"/>
      <c r="CA21" s="107" t="s">
        <v>216</v>
      </c>
      <c r="CB21" s="108">
        <v>-300</v>
      </c>
      <c r="CC21" s="44"/>
      <c r="CD21" s="63"/>
      <c r="CE21" s="107" t="s">
        <v>216</v>
      </c>
      <c r="CF21" s="108">
        <v>-300</v>
      </c>
      <c r="CG21" s="44"/>
      <c r="CH21" s="63"/>
      <c r="CI21" s="107" t="s">
        <v>216</v>
      </c>
      <c r="CJ21" s="108">
        <v>-300</v>
      </c>
      <c r="CK21" s="44"/>
      <c r="CL21" s="63"/>
      <c r="CM21" s="107" t="s">
        <v>216</v>
      </c>
      <c r="CN21" s="108">
        <v>-300</v>
      </c>
      <c r="CO21" s="44"/>
      <c r="CP21" s="63"/>
      <c r="CQ21" s="107" t="s">
        <v>216</v>
      </c>
      <c r="CR21" s="108">
        <v>-300</v>
      </c>
      <c r="CS21" s="44"/>
      <c r="CT21" s="63"/>
      <c r="CU21" s="107" t="s">
        <v>216</v>
      </c>
      <c r="CV21" s="108">
        <v>-300</v>
      </c>
      <c r="CW21" s="44"/>
      <c r="CX21" s="63"/>
      <c r="CY21" s="107" t="s">
        <v>216</v>
      </c>
      <c r="CZ21" s="108">
        <v>-300</v>
      </c>
      <c r="DA21" s="44"/>
      <c r="DB21" s="63"/>
      <c r="DC21" s="107" t="s">
        <v>216</v>
      </c>
      <c r="DD21" s="108">
        <v>-300</v>
      </c>
      <c r="DE21" s="44"/>
      <c r="DF21" s="63"/>
      <c r="DG21" s="107" t="s">
        <v>216</v>
      </c>
      <c r="DH21" s="108">
        <v>-300</v>
      </c>
      <c r="DI21" s="44"/>
      <c r="DJ21" s="63"/>
      <c r="DK21" s="107" t="s">
        <v>216</v>
      </c>
      <c r="DL21" s="108">
        <v>-300</v>
      </c>
      <c r="DM21" s="44"/>
      <c r="DN21" s="63"/>
      <c r="DO21" s="107" t="s">
        <v>216</v>
      </c>
      <c r="DP21" s="108">
        <v>-300</v>
      </c>
      <c r="DQ21" s="44"/>
      <c r="DR21" s="63"/>
      <c r="DS21" s="107" t="s">
        <v>216</v>
      </c>
      <c r="DT21" s="108">
        <v>-300</v>
      </c>
      <c r="DU21" s="44"/>
      <c r="DV21" s="63"/>
      <c r="DW21" s="107" t="s">
        <v>216</v>
      </c>
      <c r="DX21" s="108">
        <v>-300</v>
      </c>
      <c r="DY21" s="44"/>
      <c r="DZ21" s="63"/>
      <c r="EA21" s="107" t="s">
        <v>216</v>
      </c>
      <c r="EB21" s="108">
        <v>-300</v>
      </c>
      <c r="EC21" s="44"/>
      <c r="ED21" s="63"/>
      <c r="EE21" s="107" t="s">
        <v>216</v>
      </c>
      <c r="EF21" s="108">
        <v>-300</v>
      </c>
      <c r="EG21" s="44"/>
      <c r="EH21" s="63"/>
      <c r="EI21" s="107" t="s">
        <v>216</v>
      </c>
      <c r="EJ21" s="108">
        <v>-300</v>
      </c>
      <c r="EK21" s="44"/>
      <c r="EL21" s="63"/>
      <c r="EM21" s="107" t="s">
        <v>216</v>
      </c>
      <c r="EN21" s="108">
        <v>-300</v>
      </c>
      <c r="EO21" s="44"/>
      <c r="EP21" s="63"/>
      <c r="EQ21" s="107" t="s">
        <v>216</v>
      </c>
      <c r="ER21" s="108">
        <v>-300</v>
      </c>
      <c r="ES21" s="44"/>
      <c r="ET21" s="63"/>
      <c r="EU21" s="107" t="s">
        <v>216</v>
      </c>
      <c r="EV21" s="108">
        <v>-300</v>
      </c>
      <c r="EW21" s="44"/>
      <c r="EX21" s="63"/>
      <c r="EY21" s="107" t="s">
        <v>216</v>
      </c>
      <c r="EZ21" s="108">
        <v>-300</v>
      </c>
      <c r="FA21" s="44"/>
      <c r="FB21" s="63"/>
      <c r="FC21" s="107" t="s">
        <v>216</v>
      </c>
      <c r="FD21" s="108">
        <v>-300</v>
      </c>
      <c r="FE21" s="44"/>
      <c r="FF21" s="63"/>
      <c r="FG21" s="107" t="s">
        <v>216</v>
      </c>
      <c r="FH21" s="108">
        <v>-300</v>
      </c>
      <c r="FI21" s="44"/>
      <c r="FJ21" s="63"/>
      <c r="FK21" s="107" t="s">
        <v>216</v>
      </c>
      <c r="FL21" s="108">
        <v>-300</v>
      </c>
      <c r="FM21" s="44"/>
      <c r="FN21" s="63"/>
      <c r="FO21" s="107" t="s">
        <v>216</v>
      </c>
      <c r="FP21" s="108">
        <v>-300</v>
      </c>
      <c r="FQ21" s="44"/>
      <c r="FR21" s="63"/>
      <c r="FS21" s="107" t="s">
        <v>216</v>
      </c>
      <c r="FT21" s="108">
        <v>-300</v>
      </c>
      <c r="FU21" s="44"/>
      <c r="FV21" s="63"/>
      <c r="FW21" s="107" t="s">
        <v>216</v>
      </c>
      <c r="FX21" s="108">
        <v>-300</v>
      </c>
      <c r="FY21" s="44"/>
      <c r="FZ21" s="63"/>
      <c r="GA21" s="107" t="s">
        <v>216</v>
      </c>
      <c r="GB21" s="108">
        <v>-300</v>
      </c>
      <c r="GC21" s="44"/>
      <c r="GD21" s="63"/>
      <c r="GE21" s="107" t="s">
        <v>216</v>
      </c>
      <c r="GF21" s="108">
        <v>-300</v>
      </c>
      <c r="GG21" s="44"/>
      <c r="GH21" s="63"/>
      <c r="GI21" s="107" t="s">
        <v>216</v>
      </c>
      <c r="GJ21" s="108">
        <v>-300</v>
      </c>
      <c r="GK21" s="44"/>
      <c r="GL21" s="63"/>
      <c r="GM21" s="107" t="s">
        <v>216</v>
      </c>
      <c r="GN21" s="108">
        <v>-300</v>
      </c>
      <c r="GO21" s="44"/>
      <c r="GP21" s="63"/>
      <c r="GQ21" s="107" t="s">
        <v>216</v>
      </c>
      <c r="GR21" s="108">
        <v>-300</v>
      </c>
      <c r="GS21" s="44"/>
      <c r="GT21" s="63"/>
      <c r="GU21" s="107" t="s">
        <v>216</v>
      </c>
      <c r="GV21" s="108">
        <v>-300</v>
      </c>
      <c r="GW21" s="44"/>
      <c r="GX21" s="63"/>
      <c r="GY21" s="107" t="s">
        <v>216</v>
      </c>
      <c r="GZ21" s="108">
        <v>-300</v>
      </c>
      <c r="HA21" s="44"/>
      <c r="HB21" s="63"/>
      <c r="HC21" s="107" t="s">
        <v>216</v>
      </c>
      <c r="HD21" s="108">
        <v>-300</v>
      </c>
      <c r="HE21" s="44"/>
      <c r="HF21" s="63"/>
      <c r="HG21" s="107" t="s">
        <v>216</v>
      </c>
      <c r="HH21" s="108">
        <v>-300</v>
      </c>
      <c r="HI21" s="44"/>
      <c r="HJ21" s="63"/>
      <c r="HK21" s="107" t="s">
        <v>216</v>
      </c>
      <c r="HL21" s="108">
        <v>-300</v>
      </c>
      <c r="HM21" s="44"/>
      <c r="HN21" s="63"/>
      <c r="HO21" s="107" t="s">
        <v>216</v>
      </c>
      <c r="HP21" s="108">
        <v>-300</v>
      </c>
      <c r="HQ21" s="44"/>
      <c r="HR21" s="63"/>
      <c r="HS21" s="107" t="s">
        <v>216</v>
      </c>
      <c r="HT21" s="108">
        <v>-300</v>
      </c>
      <c r="HU21" s="44"/>
      <c r="HV21" s="63"/>
      <c r="HW21" s="107" t="s">
        <v>216</v>
      </c>
      <c r="HX21" s="108">
        <v>-300</v>
      </c>
      <c r="HY21" s="44"/>
      <c r="HZ21" s="63"/>
      <c r="IA21" s="107" t="s">
        <v>216</v>
      </c>
      <c r="IB21" s="108">
        <v>-300</v>
      </c>
      <c r="IC21" s="44"/>
      <c r="ID21" s="63"/>
      <c r="IE21" s="107" t="s">
        <v>216</v>
      </c>
      <c r="IF21" s="108">
        <v>-300</v>
      </c>
      <c r="IG21" s="44"/>
      <c r="IH21" s="63"/>
      <c r="II21" s="107" t="s">
        <v>216</v>
      </c>
      <c r="IJ21" s="108">
        <v>-300</v>
      </c>
      <c r="IK21" s="44"/>
      <c r="IL21" s="63"/>
      <c r="IM21" s="107" t="s">
        <v>216</v>
      </c>
      <c r="IN21" s="108">
        <v>-300</v>
      </c>
      <c r="IO21" s="44"/>
      <c r="IP21" s="63"/>
      <c r="IQ21" s="107" t="s">
        <v>216</v>
      </c>
      <c r="IR21" s="108">
        <v>-300</v>
      </c>
      <c r="IS21" s="44"/>
      <c r="IT21" s="63"/>
      <c r="IU21" s="107" t="s">
        <v>216</v>
      </c>
      <c r="IV21" s="108">
        <v>-300</v>
      </c>
      <c r="IW21" s="44"/>
      <c r="IX21" s="63"/>
      <c r="IY21" s="107" t="s">
        <v>216</v>
      </c>
      <c r="IZ21" s="108">
        <v>-300</v>
      </c>
      <c r="JA21" s="44"/>
      <c r="JB21" s="63"/>
      <c r="JC21" s="107" t="s">
        <v>216</v>
      </c>
      <c r="JD21" s="108">
        <v>-300</v>
      </c>
      <c r="JE21" s="44"/>
      <c r="JF21" s="63"/>
      <c r="JG21" s="107" t="s">
        <v>216</v>
      </c>
      <c r="JH21" s="108">
        <v>-300</v>
      </c>
      <c r="JI21" s="44"/>
      <c r="JJ21" s="63"/>
      <c r="JK21" s="107" t="s">
        <v>216</v>
      </c>
      <c r="JL21" s="108">
        <v>-300</v>
      </c>
      <c r="JM21" s="44"/>
      <c r="JN21" s="63"/>
      <c r="JO21" s="107" t="s">
        <v>216</v>
      </c>
      <c r="JP21" s="108">
        <v>-300</v>
      </c>
      <c r="JQ21" s="44"/>
      <c r="JR21" s="63"/>
      <c r="JS21" s="107" t="s">
        <v>216</v>
      </c>
      <c r="JT21" s="108">
        <v>-300</v>
      </c>
      <c r="JU21" s="44"/>
      <c r="JV21" s="63"/>
      <c r="JW21" s="107" t="s">
        <v>216</v>
      </c>
      <c r="JX21" s="108">
        <v>-300</v>
      </c>
      <c r="JY21" s="44"/>
      <c r="JZ21" s="63"/>
      <c r="KA21" s="107" t="s">
        <v>216</v>
      </c>
      <c r="KB21" s="108">
        <v>-300</v>
      </c>
      <c r="KC21" s="44"/>
      <c r="KD21" s="63"/>
    </row>
    <row r="22" spans="1:290" x14ac:dyDescent="0.25">
      <c r="C22" s="110" t="s">
        <v>93</v>
      </c>
      <c r="D22" s="111">
        <f>-AVERAGE('Simulação Empréstimo'!$K$6:$K$11)/12</f>
        <v>-1714.1957365239887</v>
      </c>
      <c r="E22" s="35"/>
      <c r="G22" s="110" t="s">
        <v>93</v>
      </c>
      <c r="H22" s="111">
        <f>-AVERAGE('Simulação Empréstimo'!$K$6:$K$11)/12</f>
        <v>-1714.1957365239887</v>
      </c>
      <c r="K22" s="110" t="s">
        <v>93</v>
      </c>
      <c r="L22" s="111">
        <f>-AVERAGE('Simulação Empréstimo'!$K$6:$K$11)/12</f>
        <v>-1714.1957365239887</v>
      </c>
      <c r="N22" s="44"/>
      <c r="O22" s="110" t="s">
        <v>93</v>
      </c>
      <c r="P22" s="111">
        <f>-AVERAGE('Simulação Empréstimo'!$K$6:$K$11)/12</f>
        <v>-1714.1957365239887</v>
      </c>
      <c r="R22" s="44"/>
      <c r="S22" s="110" t="s">
        <v>93</v>
      </c>
      <c r="T22" s="111">
        <f>-AVERAGE('Simulação Empréstimo'!$K$6:$K$11)/12</f>
        <v>-1714.1957365239887</v>
      </c>
      <c r="V22" s="44"/>
      <c r="W22" s="110" t="s">
        <v>93</v>
      </c>
      <c r="X22" s="111">
        <f>-AVERAGE('Simulação Empréstimo'!$K$6:$K$11)/12</f>
        <v>-1714.1957365239887</v>
      </c>
      <c r="Z22" s="44"/>
      <c r="AA22" s="110" t="s">
        <v>93</v>
      </c>
      <c r="AB22" s="111">
        <f>-AVERAGE('Simulação Empréstimo'!$K$6:$K$11)/12</f>
        <v>-1714.1957365239887</v>
      </c>
      <c r="AD22" s="44"/>
      <c r="AE22" s="110" t="s">
        <v>93</v>
      </c>
      <c r="AF22" s="111">
        <f>-AVERAGE('Simulação Empréstimo'!$K$6:$K$11)/12</f>
        <v>-1714.1957365239887</v>
      </c>
      <c r="AH22" s="44"/>
      <c r="AI22" s="110" t="s">
        <v>93</v>
      </c>
      <c r="AJ22" s="111">
        <f>-AVERAGE('Simulação Empréstimo'!$K$6:$K$11)/12</f>
        <v>-1714.1957365239887</v>
      </c>
      <c r="AL22" s="44"/>
      <c r="AM22" s="110" t="s">
        <v>93</v>
      </c>
      <c r="AN22" s="111">
        <f>-AVERAGE('Simulação Empréstimo'!$K$6:$K$11)/12</f>
        <v>-1714.1957365239887</v>
      </c>
      <c r="AP22" s="44"/>
      <c r="AQ22" s="110" t="s">
        <v>93</v>
      </c>
      <c r="AR22" s="111">
        <f>-AVERAGE('Simulação Empréstimo'!$K$6:$K$11)/12</f>
        <v>-1714.1957365239887</v>
      </c>
      <c r="AT22" s="44"/>
      <c r="AU22" s="110" t="s">
        <v>93</v>
      </c>
      <c r="AV22" s="111">
        <f>-AVERAGE('Simulação Empréstimo'!$K$6:$K$11)/12</f>
        <v>-1714.1957365239887</v>
      </c>
      <c r="AX22" s="44"/>
      <c r="AY22" s="110" t="s">
        <v>93</v>
      </c>
      <c r="AZ22" s="111">
        <f>-AVERAGE('Simulação Empréstimo'!$K$6:$K$11)/12</f>
        <v>-1714.1957365239887</v>
      </c>
      <c r="BB22" s="44"/>
      <c r="BC22" s="110" t="s">
        <v>93</v>
      </c>
      <c r="BD22" s="111">
        <f>-AVERAGE('Simulação Empréstimo'!$K$6:$K$11)/12</f>
        <v>-1714.1957365239887</v>
      </c>
      <c r="BF22" s="44"/>
      <c r="BG22" s="110" t="s">
        <v>93</v>
      </c>
      <c r="BH22" s="111">
        <f>-AVERAGE('Simulação Empréstimo'!$K$6:$K$11)/12</f>
        <v>-1714.1957365239887</v>
      </c>
      <c r="BJ22" s="44"/>
      <c r="BK22" s="110" t="s">
        <v>93</v>
      </c>
      <c r="BL22" s="111">
        <f>-AVERAGE('Simulação Empréstimo'!$K$6:$K$11)/12</f>
        <v>-1714.1957365239887</v>
      </c>
      <c r="BN22" s="44"/>
      <c r="BO22" s="110" t="s">
        <v>93</v>
      </c>
      <c r="BP22" s="111">
        <f>-AVERAGE('Simulação Empréstimo'!$K$6:$K$11)/12</f>
        <v>-1714.1957365239887</v>
      </c>
      <c r="BR22" s="44"/>
      <c r="BS22" s="110" t="s">
        <v>93</v>
      </c>
      <c r="BT22" s="111">
        <f>-AVERAGE('Simulação Empréstimo'!$K$6:$K$11)/12</f>
        <v>-1714.1957365239887</v>
      </c>
      <c r="BV22" s="44"/>
      <c r="BW22" s="110" t="s">
        <v>93</v>
      </c>
      <c r="BX22" s="111">
        <f>-AVERAGE('Simulação Empréstimo'!$K$6:$K$11)/12</f>
        <v>-1714.1957365239887</v>
      </c>
      <c r="BZ22" s="44"/>
      <c r="CA22" s="110" t="s">
        <v>93</v>
      </c>
      <c r="CB22" s="111">
        <f>-AVERAGE('Simulação Empréstimo'!$K$6:$K$11)/12</f>
        <v>-1714.1957365239887</v>
      </c>
      <c r="CD22" s="44"/>
      <c r="CE22" s="110" t="s">
        <v>93</v>
      </c>
      <c r="CF22" s="111">
        <f>-AVERAGE('Simulação Empréstimo'!$K$6:$K$11)/12</f>
        <v>-1714.1957365239887</v>
      </c>
      <c r="CH22" s="44"/>
      <c r="CI22" s="110" t="s">
        <v>93</v>
      </c>
      <c r="CJ22" s="111">
        <f>-AVERAGE('Simulação Empréstimo'!$K$6:$K$11)/12</f>
        <v>-1714.1957365239887</v>
      </c>
      <c r="CL22" s="44"/>
      <c r="CM22" s="110" t="s">
        <v>93</v>
      </c>
      <c r="CN22" s="111">
        <f>-AVERAGE('Simulação Empréstimo'!$K$6:$K$11)/12</f>
        <v>-1714.1957365239887</v>
      </c>
      <c r="CP22" s="44"/>
      <c r="CQ22" s="110" t="s">
        <v>93</v>
      </c>
      <c r="CR22" s="111">
        <f>-AVERAGE('Simulação Empréstimo'!$K$6:$K$11)/12</f>
        <v>-1714.1957365239887</v>
      </c>
      <c r="CT22" s="44"/>
      <c r="CU22" s="110" t="s">
        <v>93</v>
      </c>
      <c r="CV22" s="111">
        <f>-AVERAGE('Simulação Empréstimo'!$K$6:$K$11)/12</f>
        <v>-1714.1957365239887</v>
      </c>
      <c r="CX22" s="44"/>
      <c r="CY22" s="110" t="s">
        <v>93</v>
      </c>
      <c r="CZ22" s="111">
        <f>-AVERAGE('Simulação Empréstimo'!$K$6:$K$11)/12</f>
        <v>-1714.1957365239887</v>
      </c>
      <c r="DB22" s="44"/>
      <c r="DC22" s="110" t="s">
        <v>93</v>
      </c>
      <c r="DD22" s="111">
        <f>-AVERAGE('Simulação Empréstimo'!$K$6:$K$11)/12</f>
        <v>-1714.1957365239887</v>
      </c>
      <c r="DF22" s="44"/>
      <c r="DG22" s="110" t="s">
        <v>93</v>
      </c>
      <c r="DH22" s="111">
        <f>-AVERAGE('Simulação Empréstimo'!$K$6:$K$11)/12</f>
        <v>-1714.1957365239887</v>
      </c>
      <c r="DJ22" s="44"/>
      <c r="DK22" s="110" t="s">
        <v>93</v>
      </c>
      <c r="DL22" s="111">
        <f>-AVERAGE('Simulação Empréstimo'!$K$6:$K$11)/12</f>
        <v>-1714.1957365239887</v>
      </c>
      <c r="DN22" s="44"/>
      <c r="DO22" s="110" t="s">
        <v>93</v>
      </c>
      <c r="DP22" s="111">
        <f>-AVERAGE('Simulação Empréstimo'!$K$6:$K$11)/12</f>
        <v>-1714.1957365239887</v>
      </c>
      <c r="DR22" s="44"/>
      <c r="DS22" s="110" t="s">
        <v>93</v>
      </c>
      <c r="DT22" s="111">
        <f>-AVERAGE('Simulação Empréstimo'!$K$6:$K$11)/12</f>
        <v>-1714.1957365239887</v>
      </c>
      <c r="DV22" s="44"/>
      <c r="DW22" s="110" t="s">
        <v>93</v>
      </c>
      <c r="DX22" s="111">
        <f>-AVERAGE('Simulação Empréstimo'!$K$6:$K$11)/12</f>
        <v>-1714.1957365239887</v>
      </c>
      <c r="DZ22" s="44"/>
      <c r="EA22" s="110" t="s">
        <v>93</v>
      </c>
      <c r="EB22" s="111">
        <f>-AVERAGE('Simulação Empréstimo'!$K$6:$K$11)/12</f>
        <v>-1714.1957365239887</v>
      </c>
      <c r="ED22" s="44"/>
      <c r="EE22" s="110" t="s">
        <v>93</v>
      </c>
      <c r="EF22" s="111">
        <f>-AVERAGE('Simulação Empréstimo'!$K$6:$K$11)/12</f>
        <v>-1714.1957365239887</v>
      </c>
      <c r="EH22" s="44"/>
      <c r="EI22" s="110" t="s">
        <v>93</v>
      </c>
      <c r="EJ22" s="111">
        <f>-AVERAGE('Simulação Empréstimo'!$K$6:$K$11)/12</f>
        <v>-1714.1957365239887</v>
      </c>
      <c r="EL22" s="44"/>
      <c r="EM22" s="110" t="s">
        <v>93</v>
      </c>
      <c r="EN22" s="111">
        <f>-AVERAGE('Simulação Empréstimo'!$K$6:$K$11)/12</f>
        <v>-1714.1957365239887</v>
      </c>
      <c r="EP22" s="44"/>
      <c r="EQ22" s="110" t="s">
        <v>93</v>
      </c>
      <c r="ER22" s="111">
        <f>-AVERAGE('Simulação Empréstimo'!$K$6:$K$11)/12</f>
        <v>-1714.1957365239887</v>
      </c>
      <c r="ET22" s="44"/>
      <c r="EU22" s="110" t="s">
        <v>93</v>
      </c>
      <c r="EV22" s="111">
        <f>-AVERAGE('Simulação Empréstimo'!$K$6:$K$11)/12</f>
        <v>-1714.1957365239887</v>
      </c>
      <c r="EX22" s="44"/>
      <c r="EY22" s="110" t="s">
        <v>93</v>
      </c>
      <c r="EZ22" s="111">
        <f>-AVERAGE('Simulação Empréstimo'!$K$6:$K$11)/12</f>
        <v>-1714.1957365239887</v>
      </c>
      <c r="FB22" s="44"/>
      <c r="FC22" s="110" t="s">
        <v>93</v>
      </c>
      <c r="FD22" s="111">
        <f>-AVERAGE('Simulação Empréstimo'!$K$6:$K$11)/12</f>
        <v>-1714.1957365239887</v>
      </c>
      <c r="FF22" s="44"/>
      <c r="FG22" s="110" t="s">
        <v>93</v>
      </c>
      <c r="FH22" s="111">
        <f>-AVERAGE('Simulação Empréstimo'!$K$6:$K$11)/12</f>
        <v>-1714.1957365239887</v>
      </c>
      <c r="FJ22" s="44"/>
      <c r="FK22" s="110" t="s">
        <v>93</v>
      </c>
      <c r="FL22" s="111">
        <f>-AVERAGE('Simulação Empréstimo'!$K$6:$K$11)/12</f>
        <v>-1714.1957365239887</v>
      </c>
      <c r="FN22" s="44"/>
      <c r="FO22" s="110" t="s">
        <v>93</v>
      </c>
      <c r="FP22" s="111">
        <f>-AVERAGE('Simulação Empréstimo'!$K$6:$K$11)/12</f>
        <v>-1714.1957365239887</v>
      </c>
      <c r="FR22" s="44"/>
      <c r="FS22" s="110" t="s">
        <v>93</v>
      </c>
      <c r="FT22" s="111">
        <f>-AVERAGE('Simulação Empréstimo'!$K$6:$K$11)/12</f>
        <v>-1714.1957365239887</v>
      </c>
      <c r="FV22" s="44"/>
      <c r="FW22" s="110" t="s">
        <v>93</v>
      </c>
      <c r="FX22" s="111">
        <f>-AVERAGE('Simulação Empréstimo'!$K$6:$K$11)/12</f>
        <v>-1714.1957365239887</v>
      </c>
      <c r="FZ22" s="44"/>
      <c r="GA22" s="110" t="s">
        <v>93</v>
      </c>
      <c r="GB22" s="111">
        <f>-AVERAGE('Simulação Empréstimo'!$K$6:$K$11)/12</f>
        <v>-1714.1957365239887</v>
      </c>
      <c r="GD22" s="44"/>
      <c r="GE22" s="110" t="s">
        <v>93</v>
      </c>
      <c r="GF22" s="111">
        <f>-AVERAGE('Simulação Empréstimo'!$K$6:$K$11)/12</f>
        <v>-1714.1957365239887</v>
      </c>
      <c r="GH22" s="44"/>
      <c r="GI22" s="110" t="s">
        <v>93</v>
      </c>
      <c r="GJ22" s="111">
        <f>-AVERAGE('Simulação Empréstimo'!$K$6:$K$11)/12</f>
        <v>-1714.1957365239887</v>
      </c>
      <c r="GL22" s="44"/>
      <c r="GM22" s="110" t="s">
        <v>93</v>
      </c>
      <c r="GN22" s="111">
        <f>-AVERAGE('Simulação Empréstimo'!$K$6:$K$11)/12</f>
        <v>-1714.1957365239887</v>
      </c>
      <c r="GP22" s="44"/>
      <c r="GQ22" s="110" t="s">
        <v>93</v>
      </c>
      <c r="GR22" s="111">
        <f>-AVERAGE('Simulação Empréstimo'!$K$6:$K$11)/12</f>
        <v>-1714.1957365239887</v>
      </c>
      <c r="GT22" s="44"/>
      <c r="GU22" s="110" t="s">
        <v>93</v>
      </c>
      <c r="GV22" s="111">
        <f>-AVERAGE('Simulação Empréstimo'!$K$6:$K$11)/12</f>
        <v>-1714.1957365239887</v>
      </c>
      <c r="GX22" s="44"/>
      <c r="GY22" s="110" t="s">
        <v>93</v>
      </c>
      <c r="GZ22" s="111">
        <f>-AVERAGE('Simulação Empréstimo'!$K$6:$K$11)/12</f>
        <v>-1714.1957365239887</v>
      </c>
      <c r="HB22" s="44"/>
      <c r="HC22" s="110" t="s">
        <v>93</v>
      </c>
      <c r="HD22" s="111">
        <f>-AVERAGE('Simulação Empréstimo'!$K$6:$K$11)/12</f>
        <v>-1714.1957365239887</v>
      </c>
      <c r="HF22" s="44"/>
      <c r="HG22" s="110" t="s">
        <v>93</v>
      </c>
      <c r="HH22" s="111">
        <f>-AVERAGE('Simulação Empréstimo'!$K$6:$K$11)/12</f>
        <v>-1714.1957365239887</v>
      </c>
      <c r="HJ22" s="44"/>
      <c r="HK22" s="110" t="s">
        <v>93</v>
      </c>
      <c r="HL22" s="111">
        <f>-AVERAGE('Simulação Empréstimo'!$K$6:$K$11)/12</f>
        <v>-1714.1957365239887</v>
      </c>
      <c r="HN22" s="44"/>
      <c r="HO22" s="110" t="s">
        <v>93</v>
      </c>
      <c r="HP22" s="111">
        <f>-AVERAGE('Simulação Empréstimo'!$K$6:$K$11)/12</f>
        <v>-1714.1957365239887</v>
      </c>
      <c r="HR22" s="44"/>
      <c r="HS22" s="110" t="s">
        <v>93</v>
      </c>
      <c r="HT22" s="111">
        <f>-AVERAGE('Simulação Empréstimo'!$K$6:$K$11)/12</f>
        <v>-1714.1957365239887</v>
      </c>
      <c r="HV22" s="44"/>
      <c r="HW22" s="110" t="s">
        <v>93</v>
      </c>
      <c r="HX22" s="111">
        <f>-AVERAGE('Simulação Empréstimo'!$K$6:$K$11)/12</f>
        <v>-1714.1957365239887</v>
      </c>
      <c r="HZ22" s="44"/>
      <c r="IA22" s="110" t="s">
        <v>93</v>
      </c>
      <c r="IB22" s="111">
        <f>-AVERAGE('Simulação Empréstimo'!$K$6:$K$11)/12</f>
        <v>-1714.1957365239887</v>
      </c>
      <c r="ID22" s="44"/>
      <c r="IE22" s="110" t="s">
        <v>93</v>
      </c>
      <c r="IF22" s="111">
        <f>-AVERAGE('Simulação Empréstimo'!$K$6:$K$11)/12</f>
        <v>-1714.1957365239887</v>
      </c>
      <c r="IH22" s="44"/>
      <c r="II22" s="110" t="s">
        <v>93</v>
      </c>
      <c r="IJ22" s="111">
        <f>-AVERAGE('Simulação Empréstimo'!$K$6:$K$11)/12</f>
        <v>-1714.1957365239887</v>
      </c>
      <c r="IL22" s="44"/>
      <c r="IM22" s="110" t="s">
        <v>93</v>
      </c>
      <c r="IN22" s="111">
        <f>-AVERAGE('Simulação Empréstimo'!$K$6:$K$11)/12</f>
        <v>-1714.1957365239887</v>
      </c>
      <c r="IP22" s="44"/>
      <c r="IQ22" s="110" t="s">
        <v>93</v>
      </c>
      <c r="IR22" s="111">
        <f>-AVERAGE('Simulação Empréstimo'!$K$6:$K$11)/12</f>
        <v>-1714.1957365239887</v>
      </c>
      <c r="IT22" s="44"/>
      <c r="IU22" s="110" t="s">
        <v>93</v>
      </c>
      <c r="IV22" s="111">
        <f>-AVERAGE('Simulação Empréstimo'!$K$6:$K$11)/12</f>
        <v>-1714.1957365239887</v>
      </c>
      <c r="IX22" s="44"/>
      <c r="IY22" s="110" t="s">
        <v>93</v>
      </c>
      <c r="IZ22" s="111">
        <f>-AVERAGE('Simulação Empréstimo'!$K$6:$K$11)/12</f>
        <v>-1714.1957365239887</v>
      </c>
      <c r="JB22" s="44"/>
      <c r="JC22" s="110" t="s">
        <v>93</v>
      </c>
      <c r="JD22" s="111">
        <f>-AVERAGE('Simulação Empréstimo'!$K$6:$K$11)/12</f>
        <v>-1714.1957365239887</v>
      </c>
      <c r="JF22" s="44"/>
      <c r="JG22" s="110" t="s">
        <v>93</v>
      </c>
      <c r="JH22" s="111">
        <f>-AVERAGE('Simulação Empréstimo'!$K$6:$K$11)/12</f>
        <v>-1714.1957365239887</v>
      </c>
      <c r="JJ22" s="44"/>
      <c r="JK22" s="110" t="s">
        <v>93</v>
      </c>
      <c r="JL22" s="111">
        <f>-AVERAGE('Simulação Empréstimo'!$K$6:$K$11)/12</f>
        <v>-1714.1957365239887</v>
      </c>
      <c r="JN22" s="44"/>
      <c r="JO22" s="110" t="s">
        <v>93</v>
      </c>
      <c r="JP22" s="111">
        <f>-AVERAGE('Simulação Empréstimo'!$K$6:$K$11)/12</f>
        <v>-1714.1957365239887</v>
      </c>
      <c r="JR22" s="44"/>
      <c r="JS22" s="110" t="s">
        <v>93</v>
      </c>
      <c r="JT22" s="111">
        <f>-AVERAGE('Simulação Empréstimo'!$K$6:$K$11)/12</f>
        <v>-1714.1957365239887</v>
      </c>
      <c r="JV22" s="44"/>
      <c r="JW22" s="110" t="s">
        <v>93</v>
      </c>
      <c r="JX22" s="111">
        <f>-AVERAGE('Simulação Empréstimo'!$K$6:$K$11)/12</f>
        <v>-1714.1957365239887</v>
      </c>
      <c r="JZ22" s="44"/>
      <c r="KA22" s="110" t="s">
        <v>93</v>
      </c>
      <c r="KB22" s="111">
        <f>-AVERAGE('Simulação Empréstimo'!$K$6:$K$11)/12</f>
        <v>-1714.1957365239887</v>
      </c>
      <c r="KD22" s="44"/>
    </row>
    <row r="23" spans="1:290" x14ac:dyDescent="0.25">
      <c r="C23" s="110" t="s">
        <v>206</v>
      </c>
      <c r="D23" s="111">
        <f ca="1">-E23*D$4</f>
        <v>-1296</v>
      </c>
      <c r="E23" s="112">
        <f ca="1">VLOOKUP(SUM(OFFSET(D8, 0, -(MIN(12*4-1, COLUMN(D8)-1)), 1, MIN(12*4, COLUMN(D8)))), 'Tabela Simples'!$B$2:$C$7, 2, TRUE)</f>
        <v>4.4999999999999998E-2</v>
      </c>
      <c r="F23" s="19"/>
      <c r="G23" s="110" t="s">
        <v>206</v>
      </c>
      <c r="H23" s="111">
        <f ca="1">-I$23*H$4</f>
        <v>-1296</v>
      </c>
      <c r="I23" s="112">
        <f ca="1">VLOOKUP(SUM(OFFSET(H8, 0, -(MIN(12*4-1, COLUMN(H8)-1)), 1, MIN(12*4, COLUMN(H8)))), 'Tabela Simples'!$B$2:$C$7, 2, TRUE)</f>
        <v>4.4999999999999998E-2</v>
      </c>
      <c r="J23" s="19"/>
      <c r="K23" s="110" t="s">
        <v>206</v>
      </c>
      <c r="L23" s="111">
        <f t="shared" ref="L23" ca="1" si="840">-M$23*L$4</f>
        <v>-1296</v>
      </c>
      <c r="M23" s="112">
        <f ca="1">VLOOKUP(SUM(OFFSET(L8, 0, -(MIN(12*4-1, COLUMN(L8)-1)), 1, MIN(12*4, COLUMN(L8)))), 'Tabela Simples'!$B$2:$C$7, 2, TRUE)</f>
        <v>4.4999999999999998E-2</v>
      </c>
      <c r="N23" s="19"/>
      <c r="O23" s="110" t="s">
        <v>206</v>
      </c>
      <c r="P23" s="111">
        <f t="shared" ref="P23" ca="1" si="841">-Q$23*P$4</f>
        <v>-1296</v>
      </c>
      <c r="Q23" s="112">
        <f ca="1">VLOOKUP(SUM(OFFSET(P8, 0, -(MIN(12*4-1, COLUMN(P8)-1)), 1, MIN(12*4, COLUMN(P8)))), 'Tabela Simples'!$B$2:$C$7, 2, TRUE)</f>
        <v>4.4999999999999998E-2</v>
      </c>
      <c r="R23" s="19"/>
      <c r="S23" s="110" t="s">
        <v>206</v>
      </c>
      <c r="T23" s="111">
        <f t="shared" ref="T23" ca="1" si="842">-U$23*T$4</f>
        <v>-1296</v>
      </c>
      <c r="U23" s="112">
        <f ca="1">VLOOKUP(SUM(OFFSET(T8, 0, -(MIN(12*4-1, COLUMN(T8)-1)), 1, MIN(12*4, COLUMN(T8)))), 'Tabela Simples'!$B$2:$C$7, 2, TRUE)</f>
        <v>4.4999999999999998E-2</v>
      </c>
      <c r="V23" s="19"/>
      <c r="W23" s="110" t="s">
        <v>206</v>
      </c>
      <c r="X23" s="111">
        <f t="shared" ref="X23" ca="1" si="843">-Y$23*X$4</f>
        <v>-1296</v>
      </c>
      <c r="Y23" s="112">
        <f ca="1">VLOOKUP(SUM(OFFSET(X8, 0, -(MIN(12*4-1, COLUMN(X8)-1)), 1, MIN(12*4, COLUMN(X8)))), 'Tabela Simples'!$B$2:$C$7, 2, TRUE)</f>
        <v>4.4999999999999998E-2</v>
      </c>
      <c r="Z23" s="19"/>
      <c r="AA23" s="110" t="s">
        <v>206</v>
      </c>
      <c r="AB23" s="111">
        <f t="shared" ref="AB23" ca="1" si="844">-AC$23*AB$4</f>
        <v>-2246.4</v>
      </c>
      <c r="AC23" s="112">
        <f ca="1">VLOOKUP(SUM(OFFSET(AB8, 0, -(MIN(12*4-1, COLUMN(AB8)-1)), 1, MIN(12*4, COLUMN(AB8)))), 'Tabela Simples'!$B$2:$C$7, 2, TRUE)</f>
        <v>7.8E-2</v>
      </c>
      <c r="AD23" s="19"/>
      <c r="AE23" s="110" t="s">
        <v>206</v>
      </c>
      <c r="AF23" s="111">
        <f t="shared" ref="AF23" ca="1" si="845">-AG$23*AF$4</f>
        <v>-2995.2</v>
      </c>
      <c r="AG23" s="112">
        <f ca="1">VLOOKUP(SUM(OFFSET(AF8, 0, -(MIN(12*4-1, COLUMN(AF8)-1)), 1, MIN(12*4, COLUMN(AF8)))), 'Tabela Simples'!$B$2:$C$7, 2, TRUE)</f>
        <v>7.8E-2</v>
      </c>
      <c r="AH23" s="19"/>
      <c r="AI23" s="110" t="s">
        <v>206</v>
      </c>
      <c r="AJ23" s="111">
        <f t="shared" ref="AJ23" ca="1" si="846">-AK$23*AJ$4</f>
        <v>-2995.2</v>
      </c>
      <c r="AK23" s="112">
        <f ca="1">VLOOKUP(SUM(OFFSET(AJ8, 0, -(MIN(12*4-1, COLUMN(AJ8)-1)), 1, MIN(12*4, COLUMN(AJ8)))), 'Tabela Simples'!$B$2:$C$7, 2, TRUE)</f>
        <v>7.8E-2</v>
      </c>
      <c r="AL23" s="19"/>
      <c r="AM23" s="110" t="s">
        <v>206</v>
      </c>
      <c r="AN23" s="111">
        <f t="shared" ref="AN23" ca="1" si="847">-AO$23*AN$4</f>
        <v>-2995.2</v>
      </c>
      <c r="AO23" s="112">
        <f ca="1">VLOOKUP(SUM(OFFSET(AN8, 0, -(MIN(12*4-1, COLUMN(AN8)-1)), 1, MIN(12*4, COLUMN(AN8)))), 'Tabela Simples'!$B$2:$C$7, 2, TRUE)</f>
        <v>7.8E-2</v>
      </c>
      <c r="AP23" s="19"/>
      <c r="AQ23" s="110" t="s">
        <v>206</v>
      </c>
      <c r="AR23" s="111">
        <f t="shared" ref="AR23" ca="1" si="848">-AS$23*AR$4</f>
        <v>-2995.2</v>
      </c>
      <c r="AS23" s="112">
        <f ca="1">VLOOKUP(SUM(OFFSET(AR8, 0, -(MIN(12*4-1, COLUMN(AR8)-1)), 1, MIN(12*4, COLUMN(AR8)))), 'Tabela Simples'!$B$2:$C$7, 2, TRUE)</f>
        <v>7.8E-2</v>
      </c>
      <c r="AT23" s="19"/>
      <c r="AU23" s="110" t="s">
        <v>206</v>
      </c>
      <c r="AV23" s="111">
        <f t="shared" ref="AV23" ca="1" si="849">-AW$23*AV$4</f>
        <v>-3840</v>
      </c>
      <c r="AW23" s="112">
        <f ca="1">VLOOKUP(SUM(OFFSET(AV8, 0, -(MIN(12*4-1, COLUMN(AV8)-1)), 1, MIN(12*4, COLUMN(AV8)))), 'Tabela Simples'!$B$2:$C$7, 2, TRUE)</f>
        <v>0.1</v>
      </c>
      <c r="AX23" s="19"/>
      <c r="AY23" s="110" t="s">
        <v>206</v>
      </c>
      <c r="AZ23" s="111">
        <f t="shared" ref="AZ23" ca="1" si="850">-BA$23*AZ$4</f>
        <v>-3840</v>
      </c>
      <c r="BA23" s="112">
        <f ca="1">VLOOKUP(SUM(OFFSET(AZ8, 0, -(MIN(12*4-1, COLUMN(AZ8)-1)), 1, MIN(12*4, COLUMN(AZ8)))), 'Tabela Simples'!$B$2:$C$7, 2, TRUE)</f>
        <v>0.1</v>
      </c>
      <c r="BB23" s="19"/>
      <c r="BC23" s="110" t="s">
        <v>206</v>
      </c>
      <c r="BD23" s="111">
        <f t="shared" ref="BD23" ca="1" si="851">-BE$23*BD$4</f>
        <v>-3840</v>
      </c>
      <c r="BE23" s="112">
        <f ca="1">VLOOKUP(SUM(OFFSET(BD8, 0, -(MIN(12*4-1, COLUMN(BD8)-1)), 1, MIN(12*4, COLUMN(BD8)))), 'Tabela Simples'!$B$2:$C$7, 2, TRUE)</f>
        <v>0.1</v>
      </c>
      <c r="BF23" s="19"/>
      <c r="BG23" s="110" t="s">
        <v>206</v>
      </c>
      <c r="BH23" s="111">
        <f t="shared" ref="BH23" ca="1" si="852">-BI$23*BH$4</f>
        <v>-4800</v>
      </c>
      <c r="BI23" s="112">
        <f ca="1">VLOOKUP(SUM(OFFSET(BH8, 0, -(MIN(12*4-1, COLUMN(BH8)-1)), 1, MIN(12*4, COLUMN(BH8)))), 'Tabela Simples'!$B$2:$C$7, 2, TRUE)</f>
        <v>0.1</v>
      </c>
      <c r="BJ23" s="19"/>
      <c r="BK23" s="110" t="s">
        <v>206</v>
      </c>
      <c r="BL23" s="111">
        <f t="shared" ref="BL23" ca="1" si="853">-BM$23*BL$4</f>
        <v>-4800</v>
      </c>
      <c r="BM23" s="112">
        <f ca="1">VLOOKUP(SUM(OFFSET(BL8, 0, -(MIN(12*4-1, COLUMN(BL8)-1)), 1, MIN(12*4, COLUMN(BL8)))), 'Tabela Simples'!$B$2:$C$7, 2, TRUE)</f>
        <v>0.1</v>
      </c>
      <c r="BN23" s="19"/>
      <c r="BO23" s="110" t="s">
        <v>206</v>
      </c>
      <c r="BP23" s="111">
        <f t="shared" ref="BP23" ca="1" si="854">-BQ$23*BP$4</f>
        <v>-4800</v>
      </c>
      <c r="BQ23" s="112">
        <f ca="1">VLOOKUP(SUM(OFFSET(BP8, 0, -(MIN(12*4-1, COLUMN(BP8)-1)), 1, MIN(12*4, COLUMN(BP8)))), 'Tabela Simples'!$B$2:$C$7, 2, TRUE)</f>
        <v>0.1</v>
      </c>
      <c r="BR23" s="19"/>
      <c r="BS23" s="110" t="s">
        <v>206</v>
      </c>
      <c r="BT23" s="111">
        <f t="shared" ref="BT23" ca="1" si="855">-BU$23*BT$4</f>
        <v>-4800</v>
      </c>
      <c r="BU23" s="112">
        <f ca="1">VLOOKUP(SUM(OFFSET(BT8, 0, -(MIN(12*4-1, COLUMN(BT8)-1)), 1, MIN(12*4, COLUMN(BT8)))), 'Tabela Simples'!$B$2:$C$7, 2, TRUE)</f>
        <v>0.1</v>
      </c>
      <c r="BV23" s="19"/>
      <c r="BW23" s="110" t="s">
        <v>206</v>
      </c>
      <c r="BX23" s="111">
        <f t="shared" ref="BX23" ca="1" si="856">-BY$23*BX$4</f>
        <v>-4800</v>
      </c>
      <c r="BY23" s="112">
        <f ca="1">VLOOKUP(SUM(OFFSET(BX8, 0, -(MIN(12*4-1, COLUMN(BX8)-1)), 1, MIN(12*4, COLUMN(BX8)))), 'Tabela Simples'!$B$2:$C$7, 2, TRUE)</f>
        <v>0.1</v>
      </c>
      <c r="BZ23" s="19"/>
      <c r="CA23" s="110" t="s">
        <v>206</v>
      </c>
      <c r="CB23" s="111">
        <f t="shared" ref="CB23" ca="1" si="857">-CC$23*CB$4</f>
        <v>-4800</v>
      </c>
      <c r="CC23" s="112">
        <f ca="1">VLOOKUP(SUM(OFFSET(CB8, 0, -(MIN(12*4-1, COLUMN(CB8)-1)), 1, MIN(12*4, COLUMN(CB8)))), 'Tabela Simples'!$B$2:$C$7, 2, TRUE)</f>
        <v>0.1</v>
      </c>
      <c r="CD23" s="19"/>
      <c r="CE23" s="110" t="s">
        <v>206</v>
      </c>
      <c r="CF23" s="111">
        <f t="shared" ref="CF23" ca="1" si="858">-CG$23*CF$4</f>
        <v>-5760</v>
      </c>
      <c r="CG23" s="112">
        <f ca="1">VLOOKUP(SUM(OFFSET(CF8, 0, -(MIN(12*4-1, COLUMN(CF8)-1)), 1, MIN(12*4, COLUMN(CF8)))), 'Tabela Simples'!$B$2:$C$7, 2, TRUE)</f>
        <v>0.1</v>
      </c>
      <c r="CH23" s="19"/>
      <c r="CI23" s="110" t="s">
        <v>206</v>
      </c>
      <c r="CJ23" s="111">
        <f t="shared" ref="CJ23" ca="1" si="859">-CK$23*CJ$4</f>
        <v>-5760</v>
      </c>
      <c r="CK23" s="112">
        <f ca="1">VLOOKUP(SUM(OFFSET(CJ8, 0, -(MIN(12*4-1, COLUMN(CJ8)-1)), 1, MIN(12*4, COLUMN(CJ8)))), 'Tabela Simples'!$B$2:$C$7, 2, TRUE)</f>
        <v>0.1</v>
      </c>
      <c r="CL23" s="19"/>
      <c r="CM23" s="110" t="s">
        <v>206</v>
      </c>
      <c r="CN23" s="111">
        <f t="shared" ref="CN23" ca="1" si="860">-CO$23*CN$4</f>
        <v>-5760</v>
      </c>
      <c r="CO23" s="112">
        <f ca="1">VLOOKUP(SUM(OFFSET(CN8, 0, -(MIN(12*4-1, COLUMN(CN8)-1)), 1, MIN(12*4, COLUMN(CN8)))), 'Tabela Simples'!$B$2:$C$7, 2, TRUE)</f>
        <v>0.1</v>
      </c>
      <c r="CP23" s="19"/>
      <c r="CQ23" s="110" t="s">
        <v>206</v>
      </c>
      <c r="CR23" s="111">
        <f t="shared" ref="CR23" ca="1" si="861">-CS$23*CR$4</f>
        <v>-5760</v>
      </c>
      <c r="CS23" s="112">
        <f ca="1">VLOOKUP(SUM(OFFSET(CR8, 0, -(MIN(12*4-1, COLUMN(CR8)-1)), 1, MIN(12*4, COLUMN(CR8)))), 'Tabela Simples'!$B$2:$C$7, 2, TRUE)</f>
        <v>0.1</v>
      </c>
      <c r="CT23" s="19"/>
      <c r="CU23" s="110" t="s">
        <v>206</v>
      </c>
      <c r="CV23" s="111">
        <f t="shared" ref="CV23" ca="1" si="862">-CW$23*CV$4</f>
        <v>-5760</v>
      </c>
      <c r="CW23" s="112">
        <f ca="1">VLOOKUP(SUM(OFFSET(CV8, 0, -(MIN(12*4-1, COLUMN(CV8)-1)), 1, MIN(12*4, COLUMN(CV8)))), 'Tabela Simples'!$B$2:$C$7, 2, TRUE)</f>
        <v>0.1</v>
      </c>
      <c r="CX23" s="19"/>
      <c r="CY23" s="110" t="s">
        <v>206</v>
      </c>
      <c r="CZ23" s="111">
        <f t="shared" ref="CZ23" ca="1" si="863">-DA$23*CZ$4</f>
        <v>-5760</v>
      </c>
      <c r="DA23" s="112">
        <f ca="1">VLOOKUP(SUM(OFFSET(CZ8, 0, -(MIN(12*4-1, COLUMN(CZ8)-1)), 1, MIN(12*4, COLUMN(CZ8)))), 'Tabela Simples'!$B$2:$C$7, 2, TRUE)</f>
        <v>0.1</v>
      </c>
      <c r="DB23" s="19"/>
      <c r="DC23" s="110" t="s">
        <v>206</v>
      </c>
      <c r="DD23" s="111">
        <f t="shared" ref="DD23" ca="1" si="864">-DE$23*DD$4</f>
        <v>-5760</v>
      </c>
      <c r="DE23" s="112">
        <f ca="1">VLOOKUP(SUM(OFFSET(DD8, 0, -(MIN(12*4-1, COLUMN(DD8)-1)), 1, MIN(12*4, COLUMN(DD8)))), 'Tabela Simples'!$B$2:$C$7, 2, TRUE)</f>
        <v>0.1</v>
      </c>
      <c r="DF23" s="19"/>
      <c r="DG23" s="110" t="s">
        <v>206</v>
      </c>
      <c r="DH23" s="111">
        <f t="shared" ref="DH23" ca="1" si="865">-DI$23*DH$4</f>
        <v>-6720</v>
      </c>
      <c r="DI23" s="112">
        <f ca="1">VLOOKUP(SUM(OFFSET(DH8, 0, -(MIN(12*4-1, COLUMN(DH8)-1)), 1, MIN(12*4, COLUMN(DH8)))), 'Tabela Simples'!$B$2:$C$7, 2, TRUE)</f>
        <v>0.1</v>
      </c>
      <c r="DJ23" s="19"/>
      <c r="DK23" s="110" t="s">
        <v>206</v>
      </c>
      <c r="DL23" s="111">
        <f t="shared" ref="DL23" ca="1" si="866">-DM$23*DL$4</f>
        <v>-6720</v>
      </c>
      <c r="DM23" s="112">
        <f ca="1">VLOOKUP(SUM(OFFSET(DL8, 0, -(MIN(12*4-1, COLUMN(DL8)-1)), 1, MIN(12*4, COLUMN(DL8)))), 'Tabela Simples'!$B$2:$C$7, 2, TRUE)</f>
        <v>0.1</v>
      </c>
      <c r="DN23" s="19"/>
      <c r="DO23" s="110" t="s">
        <v>206</v>
      </c>
      <c r="DP23" s="111">
        <f t="shared" ref="DP23" ca="1" si="867">-DQ$23*DP$4</f>
        <v>-6720</v>
      </c>
      <c r="DQ23" s="112">
        <f ca="1">VLOOKUP(SUM(OFFSET(DP8, 0, -(MIN(12*4-1, COLUMN(DP8)-1)), 1, MIN(12*4, COLUMN(DP8)))), 'Tabela Simples'!$B$2:$C$7, 2, TRUE)</f>
        <v>0.1</v>
      </c>
      <c r="DR23" s="19"/>
      <c r="DS23" s="110" t="s">
        <v>206</v>
      </c>
      <c r="DT23" s="111">
        <f t="shared" ref="DT23" ca="1" si="868">-DU$23*DT$4</f>
        <v>-6720</v>
      </c>
      <c r="DU23" s="112">
        <f ca="1">VLOOKUP(SUM(OFFSET(DT8, 0, -(MIN(12*4-1, COLUMN(DT8)-1)), 1, MIN(12*4, COLUMN(DT8)))), 'Tabela Simples'!$B$2:$C$7, 2, TRUE)</f>
        <v>0.1</v>
      </c>
      <c r="DV23" s="19"/>
      <c r="DW23" s="110" t="s">
        <v>206</v>
      </c>
      <c r="DX23" s="111">
        <f t="shared" ref="DX23" ca="1" si="869">-DY$23*DX$4</f>
        <v>-7526.4000000000005</v>
      </c>
      <c r="DY23" s="112">
        <f ca="1">VLOOKUP(SUM(OFFSET(DX8, 0, -(MIN(12*4-1, COLUMN(DX8)-1)), 1, MIN(12*4, COLUMN(DX8)))), 'Tabela Simples'!$B$2:$C$7, 2, TRUE)</f>
        <v>0.112</v>
      </c>
      <c r="DZ23" s="19"/>
      <c r="EA23" s="110" t="s">
        <v>206</v>
      </c>
      <c r="EB23" s="111">
        <f t="shared" ref="EB23" ca="1" si="870">-EC$23*EB$4</f>
        <v>-7526.4000000000005</v>
      </c>
      <c r="EC23" s="112">
        <f ca="1">VLOOKUP(SUM(OFFSET(EB8, 0, -(MIN(12*4-1, COLUMN(EB8)-1)), 1, MIN(12*4, COLUMN(EB8)))), 'Tabela Simples'!$B$2:$C$7, 2, TRUE)</f>
        <v>0.112</v>
      </c>
      <c r="ED23" s="19"/>
      <c r="EE23" s="110" t="s">
        <v>206</v>
      </c>
      <c r="EF23" s="111">
        <f t="shared" ref="EF23" ca="1" si="871">-EG$23*EF$4</f>
        <v>-7526.4000000000005</v>
      </c>
      <c r="EG23" s="112">
        <f ca="1">VLOOKUP(SUM(OFFSET(EF8, 0, -(MIN(12*4-1, COLUMN(EF8)-1)), 1, MIN(12*4, COLUMN(EF8)))), 'Tabela Simples'!$B$2:$C$7, 2, TRUE)</f>
        <v>0.112</v>
      </c>
      <c r="EH23" s="19"/>
      <c r="EI23" s="110" t="s">
        <v>206</v>
      </c>
      <c r="EJ23" s="111">
        <f t="shared" ref="EJ23" ca="1" si="872">-EK$23*EJ$4</f>
        <v>-8601.6</v>
      </c>
      <c r="EK23" s="112">
        <f ca="1">VLOOKUP(SUM(OFFSET(EJ8, 0, -(MIN(12*4-1, COLUMN(EJ8)-1)), 1, MIN(12*4, COLUMN(EJ8)))), 'Tabela Simples'!$B$2:$C$7, 2, TRUE)</f>
        <v>0.112</v>
      </c>
      <c r="EL23" s="19"/>
      <c r="EM23" s="110" t="s">
        <v>206</v>
      </c>
      <c r="EN23" s="111">
        <f t="shared" ref="EN23" ca="1" si="873">-EO$23*EN$4</f>
        <v>-8601.6</v>
      </c>
      <c r="EO23" s="112">
        <f ca="1">VLOOKUP(SUM(OFFSET(EN8, 0, -(MIN(12*4-1, COLUMN(EN8)-1)), 1, MIN(12*4, COLUMN(EN8)))), 'Tabela Simples'!$B$2:$C$7, 2, TRUE)</f>
        <v>0.112</v>
      </c>
      <c r="EP23" s="19"/>
      <c r="EQ23" s="110" t="s">
        <v>206</v>
      </c>
      <c r="ER23" s="111">
        <f t="shared" ref="ER23" ca="1" si="874">-ES$23*ER$4</f>
        <v>-8601.6</v>
      </c>
      <c r="ES23" s="112">
        <f ca="1">VLOOKUP(SUM(OFFSET(ER8, 0, -(MIN(12*4-1, COLUMN(ER8)-1)), 1, MIN(12*4, COLUMN(ER8)))), 'Tabela Simples'!$B$2:$C$7, 2, TRUE)</f>
        <v>0.112</v>
      </c>
      <c r="ET23" s="19"/>
      <c r="EU23" s="110" t="s">
        <v>206</v>
      </c>
      <c r="EV23" s="111">
        <f t="shared" ref="EV23" ca="1" si="875">-EW$23*EV$4</f>
        <v>-8601.6</v>
      </c>
      <c r="EW23" s="112">
        <f ca="1">VLOOKUP(SUM(OFFSET(EV8, 0, -(MIN(12*4-1, COLUMN(EV8)-1)), 1, MIN(12*4, COLUMN(EV8)))), 'Tabela Simples'!$B$2:$C$7, 2, TRUE)</f>
        <v>0.112</v>
      </c>
      <c r="EX23" s="19"/>
      <c r="EY23" s="110" t="s">
        <v>206</v>
      </c>
      <c r="EZ23" s="111">
        <f t="shared" ref="EZ23" ca="1" si="876">-FA$23*EZ$4</f>
        <v>-8601.6</v>
      </c>
      <c r="FA23" s="112">
        <f ca="1">VLOOKUP(SUM(OFFSET(EZ8, 0, -(MIN(12*4-1, COLUMN(EZ8)-1)), 1, MIN(12*4, COLUMN(EZ8)))), 'Tabela Simples'!$B$2:$C$7, 2, TRUE)</f>
        <v>0.112</v>
      </c>
      <c r="FB23" s="19"/>
      <c r="FC23" s="110" t="s">
        <v>206</v>
      </c>
      <c r="FD23" s="111">
        <f t="shared" ref="FD23" ca="1" si="877">-FE$23*FD$4</f>
        <v>-8601.6</v>
      </c>
      <c r="FE23" s="112">
        <f ca="1">VLOOKUP(SUM(OFFSET(FD8, 0, -(MIN(12*4-1, COLUMN(FD8)-1)), 1, MIN(12*4, COLUMN(FD8)))), 'Tabela Simples'!$B$2:$C$7, 2, TRUE)</f>
        <v>0.112</v>
      </c>
      <c r="FF23" s="19"/>
      <c r="FG23" s="110" t="s">
        <v>206</v>
      </c>
      <c r="FH23" s="111">
        <f t="shared" ref="FH23" ca="1" si="878">-FI$23*FH$4</f>
        <v>-9676.8000000000011</v>
      </c>
      <c r="FI23" s="112">
        <f ca="1">VLOOKUP(SUM(OFFSET(FH8, 0, -(MIN(12*4-1, COLUMN(FH8)-1)), 1, MIN(12*4, COLUMN(FH8)))), 'Tabela Simples'!$B$2:$C$7, 2, TRUE)</f>
        <v>0.112</v>
      </c>
      <c r="FJ23" s="19"/>
      <c r="FK23" s="110" t="s">
        <v>206</v>
      </c>
      <c r="FL23" s="111">
        <f t="shared" ref="FL23" ca="1" si="879">-FM$23*FL$4</f>
        <v>-9676.8000000000011</v>
      </c>
      <c r="FM23" s="112">
        <f ca="1">VLOOKUP(SUM(OFFSET(FL8, 0, -(MIN(12*4-1, COLUMN(FL8)-1)), 1, MIN(12*4, COLUMN(FL8)))), 'Tabela Simples'!$B$2:$C$7, 2, TRUE)</f>
        <v>0.112</v>
      </c>
      <c r="FN23" s="19"/>
      <c r="FO23" s="110" t="s">
        <v>206</v>
      </c>
      <c r="FP23" s="111">
        <f t="shared" ref="FP23" ca="1" si="880">-FQ$23*FP$4</f>
        <v>-9676.8000000000011</v>
      </c>
      <c r="FQ23" s="112">
        <f ca="1">VLOOKUP(SUM(OFFSET(FP8, 0, -(MIN(12*4-1, COLUMN(FP8)-1)), 1, MIN(12*4, COLUMN(FP8)))), 'Tabela Simples'!$B$2:$C$7, 2, TRUE)</f>
        <v>0.112</v>
      </c>
      <c r="FR23" s="19"/>
      <c r="FS23" s="110" t="s">
        <v>206</v>
      </c>
      <c r="FT23" s="111">
        <f t="shared" ref="FT23" ca="1" si="881">-FU$23*FT$4</f>
        <v>-9676.8000000000011</v>
      </c>
      <c r="FU23" s="112">
        <f ca="1">VLOOKUP(SUM(OFFSET(FT8, 0, -(MIN(12*4-1, COLUMN(FT8)-1)), 1, MIN(12*4, COLUMN(FT8)))), 'Tabela Simples'!$B$2:$C$7, 2, TRUE)</f>
        <v>0.112</v>
      </c>
      <c r="FV23" s="19"/>
      <c r="FW23" s="110" t="s">
        <v>206</v>
      </c>
      <c r="FX23" s="111">
        <f t="shared" ref="FX23" ca="1" si="882">-FY$23*FX$4</f>
        <v>-9676.8000000000011</v>
      </c>
      <c r="FY23" s="112">
        <f ca="1">VLOOKUP(SUM(OFFSET(FX8, 0, -(MIN(12*4-1, COLUMN(FX8)-1)), 1, MIN(12*4, COLUMN(FX8)))), 'Tabela Simples'!$B$2:$C$7, 2, TRUE)</f>
        <v>0.112</v>
      </c>
      <c r="FZ23" s="19"/>
      <c r="GA23" s="110" t="s">
        <v>206</v>
      </c>
      <c r="GB23" s="111">
        <f t="shared" ref="GB23" ca="1" si="883">-GC$23*GB$4</f>
        <v>-9676.8000000000011</v>
      </c>
      <c r="GC23" s="112">
        <f ca="1">VLOOKUP(SUM(OFFSET(GB8, 0, -(MIN(12*4-1, COLUMN(GB8)-1)), 1, MIN(12*4, COLUMN(GB8)))), 'Tabela Simples'!$B$2:$C$7, 2, TRUE)</f>
        <v>0.112</v>
      </c>
      <c r="GD23" s="19"/>
      <c r="GE23" s="110" t="s">
        <v>206</v>
      </c>
      <c r="GF23" s="111">
        <f t="shared" ref="GF23" ca="1" si="884">-GG$23*GF$4</f>
        <v>-9676.8000000000011</v>
      </c>
      <c r="GG23" s="112">
        <f ca="1">VLOOKUP(SUM(OFFSET(GF8, 0, -(MIN(12*4-1, COLUMN(GF8)-1)), 1, MIN(12*4, COLUMN(GF8)))), 'Tabela Simples'!$B$2:$C$7, 2, TRUE)</f>
        <v>0.112</v>
      </c>
      <c r="GH23" s="19"/>
      <c r="GI23" s="110" t="s">
        <v>206</v>
      </c>
      <c r="GJ23" s="111">
        <f t="shared" ref="GJ23" ca="1" si="885">-GK$23*GJ$4</f>
        <v>-10752</v>
      </c>
      <c r="GK23" s="112">
        <f ca="1">VLOOKUP(SUM(OFFSET(GJ8, 0, -(MIN(12*4-1, COLUMN(GJ8)-1)), 1, MIN(12*4, COLUMN(GJ8)))), 'Tabela Simples'!$B$2:$C$7, 2, TRUE)</f>
        <v>0.112</v>
      </c>
      <c r="GL23" s="19"/>
      <c r="GM23" s="110" t="s">
        <v>206</v>
      </c>
      <c r="GN23" s="111">
        <f t="shared" ref="GN23" ca="1" si="886">-GO$23*GN$4</f>
        <v>-10752</v>
      </c>
      <c r="GO23" s="112">
        <f ca="1">VLOOKUP(SUM(OFFSET(GN8, 0, -(MIN(12*4-1, COLUMN(GN8)-1)), 1, MIN(12*4, COLUMN(GN8)))), 'Tabela Simples'!$B$2:$C$7, 2, TRUE)</f>
        <v>0.112</v>
      </c>
      <c r="GP23" s="19"/>
      <c r="GQ23" s="110" t="s">
        <v>206</v>
      </c>
      <c r="GR23" s="111">
        <f t="shared" ref="GR23" ca="1" si="887">-GS$23*GR$4</f>
        <v>-10752</v>
      </c>
      <c r="GS23" s="112">
        <f ca="1">VLOOKUP(SUM(OFFSET(GR8, 0, -(MIN(12*4-1, COLUMN(GR8)-1)), 1, MIN(12*4, COLUMN(GR8)))), 'Tabela Simples'!$B$2:$C$7, 2, TRUE)</f>
        <v>0.112</v>
      </c>
      <c r="GT23" s="19"/>
      <c r="GU23" s="110" t="s">
        <v>206</v>
      </c>
      <c r="GV23" s="111">
        <f t="shared" ref="GV23" ca="1" si="888">-GW$23*GV$4</f>
        <v>-10752</v>
      </c>
      <c r="GW23" s="112">
        <f ca="1">VLOOKUP(SUM(OFFSET(GV8, 0, -(MIN(12*4-1, COLUMN(GV8)-1)), 1, MIN(12*4, COLUMN(GV8)))), 'Tabela Simples'!$B$2:$C$7, 2, TRUE)</f>
        <v>0.112</v>
      </c>
      <c r="GX23" s="19"/>
      <c r="GY23" s="110" t="s">
        <v>206</v>
      </c>
      <c r="GZ23" s="111">
        <f t="shared" ref="GZ23" ca="1" si="889">-HA$23*GZ$4</f>
        <v>-10752</v>
      </c>
      <c r="HA23" s="112">
        <f ca="1">VLOOKUP(SUM(OFFSET(GZ8, 0, -(MIN(12*4-1, COLUMN(GZ8)-1)), 1, MIN(12*4, COLUMN(GZ8)))), 'Tabela Simples'!$B$2:$C$7, 2, TRUE)</f>
        <v>0.112</v>
      </c>
      <c r="HB23" s="19"/>
      <c r="HC23" s="110" t="s">
        <v>206</v>
      </c>
      <c r="HD23" s="111">
        <f t="shared" ref="HD23" ca="1" si="890">-HE$23*HD$4</f>
        <v>-10752</v>
      </c>
      <c r="HE23" s="112">
        <f ca="1">VLOOKUP(SUM(OFFSET(HD8, 0, -(MIN(12*4-1, COLUMN(HD8)-1)), 1, MIN(12*4, COLUMN(HD8)))), 'Tabela Simples'!$B$2:$C$7, 2, TRUE)</f>
        <v>0.112</v>
      </c>
      <c r="HF23" s="19"/>
      <c r="HG23" s="110" t="s">
        <v>206</v>
      </c>
      <c r="HH23" s="111">
        <f t="shared" ref="HH23" ca="1" si="891">-HI$23*HH$4</f>
        <v>-10752</v>
      </c>
      <c r="HI23" s="112">
        <f ca="1">VLOOKUP(SUM(OFFSET(HH8, 0, -(MIN(12*4-1, COLUMN(HH8)-1)), 1, MIN(12*4, COLUMN(HH8)))), 'Tabela Simples'!$B$2:$C$7, 2, TRUE)</f>
        <v>0.112</v>
      </c>
      <c r="HJ23" s="19"/>
      <c r="HK23" s="110" t="s">
        <v>206</v>
      </c>
      <c r="HL23" s="111">
        <f t="shared" ref="HL23" ca="1" si="892">-HM$23*HL$4</f>
        <v>-11827.2</v>
      </c>
      <c r="HM23" s="112">
        <f ca="1">VLOOKUP(SUM(OFFSET(HL8, 0, -(MIN(12*4-1, COLUMN(HL8)-1)), 1, MIN(12*4, COLUMN(HL8)))), 'Tabela Simples'!$B$2:$C$7, 2, TRUE)</f>
        <v>0.112</v>
      </c>
      <c r="HN23" s="19"/>
      <c r="HO23" s="110" t="s">
        <v>206</v>
      </c>
      <c r="HP23" s="111">
        <f t="shared" ref="HP23" ca="1" si="893">-HQ$23*HP$4</f>
        <v>-11827.2</v>
      </c>
      <c r="HQ23" s="112">
        <f ca="1">VLOOKUP(SUM(OFFSET(HP8, 0, -(MIN(12*4-1, COLUMN(HP8)-1)), 1, MIN(12*4, COLUMN(HP8)))), 'Tabela Simples'!$B$2:$C$7, 2, TRUE)</f>
        <v>0.112</v>
      </c>
      <c r="HR23" s="19"/>
      <c r="HS23" s="110" t="s">
        <v>206</v>
      </c>
      <c r="HT23" s="111">
        <f t="shared" ref="HT23" ca="1" si="894">-HU$23*HT$4</f>
        <v>-11827.2</v>
      </c>
      <c r="HU23" s="112">
        <f ca="1">VLOOKUP(SUM(OFFSET(HT8, 0, -(MIN(12*4-1, COLUMN(HT8)-1)), 1, MIN(12*4, COLUMN(HT8)))), 'Tabela Simples'!$B$2:$C$7, 2, TRUE)</f>
        <v>0.112</v>
      </c>
      <c r="HV23" s="19"/>
      <c r="HW23" s="110" t="s">
        <v>206</v>
      </c>
      <c r="HX23" s="111">
        <f t="shared" ref="HX23" ca="1" si="895">-HY$23*HX$4</f>
        <v>-11827.2</v>
      </c>
      <c r="HY23" s="112">
        <f ca="1">VLOOKUP(SUM(OFFSET(HX8, 0, -(MIN(12*4-1, COLUMN(HX8)-1)), 1, MIN(12*4, COLUMN(HX8)))), 'Tabela Simples'!$B$2:$C$7, 2, TRUE)</f>
        <v>0.112</v>
      </c>
      <c r="HZ23" s="19"/>
      <c r="IA23" s="110" t="s">
        <v>206</v>
      </c>
      <c r="IB23" s="111">
        <f t="shared" ref="IB23" ca="1" si="896">-IC$23*IB$4</f>
        <v>-11827.2</v>
      </c>
      <c r="IC23" s="112">
        <f ca="1">VLOOKUP(SUM(OFFSET(IB8, 0, -(MIN(12*4-1, COLUMN(IB8)-1)), 1, MIN(12*4, COLUMN(IB8)))), 'Tabela Simples'!$B$2:$C$7, 2, TRUE)</f>
        <v>0.112</v>
      </c>
      <c r="ID23" s="19"/>
      <c r="IE23" s="110" t="s">
        <v>206</v>
      </c>
      <c r="IF23" s="111">
        <f t="shared" ref="IF23" ca="1" si="897">-IG$23*IF$4</f>
        <v>-11827.2</v>
      </c>
      <c r="IG23" s="112">
        <f ca="1">VLOOKUP(SUM(OFFSET(IF8, 0, -(MIN(12*4-1, COLUMN(IF8)-1)), 1, MIN(12*4, COLUMN(IF8)))), 'Tabela Simples'!$B$2:$C$7, 2, TRUE)</f>
        <v>0.112</v>
      </c>
      <c r="IH23" s="19"/>
      <c r="II23" s="110" t="s">
        <v>206</v>
      </c>
      <c r="IJ23" s="111">
        <f t="shared" ref="IJ23" ca="1" si="898">-IK$23*IJ$4</f>
        <v>-12902.4</v>
      </c>
      <c r="IK23" s="112">
        <f ca="1">VLOOKUP(SUM(OFFSET(IJ8, 0, -(MIN(12*4-1, COLUMN(IJ8)-1)), 1, MIN(12*4, COLUMN(IJ8)))), 'Tabela Simples'!$B$2:$C$7, 2, TRUE)</f>
        <v>0.112</v>
      </c>
      <c r="IL23" s="19"/>
      <c r="IM23" s="110" t="s">
        <v>206</v>
      </c>
      <c r="IN23" s="111">
        <f t="shared" ref="IN23" ca="1" si="899">-IO$23*IN$4</f>
        <v>-12902.4</v>
      </c>
      <c r="IO23" s="112">
        <f ca="1">VLOOKUP(SUM(OFFSET(IN8, 0, -(MIN(12*4-1, COLUMN(IN8)-1)), 1, MIN(12*4, COLUMN(IN8)))), 'Tabela Simples'!$B$2:$C$7, 2, TRUE)</f>
        <v>0.112</v>
      </c>
      <c r="IP23" s="19"/>
      <c r="IQ23" s="110" t="s">
        <v>206</v>
      </c>
      <c r="IR23" s="111">
        <f t="shared" ref="IR23" ca="1" si="900">-IS$23*IR$4</f>
        <v>-12902.4</v>
      </c>
      <c r="IS23" s="112">
        <f ca="1">VLOOKUP(SUM(OFFSET(IR8, 0, -(MIN(12*4-1, COLUMN(IR8)-1)), 1, MIN(12*4, COLUMN(IR8)))), 'Tabela Simples'!$B$2:$C$7, 2, TRUE)</f>
        <v>0.112</v>
      </c>
      <c r="IT23" s="19"/>
      <c r="IU23" s="110" t="s">
        <v>206</v>
      </c>
      <c r="IV23" s="111">
        <f t="shared" ref="IV23" ca="1" si="901">-IW$23*IV$4</f>
        <v>-12902.4</v>
      </c>
      <c r="IW23" s="112">
        <f ca="1">VLOOKUP(SUM(OFFSET(IV8, 0, -(MIN(12*4-1, COLUMN(IV8)-1)), 1, MIN(12*4, COLUMN(IV8)))), 'Tabela Simples'!$B$2:$C$7, 2, TRUE)</f>
        <v>0.112</v>
      </c>
      <c r="IX23" s="19"/>
      <c r="IY23" s="110" t="s">
        <v>206</v>
      </c>
      <c r="IZ23" s="111">
        <f t="shared" ref="IZ23" ca="1" si="902">-JA$23*IZ$4</f>
        <v>-12902.4</v>
      </c>
      <c r="JA23" s="112">
        <f ca="1">VLOOKUP(SUM(OFFSET(IZ8, 0, -(MIN(12*4-1, COLUMN(IZ8)-1)), 1, MIN(12*4, COLUMN(IZ8)))), 'Tabela Simples'!$B$2:$C$7, 2, TRUE)</f>
        <v>0.112</v>
      </c>
      <c r="JB23" s="19"/>
      <c r="JC23" s="110" t="s">
        <v>206</v>
      </c>
      <c r="JD23" s="111">
        <f t="shared" ref="JD23" ca="1" si="903">-JE$23*JD$4</f>
        <v>-12902.4</v>
      </c>
      <c r="JE23" s="112">
        <f ca="1">VLOOKUP(SUM(OFFSET(JD8, 0, -(MIN(12*4-1, COLUMN(JD8)-1)), 1, MIN(12*4, COLUMN(JD8)))), 'Tabela Simples'!$B$2:$C$7, 2, TRUE)</f>
        <v>0.112</v>
      </c>
      <c r="JF23" s="19"/>
      <c r="JG23" s="110" t="s">
        <v>206</v>
      </c>
      <c r="JH23" s="111">
        <f t="shared" ref="JH23" ca="1" si="904">-JI$23*JH$4</f>
        <v>-12902.4</v>
      </c>
      <c r="JI23" s="112">
        <f ca="1">VLOOKUP(SUM(OFFSET(JH8, 0, -(MIN(12*4-1, COLUMN(JH8)-1)), 1, MIN(12*4, COLUMN(JH8)))), 'Tabela Simples'!$B$2:$C$7, 2, TRUE)</f>
        <v>0.112</v>
      </c>
      <c r="JJ23" s="19"/>
      <c r="JK23" s="110" t="s">
        <v>206</v>
      </c>
      <c r="JL23" s="111">
        <f t="shared" ref="JL23" ca="1" si="905">-JM$23*JL$4</f>
        <v>-13977.6</v>
      </c>
      <c r="JM23" s="112">
        <f ca="1">VLOOKUP(SUM(OFFSET(JL8, 0, -(MIN(12*4-1, COLUMN(JL8)-1)), 1, MIN(12*4, COLUMN(JL8)))), 'Tabela Simples'!$B$2:$C$7, 2, TRUE)</f>
        <v>0.112</v>
      </c>
      <c r="JN23" s="19"/>
      <c r="JO23" s="110" t="s">
        <v>206</v>
      </c>
      <c r="JP23" s="111">
        <f t="shared" ref="JP23" ca="1" si="906">-JQ$23*JP$4</f>
        <v>-13977.6</v>
      </c>
      <c r="JQ23" s="112">
        <f ca="1">VLOOKUP(SUM(OFFSET(JP8, 0, -(MIN(12*4-1, COLUMN(JP8)-1)), 1, MIN(12*4, COLUMN(JP8)))), 'Tabela Simples'!$B$2:$C$7, 2, TRUE)</f>
        <v>0.112</v>
      </c>
      <c r="JR23" s="19"/>
      <c r="JS23" s="110" t="s">
        <v>206</v>
      </c>
      <c r="JT23" s="111">
        <f t="shared" ref="JT23" ca="1" si="907">-JU$23*JT$4</f>
        <v>-13977.6</v>
      </c>
      <c r="JU23" s="112">
        <f ca="1">VLOOKUP(SUM(OFFSET(JT8, 0, -(MIN(12*4-1, COLUMN(JT8)-1)), 1, MIN(12*4, COLUMN(JT8)))), 'Tabela Simples'!$B$2:$C$7, 2, TRUE)</f>
        <v>0.112</v>
      </c>
      <c r="JV23" s="19"/>
      <c r="JW23" s="110" t="s">
        <v>206</v>
      </c>
      <c r="JX23" s="111">
        <f t="shared" ref="JX23" ca="1" si="908">-JY$23*JX$4</f>
        <v>-13977.6</v>
      </c>
      <c r="JY23" s="112">
        <f ca="1">VLOOKUP(SUM(OFFSET(JX8, 0, -(MIN(12*4-1, COLUMN(JX8)-1)), 1, MIN(12*4, COLUMN(JX8)))), 'Tabela Simples'!$B$2:$C$7, 2, TRUE)</f>
        <v>0.112</v>
      </c>
      <c r="JZ23" s="19"/>
      <c r="KA23" s="110" t="s">
        <v>206</v>
      </c>
      <c r="KB23" s="111">
        <f t="shared" ref="KB23" ca="1" si="909">-KC$23*KB$4</f>
        <v>-13977.6</v>
      </c>
      <c r="KC23" s="112">
        <f ca="1">VLOOKUP(SUM(OFFSET(KB8, 0, -(MIN(12*4-1, COLUMN(KB8)-1)), 1, MIN(12*4, COLUMN(KB8)))), 'Tabela Simples'!$B$2:$C$7, 2, TRUE)</f>
        <v>0.112</v>
      </c>
      <c r="KD23" s="19"/>
    </row>
    <row r="24" spans="1:290" x14ac:dyDescent="0.25">
      <c r="A24" s="101"/>
      <c r="C24" s="110" t="s">
        <v>210</v>
      </c>
      <c r="D24" s="111">
        <f>-E$24*(D$5*60)/0.25</f>
        <v>-2880</v>
      </c>
      <c r="E24" s="113">
        <v>4</v>
      </c>
      <c r="G24" s="110" t="s">
        <v>210</v>
      </c>
      <c r="H24" s="111">
        <f>-I$24*(H$5*60)/0.25</f>
        <v>-2880</v>
      </c>
      <c r="I24" s="113">
        <v>4</v>
      </c>
      <c r="K24" s="110" t="s">
        <v>210</v>
      </c>
      <c r="L24" s="111">
        <f t="shared" ref="L24" si="910">-M$24*(L$5*60)/0.25</f>
        <v>-2880</v>
      </c>
      <c r="M24" s="113">
        <v>4</v>
      </c>
      <c r="N24" s="44"/>
      <c r="O24" s="110" t="s">
        <v>210</v>
      </c>
      <c r="P24" s="111">
        <f t="shared" ref="P24" si="911">-Q$24*(P$5*60)/0.25</f>
        <v>-2880</v>
      </c>
      <c r="Q24" s="113">
        <v>4</v>
      </c>
      <c r="R24" s="44"/>
      <c r="S24" s="110" t="s">
        <v>210</v>
      </c>
      <c r="T24" s="111">
        <f t="shared" ref="T24" si="912">-U$24*(T$5*60)/0.25</f>
        <v>-2880</v>
      </c>
      <c r="U24" s="113">
        <v>4</v>
      </c>
      <c r="V24" s="44"/>
      <c r="W24" s="110" t="s">
        <v>210</v>
      </c>
      <c r="X24" s="111">
        <f t="shared" ref="X24" si="913">-Y$24*(X$5*60)/0.25</f>
        <v>-2880</v>
      </c>
      <c r="Y24" s="113">
        <v>4</v>
      </c>
      <c r="Z24" s="44"/>
      <c r="AA24" s="110" t="s">
        <v>210</v>
      </c>
      <c r="AB24" s="111">
        <f t="shared" ref="AB24" si="914">-AC$24*(AB$5*60)/0.25</f>
        <v>-2880</v>
      </c>
      <c r="AC24" s="113">
        <v>4</v>
      </c>
      <c r="AD24" s="44"/>
      <c r="AE24" s="110" t="s">
        <v>210</v>
      </c>
      <c r="AF24" s="111">
        <f t="shared" ref="AF24" si="915">-AG$24*(AF$5*60)/0.25</f>
        <v>-3840</v>
      </c>
      <c r="AG24" s="113">
        <v>4</v>
      </c>
      <c r="AH24" s="44"/>
      <c r="AI24" s="110" t="s">
        <v>210</v>
      </c>
      <c r="AJ24" s="111">
        <f t="shared" ref="AJ24" si="916">-AK$24*(AJ$5*60)/0.25</f>
        <v>-3840</v>
      </c>
      <c r="AK24" s="113">
        <v>4</v>
      </c>
      <c r="AL24" s="44"/>
      <c r="AM24" s="110" t="s">
        <v>210</v>
      </c>
      <c r="AN24" s="111">
        <f t="shared" ref="AN24" si="917">-AO$24*(AN$5*60)/0.25</f>
        <v>-3840</v>
      </c>
      <c r="AO24" s="113">
        <v>4</v>
      </c>
      <c r="AP24" s="44"/>
      <c r="AQ24" s="110" t="s">
        <v>210</v>
      </c>
      <c r="AR24" s="111">
        <f t="shared" ref="AR24" si="918">-AS$24*(AR$5*60)/0.25</f>
        <v>-3840</v>
      </c>
      <c r="AS24" s="113">
        <v>4</v>
      </c>
      <c r="AT24" s="44"/>
      <c r="AU24" s="110" t="s">
        <v>210</v>
      </c>
      <c r="AV24" s="111">
        <f t="shared" ref="AV24" si="919">-AW$24*(AV$5*60)/0.25</f>
        <v>-3840</v>
      </c>
      <c r="AW24" s="113">
        <v>4</v>
      </c>
      <c r="AX24" s="44"/>
      <c r="AY24" s="110" t="s">
        <v>210</v>
      </c>
      <c r="AZ24" s="111">
        <f t="shared" ref="AZ24" si="920">-BA$24*(AZ$5*60)/0.25</f>
        <v>-3840</v>
      </c>
      <c r="BA24" s="113">
        <v>4</v>
      </c>
      <c r="BB24" s="44"/>
      <c r="BC24" s="110" t="s">
        <v>210</v>
      </c>
      <c r="BD24" s="111">
        <f t="shared" ref="BD24" si="921">-BE$24*(BD$5*60)/0.25</f>
        <v>-3840</v>
      </c>
      <c r="BE24" s="113">
        <v>4</v>
      </c>
      <c r="BF24" s="44"/>
      <c r="BG24" s="110" t="s">
        <v>210</v>
      </c>
      <c r="BH24" s="111">
        <f t="shared" ref="BH24" si="922">-BI$24*(BH$5*60)/0.25</f>
        <v>-4800</v>
      </c>
      <c r="BI24" s="113">
        <v>4</v>
      </c>
      <c r="BJ24" s="44"/>
      <c r="BK24" s="110" t="s">
        <v>210</v>
      </c>
      <c r="BL24" s="111">
        <f t="shared" ref="BL24" si="923">-BM$24*(BL$5*60)/0.25</f>
        <v>-4800</v>
      </c>
      <c r="BM24" s="113">
        <v>4</v>
      </c>
      <c r="BN24" s="44"/>
      <c r="BO24" s="110" t="s">
        <v>210</v>
      </c>
      <c r="BP24" s="111">
        <f t="shared" ref="BP24" si="924">-BQ$24*(BP$5*60)/0.25</f>
        <v>-4800</v>
      </c>
      <c r="BQ24" s="113">
        <v>4</v>
      </c>
      <c r="BR24" s="44"/>
      <c r="BS24" s="110" t="s">
        <v>210</v>
      </c>
      <c r="BT24" s="111">
        <f t="shared" ref="BT24" si="925">-BU$24*(BT$5*60)/0.25</f>
        <v>-4800</v>
      </c>
      <c r="BU24" s="113">
        <v>4</v>
      </c>
      <c r="BV24" s="44"/>
      <c r="BW24" s="110" t="s">
        <v>210</v>
      </c>
      <c r="BX24" s="111">
        <f t="shared" ref="BX24" si="926">-BY$24*(BX$5*60)/0.25</f>
        <v>-4800</v>
      </c>
      <c r="BY24" s="113">
        <v>4</v>
      </c>
      <c r="BZ24" s="44"/>
      <c r="CA24" s="110" t="s">
        <v>210</v>
      </c>
      <c r="CB24" s="111">
        <f t="shared" ref="CB24" si="927">-CC$24*(CB$5*60)/0.25</f>
        <v>-4800</v>
      </c>
      <c r="CC24" s="113">
        <v>4</v>
      </c>
      <c r="CD24" s="44"/>
      <c r="CE24" s="110" t="s">
        <v>210</v>
      </c>
      <c r="CF24" s="111">
        <f t="shared" ref="CF24" si="928">-CG$24*(CF$5*60)/0.25</f>
        <v>-5760</v>
      </c>
      <c r="CG24" s="113">
        <v>4</v>
      </c>
      <c r="CH24" s="44"/>
      <c r="CI24" s="110" t="s">
        <v>210</v>
      </c>
      <c r="CJ24" s="111">
        <f t="shared" ref="CJ24" si="929">-CK$24*(CJ$5*60)/0.25</f>
        <v>-5760</v>
      </c>
      <c r="CK24" s="113">
        <v>4</v>
      </c>
      <c r="CL24" s="44"/>
      <c r="CM24" s="110" t="s">
        <v>210</v>
      </c>
      <c r="CN24" s="111">
        <f t="shared" ref="CN24" si="930">-CO$24*(CN$5*60)/0.25</f>
        <v>-5760</v>
      </c>
      <c r="CO24" s="113">
        <v>4</v>
      </c>
      <c r="CP24" s="44"/>
      <c r="CQ24" s="110" t="s">
        <v>210</v>
      </c>
      <c r="CR24" s="111">
        <f t="shared" ref="CR24" si="931">-CS$24*(CR$5*60)/0.25</f>
        <v>-5760</v>
      </c>
      <c r="CS24" s="113">
        <v>4</v>
      </c>
      <c r="CT24" s="44"/>
      <c r="CU24" s="110" t="s">
        <v>210</v>
      </c>
      <c r="CV24" s="111">
        <f t="shared" ref="CV24" si="932">-CW$24*(CV$5*60)/0.25</f>
        <v>-5760</v>
      </c>
      <c r="CW24" s="113">
        <v>4</v>
      </c>
      <c r="CX24" s="44"/>
      <c r="CY24" s="110" t="s">
        <v>210</v>
      </c>
      <c r="CZ24" s="111">
        <f t="shared" ref="CZ24" si="933">-DA$24*(CZ$5*60)/0.25</f>
        <v>-5760</v>
      </c>
      <c r="DA24" s="113">
        <v>4</v>
      </c>
      <c r="DB24" s="44"/>
      <c r="DC24" s="110" t="s">
        <v>210</v>
      </c>
      <c r="DD24" s="111">
        <f t="shared" ref="DD24" si="934">-DE$24*(DD$5*60)/0.25</f>
        <v>-5760</v>
      </c>
      <c r="DE24" s="113">
        <v>4</v>
      </c>
      <c r="DF24" s="44"/>
      <c r="DG24" s="110" t="s">
        <v>210</v>
      </c>
      <c r="DH24" s="111">
        <f t="shared" ref="DH24" si="935">-DI$24*(DH$5*60)/0.25</f>
        <v>-6720</v>
      </c>
      <c r="DI24" s="113">
        <v>4</v>
      </c>
      <c r="DJ24" s="44"/>
      <c r="DK24" s="110" t="s">
        <v>210</v>
      </c>
      <c r="DL24" s="111">
        <f t="shared" ref="DL24" si="936">-DM$24*(DL$5*60)/0.25</f>
        <v>-6720</v>
      </c>
      <c r="DM24" s="113">
        <v>4</v>
      </c>
      <c r="DN24" s="44"/>
      <c r="DO24" s="110" t="s">
        <v>210</v>
      </c>
      <c r="DP24" s="111">
        <f t="shared" ref="DP24" si="937">-DQ$24*(DP$5*60)/0.25</f>
        <v>-6720</v>
      </c>
      <c r="DQ24" s="113">
        <v>4</v>
      </c>
      <c r="DR24" s="44"/>
      <c r="DS24" s="110" t="s">
        <v>210</v>
      </c>
      <c r="DT24" s="111">
        <f t="shared" ref="DT24" si="938">-DU$24*(DT$5*60)/0.25</f>
        <v>-6720</v>
      </c>
      <c r="DU24" s="113">
        <v>4</v>
      </c>
      <c r="DV24" s="44"/>
      <c r="DW24" s="110" t="s">
        <v>210</v>
      </c>
      <c r="DX24" s="111">
        <f t="shared" ref="DX24" si="939">-DY$24*(DX$5*60)/0.25</f>
        <v>-6720</v>
      </c>
      <c r="DY24" s="113">
        <v>4</v>
      </c>
      <c r="DZ24" s="44"/>
      <c r="EA24" s="110" t="s">
        <v>210</v>
      </c>
      <c r="EB24" s="111">
        <f t="shared" ref="EB24" si="940">-EC$24*(EB$5*60)/0.25</f>
        <v>-6720</v>
      </c>
      <c r="EC24" s="113">
        <v>4</v>
      </c>
      <c r="ED24" s="44"/>
      <c r="EE24" s="110" t="s">
        <v>210</v>
      </c>
      <c r="EF24" s="111">
        <f t="shared" ref="EF24" si="941">-EG$24*(EF$5*60)/0.25</f>
        <v>-6720</v>
      </c>
      <c r="EG24" s="113">
        <v>4</v>
      </c>
      <c r="EH24" s="44"/>
      <c r="EI24" s="110" t="s">
        <v>210</v>
      </c>
      <c r="EJ24" s="111">
        <f t="shared" ref="EJ24" si="942">-EK$24*(EJ$5*60)/0.25</f>
        <v>-7680</v>
      </c>
      <c r="EK24" s="113">
        <v>4</v>
      </c>
      <c r="EL24" s="44"/>
      <c r="EM24" s="110" t="s">
        <v>210</v>
      </c>
      <c r="EN24" s="111">
        <f t="shared" ref="EN24" si="943">-EO$24*(EN$5*60)/0.25</f>
        <v>-7680</v>
      </c>
      <c r="EO24" s="113">
        <v>4</v>
      </c>
      <c r="EP24" s="44"/>
      <c r="EQ24" s="110" t="s">
        <v>210</v>
      </c>
      <c r="ER24" s="111">
        <f t="shared" ref="ER24" si="944">-ES$24*(ER$5*60)/0.25</f>
        <v>-7680</v>
      </c>
      <c r="ES24" s="113">
        <v>4</v>
      </c>
      <c r="ET24" s="44"/>
      <c r="EU24" s="110" t="s">
        <v>210</v>
      </c>
      <c r="EV24" s="111">
        <f t="shared" ref="EV24" si="945">-EW$24*(EV$5*60)/0.25</f>
        <v>-7680</v>
      </c>
      <c r="EW24" s="113">
        <v>4</v>
      </c>
      <c r="EX24" s="44"/>
      <c r="EY24" s="110" t="s">
        <v>210</v>
      </c>
      <c r="EZ24" s="111">
        <f t="shared" ref="EZ24" si="946">-FA$24*(EZ$5*60)/0.25</f>
        <v>-7680</v>
      </c>
      <c r="FA24" s="113">
        <v>4</v>
      </c>
      <c r="FB24" s="44"/>
      <c r="FC24" s="110" t="s">
        <v>210</v>
      </c>
      <c r="FD24" s="111">
        <f t="shared" ref="FD24" si="947">-FE$24*(FD$5*60)/0.25</f>
        <v>-7680</v>
      </c>
      <c r="FE24" s="113">
        <v>4</v>
      </c>
      <c r="FF24" s="44"/>
      <c r="FG24" s="110" t="s">
        <v>210</v>
      </c>
      <c r="FH24" s="111">
        <f t="shared" ref="FH24" si="948">-FI$24*(FH$5*60)/0.25</f>
        <v>-8640</v>
      </c>
      <c r="FI24" s="113">
        <v>4</v>
      </c>
      <c r="FJ24" s="44"/>
      <c r="FK24" s="110" t="s">
        <v>210</v>
      </c>
      <c r="FL24" s="111">
        <f t="shared" ref="FL24" si="949">-FM$24*(FL$5*60)/0.25</f>
        <v>-8640</v>
      </c>
      <c r="FM24" s="113">
        <v>4</v>
      </c>
      <c r="FN24" s="44"/>
      <c r="FO24" s="110" t="s">
        <v>210</v>
      </c>
      <c r="FP24" s="111">
        <f t="shared" ref="FP24" si="950">-FQ$24*(FP$5*60)/0.25</f>
        <v>-8640</v>
      </c>
      <c r="FQ24" s="113">
        <v>4</v>
      </c>
      <c r="FR24" s="44"/>
      <c r="FS24" s="110" t="s">
        <v>210</v>
      </c>
      <c r="FT24" s="111">
        <f t="shared" ref="FT24" si="951">-FU$24*(FT$5*60)/0.25</f>
        <v>-8640</v>
      </c>
      <c r="FU24" s="113">
        <v>4</v>
      </c>
      <c r="FV24" s="44"/>
      <c r="FW24" s="110" t="s">
        <v>210</v>
      </c>
      <c r="FX24" s="111">
        <f t="shared" ref="FX24" si="952">-FY$24*(FX$5*60)/0.25</f>
        <v>-8640</v>
      </c>
      <c r="FY24" s="113">
        <v>4</v>
      </c>
      <c r="FZ24" s="44"/>
      <c r="GA24" s="110" t="s">
        <v>210</v>
      </c>
      <c r="GB24" s="111">
        <f t="shared" ref="GB24" si="953">-GC$24*(GB$5*60)/0.25</f>
        <v>-8640</v>
      </c>
      <c r="GC24" s="113">
        <v>4</v>
      </c>
      <c r="GD24" s="44"/>
      <c r="GE24" s="110" t="s">
        <v>210</v>
      </c>
      <c r="GF24" s="111">
        <f t="shared" ref="GF24" si="954">-GG$24*(GF$5*60)/0.25</f>
        <v>-8640</v>
      </c>
      <c r="GG24" s="113">
        <v>4</v>
      </c>
      <c r="GH24" s="44"/>
      <c r="GI24" s="110" t="s">
        <v>210</v>
      </c>
      <c r="GJ24" s="111">
        <f t="shared" ref="GJ24" si="955">-GK$24*(GJ$5*60)/0.25</f>
        <v>-9600</v>
      </c>
      <c r="GK24" s="113">
        <v>4</v>
      </c>
      <c r="GL24" s="44"/>
      <c r="GM24" s="110" t="s">
        <v>210</v>
      </c>
      <c r="GN24" s="111">
        <f t="shared" ref="GN24" si="956">-GO$24*(GN$5*60)/0.25</f>
        <v>-9600</v>
      </c>
      <c r="GO24" s="113">
        <v>4</v>
      </c>
      <c r="GP24" s="44"/>
      <c r="GQ24" s="110" t="s">
        <v>210</v>
      </c>
      <c r="GR24" s="111">
        <f t="shared" ref="GR24" si="957">-GS$24*(GR$5*60)/0.25</f>
        <v>-9600</v>
      </c>
      <c r="GS24" s="113">
        <v>4</v>
      </c>
      <c r="GT24" s="44"/>
      <c r="GU24" s="110" t="s">
        <v>210</v>
      </c>
      <c r="GV24" s="111">
        <f t="shared" ref="GV24" si="958">-GW$24*(GV$5*60)/0.25</f>
        <v>-9600</v>
      </c>
      <c r="GW24" s="113">
        <v>4</v>
      </c>
      <c r="GX24" s="44"/>
      <c r="GY24" s="110" t="s">
        <v>210</v>
      </c>
      <c r="GZ24" s="111">
        <f t="shared" ref="GZ24" si="959">-HA$24*(GZ$5*60)/0.25</f>
        <v>-9600</v>
      </c>
      <c r="HA24" s="113">
        <v>4</v>
      </c>
      <c r="HB24" s="44"/>
      <c r="HC24" s="110" t="s">
        <v>210</v>
      </c>
      <c r="HD24" s="111">
        <f t="shared" ref="HD24" si="960">-HE$24*(HD$5*60)/0.25</f>
        <v>-9600</v>
      </c>
      <c r="HE24" s="113">
        <v>4</v>
      </c>
      <c r="HF24" s="44"/>
      <c r="HG24" s="110" t="s">
        <v>210</v>
      </c>
      <c r="HH24" s="111">
        <f t="shared" ref="HH24" si="961">-HI$24*(HH$5*60)/0.25</f>
        <v>-9600</v>
      </c>
      <c r="HI24" s="113">
        <v>4</v>
      </c>
      <c r="HJ24" s="44"/>
      <c r="HK24" s="110" t="s">
        <v>210</v>
      </c>
      <c r="HL24" s="111">
        <f t="shared" ref="HL24" si="962">-HM$24*(HL$5*60)/0.25</f>
        <v>-10560</v>
      </c>
      <c r="HM24" s="113">
        <v>4</v>
      </c>
      <c r="HN24" s="44"/>
      <c r="HO24" s="110" t="s">
        <v>210</v>
      </c>
      <c r="HP24" s="111">
        <f t="shared" ref="HP24" si="963">-HQ$24*(HP$5*60)/0.25</f>
        <v>-10560</v>
      </c>
      <c r="HQ24" s="113">
        <v>4</v>
      </c>
      <c r="HR24" s="44"/>
      <c r="HS24" s="110" t="s">
        <v>210</v>
      </c>
      <c r="HT24" s="111">
        <f t="shared" ref="HT24" si="964">-HU$24*(HT$5*60)/0.25</f>
        <v>-10560</v>
      </c>
      <c r="HU24" s="113">
        <v>4</v>
      </c>
      <c r="HV24" s="44"/>
      <c r="HW24" s="110" t="s">
        <v>210</v>
      </c>
      <c r="HX24" s="111">
        <f t="shared" ref="HX24" si="965">-HY$24*(HX$5*60)/0.25</f>
        <v>-10560</v>
      </c>
      <c r="HY24" s="113">
        <v>4</v>
      </c>
      <c r="HZ24" s="44"/>
      <c r="IA24" s="110" t="s">
        <v>210</v>
      </c>
      <c r="IB24" s="111">
        <f t="shared" ref="IB24" si="966">-IC$24*(IB$5*60)/0.25</f>
        <v>-10560</v>
      </c>
      <c r="IC24" s="113">
        <v>4</v>
      </c>
      <c r="ID24" s="44"/>
      <c r="IE24" s="110" t="s">
        <v>210</v>
      </c>
      <c r="IF24" s="111">
        <f t="shared" ref="IF24" si="967">-IG$24*(IF$5*60)/0.25</f>
        <v>-10560</v>
      </c>
      <c r="IG24" s="113">
        <v>4</v>
      </c>
      <c r="IH24" s="44"/>
      <c r="II24" s="110" t="s">
        <v>210</v>
      </c>
      <c r="IJ24" s="111">
        <f t="shared" ref="IJ24" si="968">-IK$24*(IJ$5*60)/0.25</f>
        <v>-11520</v>
      </c>
      <c r="IK24" s="113">
        <v>4</v>
      </c>
      <c r="IL24" s="44"/>
      <c r="IM24" s="110" t="s">
        <v>210</v>
      </c>
      <c r="IN24" s="111">
        <f t="shared" ref="IN24" si="969">-IO$24*(IN$5*60)/0.25</f>
        <v>-11520</v>
      </c>
      <c r="IO24" s="113">
        <v>4</v>
      </c>
      <c r="IP24" s="44"/>
      <c r="IQ24" s="110" t="s">
        <v>210</v>
      </c>
      <c r="IR24" s="111">
        <f t="shared" ref="IR24" si="970">-IS$24*(IR$5*60)/0.25</f>
        <v>-11520</v>
      </c>
      <c r="IS24" s="113">
        <v>4</v>
      </c>
      <c r="IT24" s="44"/>
      <c r="IU24" s="110" t="s">
        <v>210</v>
      </c>
      <c r="IV24" s="111">
        <f t="shared" ref="IV24" si="971">-IW$24*(IV$5*60)/0.25</f>
        <v>-11520</v>
      </c>
      <c r="IW24" s="113">
        <v>4</v>
      </c>
      <c r="IX24" s="44"/>
      <c r="IY24" s="110" t="s">
        <v>210</v>
      </c>
      <c r="IZ24" s="111">
        <f t="shared" ref="IZ24" si="972">-JA$24*(IZ$5*60)/0.25</f>
        <v>-11520</v>
      </c>
      <c r="JA24" s="113">
        <v>4</v>
      </c>
      <c r="JB24" s="44"/>
      <c r="JC24" s="110" t="s">
        <v>210</v>
      </c>
      <c r="JD24" s="111">
        <f t="shared" ref="JD24" si="973">-JE$24*(JD$5*60)/0.25</f>
        <v>-11520</v>
      </c>
      <c r="JE24" s="113">
        <v>4</v>
      </c>
      <c r="JF24" s="44"/>
      <c r="JG24" s="110" t="s">
        <v>210</v>
      </c>
      <c r="JH24" s="111">
        <f t="shared" ref="JH24" si="974">-JI$24*(JH$5*60)/0.25</f>
        <v>-11520</v>
      </c>
      <c r="JI24" s="113">
        <v>4</v>
      </c>
      <c r="JJ24" s="44"/>
      <c r="JK24" s="110" t="s">
        <v>210</v>
      </c>
      <c r="JL24" s="111">
        <f t="shared" ref="JL24" si="975">-JM$24*(JL$5*60)/0.25</f>
        <v>-12480</v>
      </c>
      <c r="JM24" s="113">
        <v>4</v>
      </c>
      <c r="JN24" s="44"/>
      <c r="JO24" s="110" t="s">
        <v>210</v>
      </c>
      <c r="JP24" s="111">
        <f t="shared" ref="JP24" si="976">-JQ$24*(JP$5*60)/0.25</f>
        <v>-12480</v>
      </c>
      <c r="JQ24" s="113">
        <v>4</v>
      </c>
      <c r="JR24" s="44"/>
      <c r="JS24" s="110" t="s">
        <v>210</v>
      </c>
      <c r="JT24" s="111">
        <f t="shared" ref="JT24" si="977">-JU$24*(JT$5*60)/0.25</f>
        <v>-12480</v>
      </c>
      <c r="JU24" s="113">
        <v>4</v>
      </c>
      <c r="JV24" s="44"/>
      <c r="JW24" s="110" t="s">
        <v>210</v>
      </c>
      <c r="JX24" s="111">
        <f t="shared" ref="JX24" si="978">-JY$24*(JX$5*60)/0.25</f>
        <v>-12480</v>
      </c>
      <c r="JY24" s="113">
        <v>4</v>
      </c>
      <c r="JZ24" s="44"/>
      <c r="KA24" s="110" t="s">
        <v>210</v>
      </c>
      <c r="KB24" s="111">
        <f t="shared" ref="KB24" si="979">-KC$24*(KB$5*60)/0.25</f>
        <v>-12480</v>
      </c>
      <c r="KC24" s="113">
        <v>4</v>
      </c>
      <c r="KD24" s="44"/>
    </row>
    <row r="25" spans="1:290" x14ac:dyDescent="0.25">
      <c r="A25" s="101"/>
      <c r="C25" s="110" t="s">
        <v>212</v>
      </c>
      <c r="D25" s="111">
        <f>-E$25*D$5*D$2</f>
        <v>-451.43341993515708</v>
      </c>
      <c r="E25" s="114">
        <v>0.05</v>
      </c>
      <c r="F25" s="19"/>
      <c r="G25" s="110" t="s">
        <v>212</v>
      </c>
      <c r="H25" s="111">
        <f>-I$25*H$5*H$2</f>
        <v>-451.30075777162313</v>
      </c>
      <c r="I25" s="114">
        <v>0.05</v>
      </c>
      <c r="J25" s="19"/>
      <c r="K25" s="110" t="s">
        <v>212</v>
      </c>
      <c r="L25" s="111">
        <f t="shared" ref="L25" si="980">-M$25*L$5*L$2</f>
        <v>-465.04451846898286</v>
      </c>
      <c r="M25" s="114">
        <v>0.05</v>
      </c>
      <c r="N25" s="19"/>
      <c r="O25" s="110" t="s">
        <v>212</v>
      </c>
      <c r="P25" s="111">
        <f t="shared" ref="P25" si="981">-Q$25*P$5*P$2</f>
        <v>-485.84364173773645</v>
      </c>
      <c r="Q25" s="114">
        <v>0.05</v>
      </c>
      <c r="R25" s="19"/>
      <c r="S25" s="110" t="s">
        <v>212</v>
      </c>
      <c r="T25" s="111">
        <f t="shared" ref="T25" si="982">-U$25*T$5*T$2</f>
        <v>-486.23091460358739</v>
      </c>
      <c r="U25" s="114">
        <v>0.05</v>
      </c>
      <c r="V25" s="19"/>
      <c r="W25" s="110" t="s">
        <v>212</v>
      </c>
      <c r="X25" s="111">
        <f t="shared" ref="X25" si="983">-Y$25*X$5*X$2</f>
        <v>-487.68496868107655</v>
      </c>
      <c r="Y25" s="114">
        <v>0.05</v>
      </c>
      <c r="Z25" s="19"/>
      <c r="AA25" s="110" t="s">
        <v>212</v>
      </c>
      <c r="AB25" s="111">
        <f t="shared" ref="AB25" si="984">-AC$25*AB$5*AB$2</f>
        <v>-488.58135161662614</v>
      </c>
      <c r="AC25" s="114">
        <v>0.05</v>
      </c>
      <c r="AD25" s="19"/>
      <c r="AE25" s="110" t="s">
        <v>212</v>
      </c>
      <c r="AF25" s="111">
        <f t="shared" ref="AF25" si="985">-AG$25*AF$5*AF$2</f>
        <v>-649.66463415886983</v>
      </c>
      <c r="AG25" s="114">
        <v>0.05</v>
      </c>
      <c r="AH25" s="19"/>
      <c r="AI25" s="110" t="s">
        <v>212</v>
      </c>
      <c r="AJ25" s="111">
        <f t="shared" ref="AJ25" si="986">-AK$25*AJ$5*AJ$2</f>
        <v>-647.94959028653784</v>
      </c>
      <c r="AK25" s="114">
        <v>0.05</v>
      </c>
      <c r="AL25" s="19"/>
      <c r="AM25" s="110" t="s">
        <v>212</v>
      </c>
      <c r="AN25" s="111">
        <f t="shared" ref="AN25" si="987">-AO$25*AN$5*AN$2</f>
        <v>-645.3372978129247</v>
      </c>
      <c r="AO25" s="114">
        <v>0.05</v>
      </c>
      <c r="AP25" s="19"/>
      <c r="AQ25" s="110" t="s">
        <v>212</v>
      </c>
      <c r="AR25" s="111">
        <f t="shared" ref="AR25" si="988">-AS$25*AR$5*AR$2</f>
        <v>-643.19373277896329</v>
      </c>
      <c r="AS25" s="114">
        <v>0.05</v>
      </c>
      <c r="AT25" s="19"/>
      <c r="AU25" s="110" t="s">
        <v>212</v>
      </c>
      <c r="AV25" s="111">
        <f t="shared" ref="AV25" si="989">-AW$25*AV$5*AV$2</f>
        <v>-644.22846408518808</v>
      </c>
      <c r="AW25" s="114">
        <v>0.05</v>
      </c>
      <c r="AX25" s="19"/>
      <c r="AY25" s="110" t="s">
        <v>212</v>
      </c>
      <c r="AZ25" s="111">
        <f t="shared" ref="AZ25" si="990">-BA$25*AZ$5*AZ$2</f>
        <v>-648.94756488963253</v>
      </c>
      <c r="BA25" s="114">
        <v>0.05</v>
      </c>
      <c r="BB25" s="19"/>
      <c r="BC25" s="110" t="s">
        <v>212</v>
      </c>
      <c r="BD25" s="111">
        <f t="shared" ref="BD25" si="991">-BE$25*BD$5*BD$2</f>
        <v>-644.05111057279476</v>
      </c>
      <c r="BE25" s="114">
        <v>0.05</v>
      </c>
      <c r="BF25" s="19"/>
      <c r="BG25" s="110" t="s">
        <v>212</v>
      </c>
      <c r="BH25" s="111">
        <f t="shared" ref="BH25" si="992">-BI$25*BH$5*BH$2</f>
        <v>-800.71450216797359</v>
      </c>
      <c r="BI25" s="114">
        <v>0.05</v>
      </c>
      <c r="BJ25" s="19"/>
      <c r="BK25" s="110" t="s">
        <v>212</v>
      </c>
      <c r="BL25" s="111">
        <f t="shared" ref="BL25" si="993">-BM$25*BL$5*BL$2</f>
        <v>-830.36853909521358</v>
      </c>
      <c r="BM25" s="114">
        <v>0.05</v>
      </c>
      <c r="BN25" s="19"/>
      <c r="BO25" s="110" t="s">
        <v>212</v>
      </c>
      <c r="BP25" s="111">
        <f t="shared" ref="BP25" si="994">-BQ$25*BP$5*BP$2</f>
        <v>-826.34503194995148</v>
      </c>
      <c r="BQ25" s="114">
        <v>0.05</v>
      </c>
      <c r="BR25" s="19"/>
      <c r="BS25" s="110" t="s">
        <v>212</v>
      </c>
      <c r="BT25" s="111">
        <f t="shared" ref="BT25" si="995">-BU$25*BT$5*BT$2</f>
        <v>-763.32066168618871</v>
      </c>
      <c r="BU25" s="114">
        <v>0.05</v>
      </c>
      <c r="BV25" s="19"/>
      <c r="BW25" s="110" t="s">
        <v>212</v>
      </c>
      <c r="BX25" s="111">
        <f t="shared" ref="BX25" si="996">-BY$25*BX$5*BX$2</f>
        <v>-756.31285044922981</v>
      </c>
      <c r="BY25" s="114">
        <v>0.05</v>
      </c>
      <c r="BZ25" s="19"/>
      <c r="CA25" s="110" t="s">
        <v>212</v>
      </c>
      <c r="CB25" s="111">
        <f t="shared" ref="CB25" si="997">-CC$25*CB$5*CB$2</f>
        <v>-756.85962913850233</v>
      </c>
      <c r="CC25" s="114">
        <v>0.05</v>
      </c>
      <c r="CD25" s="19"/>
      <c r="CE25" s="110" t="s">
        <v>212</v>
      </c>
      <c r="CF25" s="111">
        <f t="shared" ref="CF25" si="998">-CG$25*CF$5*CF$2</f>
        <v>-911.33777694755952</v>
      </c>
      <c r="CG25" s="114">
        <v>0.05</v>
      </c>
      <c r="CH25" s="19"/>
      <c r="CI25" s="110" t="s">
        <v>212</v>
      </c>
      <c r="CJ25" s="111">
        <f t="shared" ref="CJ25" si="999">-CK$25*CJ$5*CJ$2</f>
        <v>-912.61590754474094</v>
      </c>
      <c r="CK25" s="114">
        <v>0.05</v>
      </c>
      <c r="CL25" s="19"/>
      <c r="CM25" s="110" t="s">
        <v>212</v>
      </c>
      <c r="CN25" s="111">
        <f t="shared" ref="CN25" si="1000">-CO$25*CN$5*CN$2</f>
        <v>-917.8791708857201</v>
      </c>
      <c r="CO25" s="114">
        <v>0.05</v>
      </c>
      <c r="CP25" s="19"/>
      <c r="CQ25" s="110" t="s">
        <v>212</v>
      </c>
      <c r="CR25" s="111">
        <f t="shared" ref="CR25" si="1001">-CS$25*CR$5*CR$2</f>
        <v>-914.5506787590549</v>
      </c>
      <c r="CS25" s="114">
        <v>0.05</v>
      </c>
      <c r="CT25" s="19"/>
      <c r="CU25" s="110" t="s">
        <v>212</v>
      </c>
      <c r="CV25" s="111">
        <f t="shared" ref="CV25" si="1002">-CW$25*CV$5*CV$2</f>
        <v>-914.93383050623174</v>
      </c>
      <c r="CW25" s="114">
        <v>0.05</v>
      </c>
      <c r="CX25" s="19"/>
      <c r="CY25" s="110" t="s">
        <v>212</v>
      </c>
      <c r="CZ25" s="111">
        <f t="shared" ref="CZ25" si="1003">-DA$25*CZ$5*CZ$2</f>
        <v>-918.0492430928723</v>
      </c>
      <c r="DA25" s="114">
        <v>0.05</v>
      </c>
      <c r="DB25" s="19"/>
      <c r="DC25" s="110" t="s">
        <v>212</v>
      </c>
      <c r="DD25" s="111">
        <f t="shared" ref="DD25" si="1004">-DE$25*DD$5*DD$2</f>
        <v>-913.40565548371512</v>
      </c>
      <c r="DE25" s="114">
        <v>0.05</v>
      </c>
      <c r="DF25" s="19"/>
      <c r="DG25" s="110" t="s">
        <v>212</v>
      </c>
      <c r="DH25" s="111">
        <f t="shared" ref="DH25" si="1005">-DI$25*DH$5*DH$2</f>
        <v>-1086.1005455979378</v>
      </c>
      <c r="DI25" s="114">
        <v>0.05</v>
      </c>
      <c r="DJ25" s="19"/>
      <c r="DK25" s="110" t="s">
        <v>212</v>
      </c>
      <c r="DL25" s="111">
        <f t="shared" ref="DL25" si="1006">-DM$25*DL$5*DL$2</f>
        <v>-1094.6159661321581</v>
      </c>
      <c r="DM25" s="114">
        <v>0.05</v>
      </c>
      <c r="DN25" s="19"/>
      <c r="DO25" s="110" t="s">
        <v>212</v>
      </c>
      <c r="DP25" s="111">
        <f t="shared" ref="DP25" si="1007">-DQ$25*DP$5*DP$2</f>
        <v>-1095.6500875342781</v>
      </c>
      <c r="DQ25" s="114">
        <v>0.05</v>
      </c>
      <c r="DR25" s="19"/>
      <c r="DS25" s="110" t="s">
        <v>212</v>
      </c>
      <c r="DT25" s="111">
        <f t="shared" ref="DT25" si="1008">-DU$25*DT$5*DT$2</f>
        <v>-1098.0109552792176</v>
      </c>
      <c r="DU25" s="114">
        <v>0.05</v>
      </c>
      <c r="DV25" s="19"/>
      <c r="DW25" s="110" t="s">
        <v>212</v>
      </c>
      <c r="DX25" s="111">
        <f t="shared" ref="DX25" si="1009">-DY$25*DX$5*DX$2</f>
        <v>-1100.5234357062134</v>
      </c>
      <c r="DY25" s="114">
        <v>0.05</v>
      </c>
      <c r="DZ25" s="19"/>
      <c r="EA25" s="110" t="s">
        <v>212</v>
      </c>
      <c r="EB25" s="111">
        <f t="shared" ref="EB25" si="1010">-EC$25*EB$5*EB$2</f>
        <v>-1102.8018238051982</v>
      </c>
      <c r="EC25" s="114">
        <v>0.05</v>
      </c>
      <c r="ED25" s="19"/>
      <c r="EE25" s="110" t="s">
        <v>212</v>
      </c>
      <c r="EF25" s="111">
        <f t="shared" ref="EF25" si="1011">-EG$25*EF$5*EF$2</f>
        <v>-1101.650343565218</v>
      </c>
      <c r="EG25" s="114">
        <v>0.05</v>
      </c>
      <c r="EH25" s="19"/>
      <c r="EI25" s="110" t="s">
        <v>212</v>
      </c>
      <c r="EJ25" s="111">
        <f t="shared" ref="EJ25" si="1012">-EK$25*EJ$5*EJ$2</f>
        <v>-1259.1145466062289</v>
      </c>
      <c r="EK25" s="114">
        <v>0.05</v>
      </c>
      <c r="EL25" s="19"/>
      <c r="EM25" s="110" t="s">
        <v>212</v>
      </c>
      <c r="EN25" s="111">
        <f t="shared" ref="EN25" si="1013">-EO$25*EN$5*EN$2</f>
        <v>-1263.5917274501644</v>
      </c>
      <c r="EO25" s="114">
        <v>0.05</v>
      </c>
      <c r="EP25" s="19"/>
      <c r="EQ25" s="110" t="s">
        <v>212</v>
      </c>
      <c r="ER25" s="111">
        <f t="shared" ref="ER25" si="1014">-ES$25*ER$5*ER$2</f>
        <v>-1404.974697010877</v>
      </c>
      <c r="ES25" s="114">
        <v>0.05</v>
      </c>
      <c r="ET25" s="19"/>
      <c r="EU25" s="110" t="s">
        <v>212</v>
      </c>
      <c r="EV25" s="111">
        <f t="shared" ref="EV25" si="1015">-EW$25*EV$5*EV$2</f>
        <v>-1475.8947503151812</v>
      </c>
      <c r="EW25" s="114">
        <v>0.05</v>
      </c>
      <c r="EX25" s="19"/>
      <c r="EY25" s="110" t="s">
        <v>212</v>
      </c>
      <c r="EZ25" s="111">
        <f t="shared" ref="EZ25" si="1016">-FA$25*EZ$5*EZ$2</f>
        <v>-1793.7231535910394</v>
      </c>
      <c r="FA25" s="114">
        <v>0.05</v>
      </c>
      <c r="FB25" s="19"/>
      <c r="FC25" s="110" t="s">
        <v>212</v>
      </c>
      <c r="FD25" s="111">
        <f t="shared" ref="FD25" si="1017">-FE$25*FD$5*FD$2</f>
        <v>-1783.9273540666732</v>
      </c>
      <c r="FE25" s="114">
        <v>0.05</v>
      </c>
      <c r="FF25" s="19"/>
      <c r="FG25" s="110" t="s">
        <v>212</v>
      </c>
      <c r="FH25" s="111">
        <f t="shared" ref="FH25" si="1018">-FI$25*FH$5*FH$2</f>
        <v>-2014.6950749277387</v>
      </c>
      <c r="FI25" s="114">
        <v>0.05</v>
      </c>
      <c r="FJ25" s="19"/>
      <c r="FK25" s="110" t="s">
        <v>212</v>
      </c>
      <c r="FL25" s="111">
        <f t="shared" ref="FL25" si="1019">-FM$25*FL$5*FL$2</f>
        <v>-2009.8940699568409</v>
      </c>
      <c r="FM25" s="114">
        <v>0.05</v>
      </c>
      <c r="FN25" s="19"/>
      <c r="FO25" s="110" t="s">
        <v>212</v>
      </c>
      <c r="FP25" s="111">
        <f t="shared" ref="FP25" si="1020">-FQ$25*FP$5*FP$2</f>
        <v>-2016.1372708577571</v>
      </c>
      <c r="FQ25" s="114">
        <v>0.05</v>
      </c>
      <c r="FR25" s="19"/>
      <c r="FS25" s="110" t="s">
        <v>212</v>
      </c>
      <c r="FT25" s="111">
        <f t="shared" ref="FT25" si="1021">-FU$25*FT$5*FT$2</f>
        <v>-2015.3604969725795</v>
      </c>
      <c r="FU25" s="114">
        <v>0.05</v>
      </c>
      <c r="FV25" s="19"/>
      <c r="FW25" s="110" t="s">
        <v>212</v>
      </c>
      <c r="FX25" s="111">
        <f t="shared" ref="FX25" si="1022">-FY$25*FX$5*FX$2</f>
        <v>-2013.3600145558964</v>
      </c>
      <c r="FY25" s="114">
        <v>0.05</v>
      </c>
      <c r="FZ25" s="19"/>
      <c r="GA25" s="110" t="s">
        <v>212</v>
      </c>
      <c r="GB25" s="111">
        <f t="shared" ref="GB25" si="1023">-GC$25*GB$5*GB$2</f>
        <v>-2009.9476096655712</v>
      </c>
      <c r="GC25" s="114">
        <v>0.05</v>
      </c>
      <c r="GD25" s="19"/>
      <c r="GE25" s="110" t="s">
        <v>212</v>
      </c>
      <c r="GF25" s="111">
        <f t="shared" ref="GF25" si="1024">-GG$25*GF$5*GF$2</f>
        <v>-1994.7507241508586</v>
      </c>
      <c r="GG25" s="114">
        <v>0.05</v>
      </c>
      <c r="GH25" s="19"/>
      <c r="GI25" s="110" t="s">
        <v>212</v>
      </c>
      <c r="GJ25" s="111">
        <f t="shared" ref="GJ25" si="1025">-GK$25*GJ$5*GJ$2</f>
        <v>-2201.2732349159578</v>
      </c>
      <c r="GK25" s="114">
        <v>0.05</v>
      </c>
      <c r="GL25" s="19"/>
      <c r="GM25" s="110" t="s">
        <v>212</v>
      </c>
      <c r="GN25" s="111">
        <f t="shared" ref="GN25" si="1026">-GO$25*GN$5*GN$2</f>
        <v>-2196.1155376815077</v>
      </c>
      <c r="GO25" s="114">
        <v>0.05</v>
      </c>
      <c r="GP25" s="19"/>
      <c r="GQ25" s="110" t="s">
        <v>212</v>
      </c>
      <c r="GR25" s="111">
        <f t="shared" ref="GR25" si="1027">-GS$25*GR$5*GR$2</f>
        <v>-2169.2423088967212</v>
      </c>
      <c r="GS25" s="114">
        <v>0.05</v>
      </c>
      <c r="GT25" s="19"/>
      <c r="GU25" s="110" t="s">
        <v>212</v>
      </c>
      <c r="GV25" s="111">
        <f t="shared" ref="GV25" si="1028">-GW$25*GV$5*GV$2</f>
        <v>-2177.0753090633798</v>
      </c>
      <c r="GW25" s="114">
        <v>0.05</v>
      </c>
      <c r="GX25" s="19"/>
      <c r="GY25" s="110" t="s">
        <v>212</v>
      </c>
      <c r="GZ25" s="111">
        <f t="shared" ref="GZ25" si="1029">-HA$25*GZ$5*GZ$2</f>
        <v>-2179.8021960689471</v>
      </c>
      <c r="HA25" s="114">
        <v>0.05</v>
      </c>
      <c r="HB25" s="19"/>
      <c r="HC25" s="110" t="s">
        <v>212</v>
      </c>
      <c r="HD25" s="111">
        <f t="shared" ref="HD25" si="1030">-HE$25*HD$5*HD$2</f>
        <v>-2023.0140596405199</v>
      </c>
      <c r="HE25" s="114">
        <v>0.05</v>
      </c>
      <c r="HF25" s="19"/>
      <c r="HG25" s="110" t="s">
        <v>212</v>
      </c>
      <c r="HH25" s="111">
        <f t="shared" ref="HH25" si="1031">-HI$25*HH$5*HH$2</f>
        <v>-1974.6034664219624</v>
      </c>
      <c r="HI25" s="114">
        <v>0.05</v>
      </c>
      <c r="HJ25" s="19"/>
      <c r="HK25" s="110" t="s">
        <v>212</v>
      </c>
      <c r="HL25" s="111">
        <f t="shared" ref="HL25" si="1032">-HM$25*HL$5*HL$2</f>
        <v>-2085.4608603127749</v>
      </c>
      <c r="HM25" s="114">
        <v>0.05</v>
      </c>
      <c r="HN25" s="19"/>
      <c r="HO25" s="110" t="s">
        <v>212</v>
      </c>
      <c r="HP25" s="111">
        <f t="shared" ref="HP25" si="1033">-HQ$25*HP$5*HP$2</f>
        <v>-2080.6373057638884</v>
      </c>
      <c r="HQ25" s="114">
        <v>0.05</v>
      </c>
      <c r="HR25" s="19"/>
      <c r="HS25" s="110" t="s">
        <v>212</v>
      </c>
      <c r="HT25" s="111">
        <f t="shared" ref="HT25" si="1034">-HU$25*HT$5*HT$2</f>
        <v>-2050.557911622233</v>
      </c>
      <c r="HU25" s="114">
        <v>0.05</v>
      </c>
      <c r="HV25" s="19"/>
      <c r="HW25" s="110" t="s">
        <v>212</v>
      </c>
      <c r="HX25" s="111">
        <f t="shared" ref="HX25" si="1035">-HY$25*HX$5*HX$2</f>
        <v>-1937.7768267788249</v>
      </c>
      <c r="HY25" s="114">
        <v>0.05</v>
      </c>
      <c r="HZ25" s="19"/>
      <c r="IA25" s="110" t="s">
        <v>212</v>
      </c>
      <c r="IB25" s="111">
        <f t="shared" ref="IB25" si="1036">-IC$25*IB$5*IB$2</f>
        <v>-1666.6309074419014</v>
      </c>
      <c r="IC25" s="114">
        <v>0.05</v>
      </c>
      <c r="ID25" s="19"/>
      <c r="IE25" s="110" t="s">
        <v>212</v>
      </c>
      <c r="IF25" s="111">
        <f t="shared" ref="IF25" si="1037">-IG$25*IF$5*IF$2</f>
        <v>-1661.354255030765</v>
      </c>
      <c r="IG25" s="114">
        <v>0.05</v>
      </c>
      <c r="IH25" s="19"/>
      <c r="II25" s="110" t="s">
        <v>212</v>
      </c>
      <c r="IJ25" s="111">
        <f t="shared" ref="IJ25" si="1038">-IK$25*IJ$5*IJ$2</f>
        <v>-1799.6791510682347</v>
      </c>
      <c r="IK25" s="114">
        <v>0.05</v>
      </c>
      <c r="IL25" s="19"/>
      <c r="IM25" s="110" t="s">
        <v>212</v>
      </c>
      <c r="IN25" s="111">
        <f t="shared" ref="IN25" si="1039">-IO$25*IN$5*IN$2</f>
        <v>-1807.3686924895378</v>
      </c>
      <c r="IO25" s="114">
        <v>0.05</v>
      </c>
      <c r="IP25" s="19"/>
      <c r="IQ25" s="110" t="s">
        <v>212</v>
      </c>
      <c r="IR25" s="111">
        <f t="shared" ref="IR25" si="1040">-IS$25*IR$5*IR$2</f>
        <v>-1800.4495703884759</v>
      </c>
      <c r="IS25" s="114">
        <v>0.05</v>
      </c>
      <c r="IT25" s="19"/>
      <c r="IU25" s="110" t="s">
        <v>212</v>
      </c>
      <c r="IV25" s="111">
        <f t="shared" ref="IV25" si="1041">-IW$25*IV$5*IV$2</f>
        <v>-1794.2622801780681</v>
      </c>
      <c r="IW25" s="114">
        <v>0.05</v>
      </c>
      <c r="IX25" s="19"/>
      <c r="IY25" s="110" t="s">
        <v>212</v>
      </c>
      <c r="IZ25" s="111">
        <f t="shared" ref="IZ25" si="1042">-JA$25*IZ$5*IZ$2</f>
        <v>-1796.1786109217594</v>
      </c>
      <c r="JA25" s="114">
        <v>0.05</v>
      </c>
      <c r="JB25" s="19"/>
      <c r="JC25" s="110" t="s">
        <v>212</v>
      </c>
      <c r="JD25" s="111">
        <f t="shared" ref="JD25" si="1043">-JE$25*JD$5*JD$2</f>
        <v>-1790.2691103717229</v>
      </c>
      <c r="JE25" s="114">
        <v>0.05</v>
      </c>
      <c r="JF25" s="19"/>
      <c r="JG25" s="110" t="s">
        <v>212</v>
      </c>
      <c r="JH25" s="111">
        <f t="shared" ref="JH25" si="1044">-JI$25*JH$5*JH$2</f>
        <v>-1785.3915360654669</v>
      </c>
      <c r="JI25" s="114">
        <v>0.05</v>
      </c>
      <c r="JJ25" s="19"/>
      <c r="JK25" s="110" t="s">
        <v>212</v>
      </c>
      <c r="JL25" s="111">
        <f t="shared" ref="JL25" si="1045">-JM$25*JL$5*JL$2</f>
        <v>-1912.3245723459563</v>
      </c>
      <c r="JM25" s="114">
        <v>0.05</v>
      </c>
      <c r="JN25" s="19"/>
      <c r="JO25" s="110" t="s">
        <v>212</v>
      </c>
      <c r="JP25" s="111">
        <f t="shared" ref="JP25" si="1046">-JQ$25*JP$5*JP$2</f>
        <v>-1949.5678291658223</v>
      </c>
      <c r="JQ25" s="114">
        <v>0.05</v>
      </c>
      <c r="JR25" s="19"/>
      <c r="JS25" s="110" t="s">
        <v>212</v>
      </c>
      <c r="JT25" s="111">
        <f t="shared" ref="JT25" si="1047">-JU$25*JT$5*JT$2</f>
        <v>-1983.0722892984679</v>
      </c>
      <c r="JU25" s="114">
        <v>0.05</v>
      </c>
      <c r="JV25" s="19"/>
      <c r="JW25" s="110" t="s">
        <v>212</v>
      </c>
      <c r="JX25" s="111">
        <f t="shared" ref="JX25" si="1048">-JY$25*JX$5*JX$2</f>
        <v>-1979.9049484500642</v>
      </c>
      <c r="JY25" s="114">
        <v>0.05</v>
      </c>
      <c r="JZ25" s="19"/>
      <c r="KA25" s="110" t="s">
        <v>212</v>
      </c>
      <c r="KB25" s="111">
        <f t="shared" ref="KB25" si="1049">-KC$25*KB$5*KB$2</f>
        <v>-2017.3722494158078</v>
      </c>
      <c r="KC25" s="114">
        <v>0.05</v>
      </c>
      <c r="KD25" s="19"/>
    </row>
    <row r="26" spans="1:290" x14ac:dyDescent="0.25">
      <c r="C26" s="110" t="s">
        <v>218</v>
      </c>
      <c r="D26" s="111">
        <f>-E$26*D$5*D$2</f>
        <v>-180.57336797406279</v>
      </c>
      <c r="E26" s="115">
        <v>0.02</v>
      </c>
      <c r="G26" s="110" t="s">
        <v>218</v>
      </c>
      <c r="H26" s="111">
        <f>-I$26*H$5*H$2</f>
        <v>-180.52030310864922</v>
      </c>
      <c r="I26" s="115">
        <v>0.02</v>
      </c>
      <c r="K26" s="110" t="s">
        <v>218</v>
      </c>
      <c r="L26" s="111">
        <f t="shared" ref="L26" si="1050">-M$26*L$5*L$2</f>
        <v>-186.01780738759311</v>
      </c>
      <c r="M26" s="115">
        <v>0.02</v>
      </c>
      <c r="N26" s="44"/>
      <c r="O26" s="110" t="s">
        <v>218</v>
      </c>
      <c r="P26" s="111">
        <f t="shared" ref="P26" si="1051">-Q$26*P$5*P$2</f>
        <v>-194.33745669509455</v>
      </c>
      <c r="Q26" s="115">
        <v>0.02</v>
      </c>
      <c r="R26" s="44"/>
      <c r="S26" s="110" t="s">
        <v>218</v>
      </c>
      <c r="T26" s="111">
        <f t="shared" ref="T26" si="1052">-U$26*T$5*T$2</f>
        <v>-194.49236584143495</v>
      </c>
      <c r="U26" s="115">
        <v>0.02</v>
      </c>
      <c r="V26" s="44"/>
      <c r="W26" s="110" t="s">
        <v>218</v>
      </c>
      <c r="X26" s="111">
        <f t="shared" ref="X26" si="1053">-Y$26*X$5*X$2</f>
        <v>-195.07398747243059</v>
      </c>
      <c r="Y26" s="115">
        <v>0.02</v>
      </c>
      <c r="Z26" s="44"/>
      <c r="AA26" s="110" t="s">
        <v>218</v>
      </c>
      <c r="AB26" s="111">
        <f t="shared" ref="AB26" si="1054">-AC$26*AB$5*AB$2</f>
        <v>-195.43254064665041</v>
      </c>
      <c r="AC26" s="115">
        <v>0.02</v>
      </c>
      <c r="AD26" s="44"/>
      <c r="AE26" s="110" t="s">
        <v>218</v>
      </c>
      <c r="AF26" s="111">
        <f t="shared" ref="AF26" si="1055">-AG$26*AF$5*AF$2</f>
        <v>-259.86585366354791</v>
      </c>
      <c r="AG26" s="115">
        <v>0.02</v>
      </c>
      <c r="AH26" s="44"/>
      <c r="AI26" s="110" t="s">
        <v>218</v>
      </c>
      <c r="AJ26" s="111">
        <f t="shared" ref="AJ26" si="1056">-AK$26*AJ$5*AJ$2</f>
        <v>-259.17983611461511</v>
      </c>
      <c r="AK26" s="115">
        <v>0.02</v>
      </c>
      <c r="AL26" s="44"/>
      <c r="AM26" s="110" t="s">
        <v>218</v>
      </c>
      <c r="AN26" s="111">
        <f t="shared" ref="AN26" si="1057">-AO$26*AN$5*AN$2</f>
        <v>-258.13491912516986</v>
      </c>
      <c r="AO26" s="115">
        <v>0.02</v>
      </c>
      <c r="AP26" s="44"/>
      <c r="AQ26" s="110" t="s">
        <v>218</v>
      </c>
      <c r="AR26" s="111">
        <f t="shared" ref="AR26" si="1058">-AS$26*AR$5*AR$2</f>
        <v>-257.27749311158527</v>
      </c>
      <c r="AS26" s="115">
        <v>0.02</v>
      </c>
      <c r="AT26" s="44"/>
      <c r="AU26" s="110" t="s">
        <v>218</v>
      </c>
      <c r="AV26" s="111">
        <f t="shared" ref="AV26" si="1059">-AW$26*AV$5*AV$2</f>
        <v>-257.69138563407523</v>
      </c>
      <c r="AW26" s="115">
        <v>0.02</v>
      </c>
      <c r="AX26" s="44"/>
      <c r="AY26" s="110" t="s">
        <v>218</v>
      </c>
      <c r="AZ26" s="111">
        <f t="shared" ref="AZ26" si="1060">-BA$26*AZ$5*AZ$2</f>
        <v>-259.57902595585301</v>
      </c>
      <c r="BA26" s="115">
        <v>0.02</v>
      </c>
      <c r="BB26" s="44"/>
      <c r="BC26" s="110" t="s">
        <v>218</v>
      </c>
      <c r="BD26" s="111">
        <f t="shared" ref="BD26" si="1061">-BE$26*BD$5*BD$2</f>
        <v>-257.62044422911788</v>
      </c>
      <c r="BE26" s="115">
        <v>0.02</v>
      </c>
      <c r="BF26" s="44"/>
      <c r="BG26" s="110" t="s">
        <v>218</v>
      </c>
      <c r="BH26" s="111">
        <f t="shared" ref="BH26" si="1062">-BI$26*BH$5*BH$2</f>
        <v>-320.28580086718944</v>
      </c>
      <c r="BI26" s="115">
        <v>0.02</v>
      </c>
      <c r="BJ26" s="44"/>
      <c r="BK26" s="110" t="s">
        <v>218</v>
      </c>
      <c r="BL26" s="111">
        <f t="shared" ref="BL26" si="1063">-BM$26*BL$5*BL$2</f>
        <v>-332.14741563808548</v>
      </c>
      <c r="BM26" s="115">
        <v>0.02</v>
      </c>
      <c r="BN26" s="44"/>
      <c r="BO26" s="110" t="s">
        <v>218</v>
      </c>
      <c r="BP26" s="111">
        <f t="shared" ref="BP26" si="1064">-BQ$26*BP$5*BP$2</f>
        <v>-330.53801277998059</v>
      </c>
      <c r="BQ26" s="115">
        <v>0.02</v>
      </c>
      <c r="BR26" s="44"/>
      <c r="BS26" s="110" t="s">
        <v>218</v>
      </c>
      <c r="BT26" s="111">
        <f t="shared" ref="BT26" si="1065">-BU$26*BT$5*BT$2</f>
        <v>-305.32826467447552</v>
      </c>
      <c r="BU26" s="115">
        <v>0.02</v>
      </c>
      <c r="BV26" s="44"/>
      <c r="BW26" s="110" t="s">
        <v>218</v>
      </c>
      <c r="BX26" s="111">
        <f t="shared" ref="BX26" si="1066">-BY$26*BX$5*BX$2</f>
        <v>-302.52514017969196</v>
      </c>
      <c r="BY26" s="115">
        <v>0.02</v>
      </c>
      <c r="BZ26" s="44"/>
      <c r="CA26" s="110" t="s">
        <v>218</v>
      </c>
      <c r="CB26" s="111">
        <f t="shared" ref="CB26" si="1067">-CC$26*CB$5*CB$2</f>
        <v>-302.74385165540093</v>
      </c>
      <c r="CC26" s="115">
        <v>0.02</v>
      </c>
      <c r="CD26" s="44"/>
      <c r="CE26" s="110" t="s">
        <v>218</v>
      </c>
      <c r="CF26" s="111">
        <f t="shared" ref="CF26" si="1068">-CG$26*CF$5*CF$2</f>
        <v>-364.53511077902374</v>
      </c>
      <c r="CG26" s="115">
        <v>0.02</v>
      </c>
      <c r="CH26" s="44"/>
      <c r="CI26" s="110" t="s">
        <v>218</v>
      </c>
      <c r="CJ26" s="111">
        <f t="shared" ref="CJ26" si="1069">-CK$26*CJ$5*CJ$2</f>
        <v>-365.04636301789628</v>
      </c>
      <c r="CK26" s="115">
        <v>0.02</v>
      </c>
      <c r="CL26" s="44"/>
      <c r="CM26" s="110" t="s">
        <v>218</v>
      </c>
      <c r="CN26" s="111">
        <f t="shared" ref="CN26" si="1070">-CO$26*CN$5*CN$2</f>
        <v>-367.15166835428801</v>
      </c>
      <c r="CO26" s="115">
        <v>0.02</v>
      </c>
      <c r="CP26" s="44"/>
      <c r="CQ26" s="110" t="s">
        <v>218</v>
      </c>
      <c r="CR26" s="111">
        <f t="shared" ref="CR26" si="1071">-CS$26*CR$5*CR$2</f>
        <v>-365.82027150362188</v>
      </c>
      <c r="CS26" s="115">
        <v>0.02</v>
      </c>
      <c r="CT26" s="44"/>
      <c r="CU26" s="110" t="s">
        <v>218</v>
      </c>
      <c r="CV26" s="111">
        <f t="shared" ref="CV26" si="1072">-CW$26*CV$5*CV$2</f>
        <v>-365.97353220249261</v>
      </c>
      <c r="CW26" s="115">
        <v>0.02</v>
      </c>
      <c r="CX26" s="44"/>
      <c r="CY26" s="110" t="s">
        <v>218</v>
      </c>
      <c r="CZ26" s="111">
        <f t="shared" ref="CZ26" si="1073">-DA$26*CZ$5*CZ$2</f>
        <v>-367.21969723714886</v>
      </c>
      <c r="DA26" s="115">
        <v>0.02</v>
      </c>
      <c r="DB26" s="44"/>
      <c r="DC26" s="110" t="s">
        <v>218</v>
      </c>
      <c r="DD26" s="111">
        <f t="shared" ref="DD26" si="1074">-DE$26*DD$5*DD$2</f>
        <v>-365.362262193486</v>
      </c>
      <c r="DE26" s="115">
        <v>0.02</v>
      </c>
      <c r="DF26" s="44"/>
      <c r="DG26" s="110" t="s">
        <v>218</v>
      </c>
      <c r="DH26" s="111">
        <f t="shared" ref="DH26" si="1075">-DI$26*DH$5*DH$2</f>
        <v>-434.44021823917507</v>
      </c>
      <c r="DI26" s="115">
        <v>0.02</v>
      </c>
      <c r="DJ26" s="44"/>
      <c r="DK26" s="110" t="s">
        <v>218</v>
      </c>
      <c r="DL26" s="111">
        <f t="shared" ref="DL26" si="1076">-DM$26*DL$5*DL$2</f>
        <v>-437.84638645286321</v>
      </c>
      <c r="DM26" s="115">
        <v>0.02</v>
      </c>
      <c r="DN26" s="44"/>
      <c r="DO26" s="110" t="s">
        <v>218</v>
      </c>
      <c r="DP26" s="111">
        <f t="shared" ref="DP26" si="1077">-DQ$26*DP$5*DP$2</f>
        <v>-438.26003501371127</v>
      </c>
      <c r="DQ26" s="115">
        <v>0.02</v>
      </c>
      <c r="DR26" s="44"/>
      <c r="DS26" s="110" t="s">
        <v>218</v>
      </c>
      <c r="DT26" s="111">
        <f t="shared" ref="DT26" si="1078">-DU$26*DT$5*DT$2</f>
        <v>-439.2043821116871</v>
      </c>
      <c r="DU26" s="115">
        <v>0.02</v>
      </c>
      <c r="DV26" s="44"/>
      <c r="DW26" s="110" t="s">
        <v>218</v>
      </c>
      <c r="DX26" s="111">
        <f t="shared" ref="DX26" si="1079">-DY$26*DX$5*DX$2</f>
        <v>-440.20937428248538</v>
      </c>
      <c r="DY26" s="115">
        <v>0.02</v>
      </c>
      <c r="DZ26" s="44"/>
      <c r="EA26" s="110" t="s">
        <v>218</v>
      </c>
      <c r="EB26" s="111">
        <f t="shared" ref="EB26" si="1080">-EC$26*EB$5*EB$2</f>
        <v>-441.12072952207927</v>
      </c>
      <c r="EC26" s="115">
        <v>0.02</v>
      </c>
      <c r="ED26" s="44"/>
      <c r="EE26" s="110" t="s">
        <v>218</v>
      </c>
      <c r="EF26" s="111">
        <f t="shared" ref="EF26" si="1081">-EG$26*EF$5*EF$2</f>
        <v>-440.6601374260872</v>
      </c>
      <c r="EG26" s="115">
        <v>0.02</v>
      </c>
      <c r="EH26" s="44"/>
      <c r="EI26" s="110" t="s">
        <v>218</v>
      </c>
      <c r="EJ26" s="111">
        <f t="shared" ref="EJ26" si="1082">-EK$26*EJ$5*EJ$2</f>
        <v>-503.64581864249158</v>
      </c>
      <c r="EK26" s="115">
        <v>0.02</v>
      </c>
      <c r="EL26" s="44"/>
      <c r="EM26" s="110" t="s">
        <v>218</v>
      </c>
      <c r="EN26" s="111">
        <f t="shared" ref="EN26" si="1083">-EO$26*EN$5*EN$2</f>
        <v>-505.43669098006575</v>
      </c>
      <c r="EO26" s="115">
        <v>0.02</v>
      </c>
      <c r="EP26" s="44"/>
      <c r="EQ26" s="110" t="s">
        <v>218</v>
      </c>
      <c r="ER26" s="111">
        <f t="shared" ref="ER26" si="1084">-ES$26*ER$5*ER$2</f>
        <v>-561.98987880435072</v>
      </c>
      <c r="ES26" s="115">
        <v>0.02</v>
      </c>
      <c r="ET26" s="44"/>
      <c r="EU26" s="110" t="s">
        <v>218</v>
      </c>
      <c r="EV26" s="111">
        <f t="shared" ref="EV26" si="1085">-EW$26*EV$5*EV$2</f>
        <v>-590.35790012607242</v>
      </c>
      <c r="EW26" s="115">
        <v>0.02</v>
      </c>
      <c r="EX26" s="44"/>
      <c r="EY26" s="110" t="s">
        <v>218</v>
      </c>
      <c r="EZ26" s="111">
        <f t="shared" ref="EZ26" si="1086">-FA$26*EZ$5*EZ$2</f>
        <v>-717.48926143641575</v>
      </c>
      <c r="FA26" s="115">
        <v>0.02</v>
      </c>
      <c r="FB26" s="44"/>
      <c r="FC26" s="110" t="s">
        <v>218</v>
      </c>
      <c r="FD26" s="111">
        <f t="shared" ref="FD26" si="1087">-FE$26*FD$5*FD$2</f>
        <v>-713.5709416266692</v>
      </c>
      <c r="FE26" s="115">
        <v>0.02</v>
      </c>
      <c r="FF26" s="44"/>
      <c r="FG26" s="110" t="s">
        <v>218</v>
      </c>
      <c r="FH26" s="111">
        <f t="shared" ref="FH26" si="1088">-FI$26*FH$5*FH$2</f>
        <v>-805.87802997109543</v>
      </c>
      <c r="FI26" s="115">
        <v>0.02</v>
      </c>
      <c r="FJ26" s="44"/>
      <c r="FK26" s="110" t="s">
        <v>218</v>
      </c>
      <c r="FL26" s="111">
        <f t="shared" ref="FL26" si="1089">-FM$26*FL$5*FL$2</f>
        <v>-803.95762798273631</v>
      </c>
      <c r="FM26" s="115">
        <v>0.02</v>
      </c>
      <c r="FN26" s="44"/>
      <c r="FO26" s="110" t="s">
        <v>218</v>
      </c>
      <c r="FP26" s="111">
        <f t="shared" ref="FP26" si="1090">-FQ$26*FP$5*FP$2</f>
        <v>-806.45490834310283</v>
      </c>
      <c r="FQ26" s="115">
        <v>0.02</v>
      </c>
      <c r="FR26" s="44"/>
      <c r="FS26" s="110" t="s">
        <v>218</v>
      </c>
      <c r="FT26" s="111">
        <f t="shared" ref="FT26" si="1091">-FU$26*FT$5*FT$2</f>
        <v>-806.14419878903175</v>
      </c>
      <c r="FU26" s="115">
        <v>0.02</v>
      </c>
      <c r="FV26" s="44"/>
      <c r="FW26" s="110" t="s">
        <v>218</v>
      </c>
      <c r="FX26" s="111">
        <f t="shared" ref="FX26" si="1092">-FY$26*FX$5*FX$2</f>
        <v>-805.34400582235855</v>
      </c>
      <c r="FY26" s="115">
        <v>0.02</v>
      </c>
      <c r="FZ26" s="44"/>
      <c r="GA26" s="110" t="s">
        <v>218</v>
      </c>
      <c r="GB26" s="111">
        <f t="shared" ref="GB26" si="1093">-GC$26*GB$5*GB$2</f>
        <v>-803.97904386622838</v>
      </c>
      <c r="GC26" s="115">
        <v>0.02</v>
      </c>
      <c r="GD26" s="44"/>
      <c r="GE26" s="110" t="s">
        <v>218</v>
      </c>
      <c r="GF26" s="111">
        <f t="shared" ref="GF26" si="1094">-GG$26*GF$5*GF$2</f>
        <v>-797.90028966034333</v>
      </c>
      <c r="GG26" s="115">
        <v>0.02</v>
      </c>
      <c r="GH26" s="44"/>
      <c r="GI26" s="110" t="s">
        <v>218</v>
      </c>
      <c r="GJ26" s="111">
        <f t="shared" ref="GJ26" si="1095">-GK$26*GJ$5*GJ$2</f>
        <v>-880.50929396638321</v>
      </c>
      <c r="GK26" s="115">
        <v>0.02</v>
      </c>
      <c r="GL26" s="44"/>
      <c r="GM26" s="110" t="s">
        <v>218</v>
      </c>
      <c r="GN26" s="111">
        <f t="shared" ref="GN26" si="1096">-GO$26*GN$5*GN$2</f>
        <v>-878.44621507260308</v>
      </c>
      <c r="GO26" s="115">
        <v>0.02</v>
      </c>
      <c r="GP26" s="44"/>
      <c r="GQ26" s="110" t="s">
        <v>218</v>
      </c>
      <c r="GR26" s="111">
        <f t="shared" ref="GR26" si="1097">-GS$26*GR$5*GR$2</f>
        <v>-867.69692355868847</v>
      </c>
      <c r="GS26" s="115">
        <v>0.02</v>
      </c>
      <c r="GT26" s="44"/>
      <c r="GU26" s="110" t="s">
        <v>218</v>
      </c>
      <c r="GV26" s="111">
        <f t="shared" ref="GV26" si="1098">-GW$26*GV$5*GV$2</f>
        <v>-870.83012362535192</v>
      </c>
      <c r="GW26" s="115">
        <v>0.02</v>
      </c>
      <c r="GX26" s="44"/>
      <c r="GY26" s="110" t="s">
        <v>218</v>
      </c>
      <c r="GZ26" s="111">
        <f t="shared" ref="GZ26" si="1099">-HA$26*GZ$5*GZ$2</f>
        <v>-871.92087842757883</v>
      </c>
      <c r="HA26" s="115">
        <v>0.02</v>
      </c>
      <c r="HB26" s="44"/>
      <c r="HC26" s="110" t="s">
        <v>218</v>
      </c>
      <c r="HD26" s="111">
        <f t="shared" ref="HD26" si="1100">-HE$26*HD$5*HD$2</f>
        <v>-809.20562385620804</v>
      </c>
      <c r="HE26" s="115">
        <v>0.02</v>
      </c>
      <c r="HF26" s="44"/>
      <c r="HG26" s="110" t="s">
        <v>218</v>
      </c>
      <c r="HH26" s="111">
        <f t="shared" ref="HH26" si="1101">-HI$26*HH$5*HH$2</f>
        <v>-789.84138656878497</v>
      </c>
      <c r="HI26" s="115">
        <v>0.02</v>
      </c>
      <c r="HJ26" s="44"/>
      <c r="HK26" s="110" t="s">
        <v>218</v>
      </c>
      <c r="HL26" s="111">
        <f t="shared" ref="HL26" si="1102">-HM$26*HL$5*HL$2</f>
        <v>-834.18434412510976</v>
      </c>
      <c r="HM26" s="115">
        <v>0.02</v>
      </c>
      <c r="HN26" s="44"/>
      <c r="HO26" s="110" t="s">
        <v>218</v>
      </c>
      <c r="HP26" s="111">
        <f t="shared" ref="HP26" si="1103">-HQ$26*HP$5*HP$2</f>
        <v>-832.2549223055554</v>
      </c>
      <c r="HQ26" s="115">
        <v>0.02</v>
      </c>
      <c r="HR26" s="44"/>
      <c r="HS26" s="110" t="s">
        <v>218</v>
      </c>
      <c r="HT26" s="111">
        <f t="shared" ref="HT26" si="1104">-HU$26*HT$5*HT$2</f>
        <v>-820.22316464889309</v>
      </c>
      <c r="HU26" s="115">
        <v>0.02</v>
      </c>
      <c r="HV26" s="44"/>
      <c r="HW26" s="110" t="s">
        <v>218</v>
      </c>
      <c r="HX26" s="111">
        <f t="shared" ref="HX26" si="1105">-HY$26*HX$5*HX$2</f>
        <v>-775.11073071152998</v>
      </c>
      <c r="HY26" s="115">
        <v>0.02</v>
      </c>
      <c r="HZ26" s="44"/>
      <c r="IA26" s="110" t="s">
        <v>218</v>
      </c>
      <c r="IB26" s="111">
        <f t="shared" ref="IB26" si="1106">-IC$26*IB$5*IB$2</f>
        <v>-666.65236297676051</v>
      </c>
      <c r="IC26" s="115">
        <v>0.02</v>
      </c>
      <c r="ID26" s="44"/>
      <c r="IE26" s="110" t="s">
        <v>218</v>
      </c>
      <c r="IF26" s="111">
        <f t="shared" ref="IF26" si="1107">-IG$26*IF$5*IF$2</f>
        <v>-664.54170201230602</v>
      </c>
      <c r="IG26" s="115">
        <v>0.02</v>
      </c>
      <c r="IH26" s="44"/>
      <c r="II26" s="110" t="s">
        <v>218</v>
      </c>
      <c r="IJ26" s="111">
        <f t="shared" ref="IJ26" si="1108">-IK$26*IJ$5*IJ$2</f>
        <v>-719.8716604272937</v>
      </c>
      <c r="IK26" s="115">
        <v>0.02</v>
      </c>
      <c r="IL26" s="44"/>
      <c r="IM26" s="110" t="s">
        <v>218</v>
      </c>
      <c r="IN26" s="111">
        <f t="shared" ref="IN26" si="1109">-IO$26*IN$5*IN$2</f>
        <v>-722.94747699581501</v>
      </c>
      <c r="IO26" s="115">
        <v>0.02</v>
      </c>
      <c r="IP26" s="44"/>
      <c r="IQ26" s="110" t="s">
        <v>218</v>
      </c>
      <c r="IR26" s="111">
        <f t="shared" ref="IR26" si="1110">-IS$26*IR$5*IR$2</f>
        <v>-720.17982815539028</v>
      </c>
      <c r="IS26" s="115">
        <v>0.02</v>
      </c>
      <c r="IT26" s="44"/>
      <c r="IU26" s="110" t="s">
        <v>218</v>
      </c>
      <c r="IV26" s="111">
        <f t="shared" ref="IV26" si="1111">-IW$26*IV$5*IV$2</f>
        <v>-717.704912071227</v>
      </c>
      <c r="IW26" s="115">
        <v>0.02</v>
      </c>
      <c r="IX26" s="44"/>
      <c r="IY26" s="110" t="s">
        <v>218</v>
      </c>
      <c r="IZ26" s="111">
        <f t="shared" ref="IZ26" si="1112">-JA$26*IZ$5*IZ$2</f>
        <v>-718.4714443687036</v>
      </c>
      <c r="JA26" s="115">
        <v>0.02</v>
      </c>
      <c r="JB26" s="44"/>
      <c r="JC26" s="110" t="s">
        <v>218</v>
      </c>
      <c r="JD26" s="111">
        <f t="shared" ref="JD26" si="1113">-JE$26*JD$5*JD$2</f>
        <v>-716.10764414868902</v>
      </c>
      <c r="JE26" s="115">
        <v>0.02</v>
      </c>
      <c r="JF26" s="44"/>
      <c r="JG26" s="110" t="s">
        <v>218</v>
      </c>
      <c r="JH26" s="111">
        <f t="shared" ref="JH26" si="1114">-JI$26*JH$5*JH$2</f>
        <v>-714.15661442618671</v>
      </c>
      <c r="JI26" s="115">
        <v>0.02</v>
      </c>
      <c r="JJ26" s="44"/>
      <c r="JK26" s="110" t="s">
        <v>218</v>
      </c>
      <c r="JL26" s="111">
        <f t="shared" ref="JL26" si="1115">-JM$26*JL$5*JL$2</f>
        <v>-764.92982893838246</v>
      </c>
      <c r="JM26" s="115">
        <v>0.02</v>
      </c>
      <c r="JN26" s="44"/>
      <c r="JO26" s="110" t="s">
        <v>218</v>
      </c>
      <c r="JP26" s="111">
        <f t="shared" ref="JP26" si="1116">-JQ$26*JP$5*JP$2</f>
        <v>-779.82713166632902</v>
      </c>
      <c r="JQ26" s="115">
        <v>0.02</v>
      </c>
      <c r="JR26" s="44"/>
      <c r="JS26" s="110" t="s">
        <v>218</v>
      </c>
      <c r="JT26" s="111">
        <f t="shared" ref="JT26" si="1117">-JU$26*JT$5*JT$2</f>
        <v>-793.22891571938726</v>
      </c>
      <c r="JU26" s="115">
        <v>0.02</v>
      </c>
      <c r="JV26" s="44"/>
      <c r="JW26" s="110" t="s">
        <v>218</v>
      </c>
      <c r="JX26" s="111">
        <f t="shared" ref="JX26" si="1118">-JY$26*JX$5*JX$2</f>
        <v>-791.9619793800257</v>
      </c>
      <c r="JY26" s="115">
        <v>0.02</v>
      </c>
      <c r="JZ26" s="44"/>
      <c r="KA26" s="110" t="s">
        <v>218</v>
      </c>
      <c r="KB26" s="111">
        <f t="shared" ref="KB26" si="1119">-KC$26*KB$5*KB$2</f>
        <v>-806.94889976632305</v>
      </c>
      <c r="KC26" s="115">
        <v>0.02</v>
      </c>
      <c r="KD26" s="44"/>
    </row>
    <row r="27" spans="1:290" x14ac:dyDescent="0.25">
      <c r="C27" s="110" t="s">
        <v>215</v>
      </c>
      <c r="D27" s="111">
        <f>-E$27*D$5*D$2</f>
        <v>-1625.1603117665652</v>
      </c>
      <c r="E27" s="115">
        <v>0.18</v>
      </c>
      <c r="G27" s="110" t="s">
        <v>215</v>
      </c>
      <c r="H27" s="111">
        <f>-I$27*H$5*H$2</f>
        <v>-1624.6827279778431</v>
      </c>
      <c r="I27" s="115">
        <v>0.18</v>
      </c>
      <c r="K27" s="110" t="s">
        <v>215</v>
      </c>
      <c r="L27" s="111">
        <f t="shared" ref="L27" si="1120">-M$27*L$5*L$2</f>
        <v>-1674.160266488338</v>
      </c>
      <c r="M27" s="115">
        <v>0.18</v>
      </c>
      <c r="N27" s="44"/>
      <c r="O27" s="110" t="s">
        <v>215</v>
      </c>
      <c r="P27" s="111">
        <f t="shared" ref="P27" si="1121">-Q$27*P$5*P$2</f>
        <v>-1749.0371102558511</v>
      </c>
      <c r="Q27" s="115">
        <v>0.18</v>
      </c>
      <c r="R27" s="44"/>
      <c r="S27" s="110" t="s">
        <v>215</v>
      </c>
      <c r="T27" s="111">
        <f t="shared" ref="T27" si="1122">-U$27*T$5*T$2</f>
        <v>-1750.4312925729146</v>
      </c>
      <c r="U27" s="115">
        <v>0.18</v>
      </c>
      <c r="V27" s="44"/>
      <c r="W27" s="110" t="s">
        <v>215</v>
      </c>
      <c r="X27" s="111">
        <f t="shared" ref="X27" si="1123">-Y$27*X$5*X$2</f>
        <v>-1755.6658872518753</v>
      </c>
      <c r="Y27" s="115">
        <v>0.18</v>
      </c>
      <c r="Z27" s="44"/>
      <c r="AA27" s="110" t="s">
        <v>215</v>
      </c>
      <c r="AB27" s="111">
        <f t="shared" ref="AB27" si="1124">-AC$27*AB$5*AB$2</f>
        <v>-1758.892865819854</v>
      </c>
      <c r="AC27" s="115">
        <v>0.18</v>
      </c>
      <c r="AD27" s="44"/>
      <c r="AE27" s="110" t="s">
        <v>215</v>
      </c>
      <c r="AF27" s="111">
        <f t="shared" ref="AF27" si="1125">-AG$27*AF$5*AF$2</f>
        <v>-2338.7926829719308</v>
      </c>
      <c r="AG27" s="115">
        <v>0.18</v>
      </c>
      <c r="AH27" s="44"/>
      <c r="AI27" s="110" t="s">
        <v>215</v>
      </c>
      <c r="AJ27" s="111">
        <f t="shared" ref="AJ27" si="1126">-AK$27*AJ$5*AJ$2</f>
        <v>-2332.6185250315361</v>
      </c>
      <c r="AK27" s="115">
        <v>0.18</v>
      </c>
      <c r="AL27" s="44"/>
      <c r="AM27" s="110" t="s">
        <v>215</v>
      </c>
      <c r="AN27" s="111">
        <f t="shared" ref="AN27" si="1127">-AO$27*AN$5*AN$2</f>
        <v>-2323.2142721265286</v>
      </c>
      <c r="AO27" s="115">
        <v>0.18</v>
      </c>
      <c r="AP27" s="44"/>
      <c r="AQ27" s="110" t="s">
        <v>215</v>
      </c>
      <c r="AR27" s="111">
        <f t="shared" ref="AR27" si="1128">-AS$27*AR$5*AR$2</f>
        <v>-2315.4974380042672</v>
      </c>
      <c r="AS27" s="115">
        <v>0.18</v>
      </c>
      <c r="AT27" s="44"/>
      <c r="AU27" s="110" t="s">
        <v>215</v>
      </c>
      <c r="AV27" s="111">
        <f t="shared" ref="AV27" si="1129">-AW$27*AV$5*AV$2</f>
        <v>-2319.2224707066771</v>
      </c>
      <c r="AW27" s="115">
        <v>0.18</v>
      </c>
      <c r="AX27" s="44"/>
      <c r="AY27" s="110" t="s">
        <v>215</v>
      </c>
      <c r="AZ27" s="111">
        <f t="shared" ref="AZ27" si="1130">-BA$27*AZ$5*AZ$2</f>
        <v>-2336.2112336026767</v>
      </c>
      <c r="BA27" s="115">
        <v>0.18</v>
      </c>
      <c r="BB27" s="44"/>
      <c r="BC27" s="110" t="s">
        <v>215</v>
      </c>
      <c r="BD27" s="111">
        <f t="shared" ref="BD27" si="1131">-BE$27*BD$5*BD$2</f>
        <v>-2318.5839980620608</v>
      </c>
      <c r="BE27" s="115">
        <v>0.18</v>
      </c>
      <c r="BF27" s="44"/>
      <c r="BG27" s="110" t="s">
        <v>215</v>
      </c>
      <c r="BH27" s="111">
        <f t="shared" ref="BH27" si="1132">-BI$27*BH$5*BH$2</f>
        <v>-2882.5722078047047</v>
      </c>
      <c r="BI27" s="115">
        <v>0.18</v>
      </c>
      <c r="BJ27" s="44"/>
      <c r="BK27" s="110" t="s">
        <v>215</v>
      </c>
      <c r="BL27" s="111">
        <f t="shared" ref="BL27" si="1133">-BM$27*BL$5*BL$2</f>
        <v>-2989.3267407427684</v>
      </c>
      <c r="BM27" s="115">
        <v>0.18</v>
      </c>
      <c r="BN27" s="44"/>
      <c r="BO27" s="110" t="s">
        <v>215</v>
      </c>
      <c r="BP27" s="111">
        <f t="shared" ref="BP27" si="1134">-BQ$27*BP$5*BP$2</f>
        <v>-2974.8421150198251</v>
      </c>
      <c r="BQ27" s="115">
        <v>0.18</v>
      </c>
      <c r="BR27" s="44"/>
      <c r="BS27" s="110" t="s">
        <v>215</v>
      </c>
      <c r="BT27" s="111">
        <f t="shared" ref="BT27" si="1135">-BU$27*BT$5*BT$2</f>
        <v>-2747.9543820702793</v>
      </c>
      <c r="BU27" s="115">
        <v>0.18</v>
      </c>
      <c r="BV27" s="44"/>
      <c r="BW27" s="110" t="s">
        <v>215</v>
      </c>
      <c r="BX27" s="111">
        <f t="shared" ref="BX27" si="1136">-BY$27*BX$5*BX$2</f>
        <v>-2722.726261617227</v>
      </c>
      <c r="BY27" s="115">
        <v>0.18</v>
      </c>
      <c r="BZ27" s="44"/>
      <c r="CA27" s="110" t="s">
        <v>215</v>
      </c>
      <c r="CB27" s="111">
        <f t="shared" ref="CB27" si="1137">-CC$27*CB$5*CB$2</f>
        <v>-2724.6946648986082</v>
      </c>
      <c r="CC27" s="115">
        <v>0.18</v>
      </c>
      <c r="CD27" s="44"/>
      <c r="CE27" s="110" t="s">
        <v>215</v>
      </c>
      <c r="CF27" s="111">
        <f t="shared" ref="CF27" si="1138">-CG$27*CF$5*CF$2</f>
        <v>-3280.8159970112138</v>
      </c>
      <c r="CG27" s="115">
        <v>0.18</v>
      </c>
      <c r="CH27" s="44"/>
      <c r="CI27" s="110" t="s">
        <v>215</v>
      </c>
      <c r="CJ27" s="111">
        <f t="shared" ref="CJ27" si="1139">-CK$27*CJ$5*CJ$2</f>
        <v>-3285.4172671610672</v>
      </c>
      <c r="CK27" s="115">
        <v>0.18</v>
      </c>
      <c r="CL27" s="44"/>
      <c r="CM27" s="110" t="s">
        <v>215</v>
      </c>
      <c r="CN27" s="111">
        <f t="shared" ref="CN27" si="1140">-CO$27*CN$5*CN$2</f>
        <v>-3304.3650151885922</v>
      </c>
      <c r="CO27" s="115">
        <v>0.18</v>
      </c>
      <c r="CP27" s="44"/>
      <c r="CQ27" s="110" t="s">
        <v>215</v>
      </c>
      <c r="CR27" s="111">
        <f t="shared" ref="CR27" si="1141">-CS$27*CR$5*CR$2</f>
        <v>-3292.3824435325973</v>
      </c>
      <c r="CS27" s="115">
        <v>0.18</v>
      </c>
      <c r="CT27" s="44"/>
      <c r="CU27" s="110" t="s">
        <v>215</v>
      </c>
      <c r="CV27" s="111">
        <f t="shared" ref="CV27" si="1142">-CW$27*CV$5*CV$2</f>
        <v>-3293.7617898224339</v>
      </c>
      <c r="CW27" s="115">
        <v>0.18</v>
      </c>
      <c r="CX27" s="44"/>
      <c r="CY27" s="110" t="s">
        <v>215</v>
      </c>
      <c r="CZ27" s="111">
        <f t="shared" ref="CZ27" si="1143">-DA$27*CZ$5*CZ$2</f>
        <v>-3304.9772751343398</v>
      </c>
      <c r="DA27" s="115">
        <v>0.18</v>
      </c>
      <c r="DB27" s="44"/>
      <c r="DC27" s="110" t="s">
        <v>215</v>
      </c>
      <c r="DD27" s="111">
        <f t="shared" ref="DD27" si="1144">-DE$27*DD$5*DD$2</f>
        <v>-3288.260359741374</v>
      </c>
      <c r="DE27" s="115">
        <v>0.18</v>
      </c>
      <c r="DF27" s="44"/>
      <c r="DG27" s="110" t="s">
        <v>215</v>
      </c>
      <c r="DH27" s="111">
        <f t="shared" ref="DH27" si="1145">-DI$27*DH$5*DH$2</f>
        <v>-3909.9619641525755</v>
      </c>
      <c r="DI27" s="115">
        <v>0.18</v>
      </c>
      <c r="DJ27" s="44"/>
      <c r="DK27" s="110" t="s">
        <v>215</v>
      </c>
      <c r="DL27" s="111">
        <f t="shared" ref="DL27" si="1146">-DM$27*DL$5*DL$2</f>
        <v>-3940.6174780757688</v>
      </c>
      <c r="DM27" s="115">
        <v>0.18</v>
      </c>
      <c r="DN27" s="44"/>
      <c r="DO27" s="110" t="s">
        <v>215</v>
      </c>
      <c r="DP27" s="111">
        <f t="shared" ref="DP27" si="1147">-DQ$27*DP$5*DP$2</f>
        <v>-3944.3403151234011</v>
      </c>
      <c r="DQ27" s="115">
        <v>0.18</v>
      </c>
      <c r="DR27" s="44"/>
      <c r="DS27" s="110" t="s">
        <v>215</v>
      </c>
      <c r="DT27" s="111">
        <f t="shared" ref="DT27" si="1148">-DU$27*DT$5*DT$2</f>
        <v>-3952.8394390051831</v>
      </c>
      <c r="DU27" s="115">
        <v>0.18</v>
      </c>
      <c r="DV27" s="44"/>
      <c r="DW27" s="110" t="s">
        <v>215</v>
      </c>
      <c r="DX27" s="111">
        <f t="shared" ref="DX27" si="1149">-DY$27*DX$5*DX$2</f>
        <v>-3961.8843685423681</v>
      </c>
      <c r="DY27" s="115">
        <v>0.18</v>
      </c>
      <c r="DZ27" s="44"/>
      <c r="EA27" s="110" t="s">
        <v>215</v>
      </c>
      <c r="EB27" s="111">
        <f t="shared" ref="EB27" si="1150">-EC$27*EB$5*EB$2</f>
        <v>-3970.086565698713</v>
      </c>
      <c r="EC27" s="115">
        <v>0.18</v>
      </c>
      <c r="ED27" s="44"/>
      <c r="EE27" s="110" t="s">
        <v>215</v>
      </c>
      <c r="EF27" s="111">
        <f t="shared" ref="EF27" si="1151">-EG$27*EF$5*EF$2</f>
        <v>-3965.9412368347848</v>
      </c>
      <c r="EG27" s="115">
        <v>0.18</v>
      </c>
      <c r="EH27" s="44"/>
      <c r="EI27" s="110" t="s">
        <v>215</v>
      </c>
      <c r="EJ27" s="111">
        <f t="shared" ref="EJ27" si="1152">-EK$27*EJ$5*EJ$2</f>
        <v>-4532.8123677824242</v>
      </c>
      <c r="EK27" s="115">
        <v>0.18</v>
      </c>
      <c r="EL27" s="44"/>
      <c r="EM27" s="110" t="s">
        <v>215</v>
      </c>
      <c r="EN27" s="111">
        <f t="shared" ref="EN27" si="1153">-EO$27*EN$5*EN$2</f>
        <v>-4548.930218820592</v>
      </c>
      <c r="EO27" s="115">
        <v>0.18</v>
      </c>
      <c r="EP27" s="44"/>
      <c r="EQ27" s="110" t="s">
        <v>215</v>
      </c>
      <c r="ER27" s="111">
        <f t="shared" ref="ER27" si="1154">-ES$27*ER$5*ER$2</f>
        <v>-5057.9089092391569</v>
      </c>
      <c r="ES27" s="115">
        <v>0.18</v>
      </c>
      <c r="ET27" s="44"/>
      <c r="EU27" s="110" t="s">
        <v>215</v>
      </c>
      <c r="EV27" s="111">
        <f t="shared" ref="EV27" si="1155">-EW$27*EV$5*EV$2</f>
        <v>-5313.2211011346517</v>
      </c>
      <c r="EW27" s="115">
        <v>0.18</v>
      </c>
      <c r="EX27" s="44"/>
      <c r="EY27" s="110" t="s">
        <v>215</v>
      </c>
      <c r="EZ27" s="111">
        <f t="shared" ref="EZ27" si="1156">-FA$27*EZ$5*EZ$2</f>
        <v>-6457.4033529277413</v>
      </c>
      <c r="FA27" s="115">
        <v>0.18</v>
      </c>
      <c r="FB27" s="44"/>
      <c r="FC27" s="110" t="s">
        <v>215</v>
      </c>
      <c r="FD27" s="111">
        <f t="shared" ref="FD27" si="1157">-FE$27*FD$5*FD$2</f>
        <v>-6422.1384746400227</v>
      </c>
      <c r="FE27" s="115">
        <v>0.18</v>
      </c>
      <c r="FF27" s="44"/>
      <c r="FG27" s="110" t="s">
        <v>215</v>
      </c>
      <c r="FH27" s="111">
        <f t="shared" ref="FH27" si="1158">-FI$27*FH$5*FH$2</f>
        <v>-7252.9022697398586</v>
      </c>
      <c r="FI27" s="115">
        <v>0.18</v>
      </c>
      <c r="FJ27" s="44"/>
      <c r="FK27" s="110" t="s">
        <v>215</v>
      </c>
      <c r="FL27" s="111">
        <f t="shared" ref="FL27" si="1159">-FM$27*FL$5*FL$2</f>
        <v>-7235.6186518446266</v>
      </c>
      <c r="FM27" s="115">
        <v>0.18</v>
      </c>
      <c r="FN27" s="44"/>
      <c r="FO27" s="110" t="s">
        <v>215</v>
      </c>
      <c r="FP27" s="111">
        <f t="shared" ref="FP27" si="1160">-FQ$27*FP$5*FP$2</f>
        <v>-7258.0941750879256</v>
      </c>
      <c r="FQ27" s="115">
        <v>0.18</v>
      </c>
      <c r="FR27" s="44"/>
      <c r="FS27" s="110" t="s">
        <v>215</v>
      </c>
      <c r="FT27" s="111">
        <f t="shared" ref="FT27" si="1161">-FU$27*FT$5*FT$2</f>
        <v>-7255.2977891012861</v>
      </c>
      <c r="FU27" s="115">
        <v>0.18</v>
      </c>
      <c r="FV27" s="44"/>
      <c r="FW27" s="110" t="s">
        <v>215</v>
      </c>
      <c r="FX27" s="111">
        <f t="shared" ref="FX27" si="1162">-FY$27*FX$5*FX$2</f>
        <v>-7248.0960524012262</v>
      </c>
      <c r="FY27" s="115">
        <v>0.18</v>
      </c>
      <c r="FZ27" s="44"/>
      <c r="GA27" s="110" t="s">
        <v>215</v>
      </c>
      <c r="GB27" s="111">
        <f t="shared" ref="GB27" si="1163">-GC$27*GB$5*GB$2</f>
        <v>-7235.8113947960555</v>
      </c>
      <c r="GC27" s="115">
        <v>0.18</v>
      </c>
      <c r="GD27" s="44"/>
      <c r="GE27" s="110" t="s">
        <v>215</v>
      </c>
      <c r="GF27" s="111">
        <f t="shared" ref="GF27" si="1164">-GG$27*GF$5*GF$2</f>
        <v>-7181.10260694309</v>
      </c>
      <c r="GG27" s="115">
        <v>0.18</v>
      </c>
      <c r="GH27" s="44"/>
      <c r="GI27" s="110" t="s">
        <v>215</v>
      </c>
      <c r="GJ27" s="111">
        <f t="shared" ref="GJ27" si="1165">-GK$27*GJ$5*GJ$2</f>
        <v>-7924.5836456974475</v>
      </c>
      <c r="GK27" s="115">
        <v>0.18</v>
      </c>
      <c r="GL27" s="44"/>
      <c r="GM27" s="110" t="s">
        <v>215</v>
      </c>
      <c r="GN27" s="111">
        <f t="shared" ref="GN27" si="1166">-GO$27*GN$5*GN$2</f>
        <v>-7906.0159356534268</v>
      </c>
      <c r="GO27" s="115">
        <v>0.18</v>
      </c>
      <c r="GP27" s="44"/>
      <c r="GQ27" s="110" t="s">
        <v>215</v>
      </c>
      <c r="GR27" s="111">
        <f t="shared" ref="GR27" si="1167">-GS$27*GR$5*GR$2</f>
        <v>-7809.2723120281953</v>
      </c>
      <c r="GS27" s="115">
        <v>0.18</v>
      </c>
      <c r="GT27" s="44"/>
      <c r="GU27" s="110" t="s">
        <v>215</v>
      </c>
      <c r="GV27" s="111">
        <f t="shared" ref="GV27" si="1168">-GW$27*GV$5*GV$2</f>
        <v>-7837.4711126281663</v>
      </c>
      <c r="GW27" s="115">
        <v>0.18</v>
      </c>
      <c r="GX27" s="44"/>
      <c r="GY27" s="110" t="s">
        <v>215</v>
      </c>
      <c r="GZ27" s="111">
        <f t="shared" ref="GZ27" si="1169">-HA$27*GZ$5*GZ$2</f>
        <v>-7847.2879058482085</v>
      </c>
      <c r="HA27" s="115">
        <v>0.18</v>
      </c>
      <c r="HB27" s="44"/>
      <c r="HC27" s="110" t="s">
        <v>215</v>
      </c>
      <c r="HD27" s="111">
        <f t="shared" ref="HD27" si="1170">-HE$27*HD$5*HD$2</f>
        <v>-7282.8506147058706</v>
      </c>
      <c r="HE27" s="115">
        <v>0.18</v>
      </c>
      <c r="HF27" s="44"/>
      <c r="HG27" s="110" t="s">
        <v>215</v>
      </c>
      <c r="HH27" s="111">
        <f t="shared" ref="HH27" si="1171">-HI$27*HH$5*HH$2</f>
        <v>-7108.5724791190642</v>
      </c>
      <c r="HI27" s="115">
        <v>0.18</v>
      </c>
      <c r="HJ27" s="44"/>
      <c r="HK27" s="110" t="s">
        <v>215</v>
      </c>
      <c r="HL27" s="111">
        <f t="shared" ref="HL27" si="1172">-HM$27*HL$5*HL$2</f>
        <v>-7507.6590971259884</v>
      </c>
      <c r="HM27" s="115">
        <v>0.18</v>
      </c>
      <c r="HN27" s="44"/>
      <c r="HO27" s="110" t="s">
        <v>215</v>
      </c>
      <c r="HP27" s="111">
        <f t="shared" ref="HP27" si="1173">-HQ$27*HP$5*HP$2</f>
        <v>-7490.294300749998</v>
      </c>
      <c r="HQ27" s="115">
        <v>0.18</v>
      </c>
      <c r="HR27" s="44"/>
      <c r="HS27" s="110" t="s">
        <v>215</v>
      </c>
      <c r="HT27" s="111">
        <f t="shared" ref="HT27" si="1174">-HU$27*HT$5*HT$2</f>
        <v>-7382.0084818400373</v>
      </c>
      <c r="HU27" s="115">
        <v>0.18</v>
      </c>
      <c r="HV27" s="44"/>
      <c r="HW27" s="110" t="s">
        <v>215</v>
      </c>
      <c r="HX27" s="111">
        <f t="shared" ref="HX27" si="1175">-HY$27*HX$5*HX$2</f>
        <v>-6975.9965764037688</v>
      </c>
      <c r="HY27" s="115">
        <v>0.18</v>
      </c>
      <c r="HZ27" s="44"/>
      <c r="IA27" s="110" t="s">
        <v>215</v>
      </c>
      <c r="IB27" s="111">
        <f t="shared" ref="IB27" si="1176">-IC$27*IB$5*IB$2</f>
        <v>-5999.8712667908439</v>
      </c>
      <c r="IC27" s="115">
        <v>0.18</v>
      </c>
      <c r="ID27" s="44"/>
      <c r="IE27" s="110" t="s">
        <v>215</v>
      </c>
      <c r="IF27" s="111">
        <f t="shared" ref="IF27" si="1177">-IG$27*IF$5*IF$2</f>
        <v>-5980.8753181107531</v>
      </c>
      <c r="IG27" s="115">
        <v>0.18</v>
      </c>
      <c r="IH27" s="44"/>
      <c r="II27" s="110" t="s">
        <v>215</v>
      </c>
      <c r="IJ27" s="111">
        <f t="shared" ref="IJ27" si="1178">-IK$27*IJ$5*IJ$2</f>
        <v>-6478.8449438456446</v>
      </c>
      <c r="IK27" s="115">
        <v>0.18</v>
      </c>
      <c r="IL27" s="44"/>
      <c r="IM27" s="110" t="s">
        <v>215</v>
      </c>
      <c r="IN27" s="111">
        <f t="shared" ref="IN27" si="1179">-IO$27*IN$5*IN$2</f>
        <v>-6506.5272929623352</v>
      </c>
      <c r="IO27" s="115">
        <v>0.18</v>
      </c>
      <c r="IP27" s="44"/>
      <c r="IQ27" s="110" t="s">
        <v>215</v>
      </c>
      <c r="IR27" s="111">
        <f t="shared" ref="IR27" si="1180">-IS$27*IR$5*IR$2</f>
        <v>-6481.6184533985133</v>
      </c>
      <c r="IS27" s="115">
        <v>0.18</v>
      </c>
      <c r="IT27" s="44"/>
      <c r="IU27" s="110" t="s">
        <v>215</v>
      </c>
      <c r="IV27" s="111">
        <f t="shared" ref="IV27" si="1181">-IW$27*IV$5*IV$2</f>
        <v>-6459.3442086410441</v>
      </c>
      <c r="IW27" s="115">
        <v>0.18</v>
      </c>
      <c r="IX27" s="44"/>
      <c r="IY27" s="110" t="s">
        <v>215</v>
      </c>
      <c r="IZ27" s="111">
        <f t="shared" ref="IZ27" si="1182">-JA$27*IZ$5*IZ$2</f>
        <v>-6466.2429993183332</v>
      </c>
      <c r="JA27" s="115">
        <v>0.18</v>
      </c>
      <c r="JB27" s="44"/>
      <c r="JC27" s="110" t="s">
        <v>215</v>
      </c>
      <c r="JD27" s="111">
        <f t="shared" ref="JD27" si="1183">-JE$27*JD$5*JD$2</f>
        <v>-6444.9687973382015</v>
      </c>
      <c r="JE27" s="115">
        <v>0.18</v>
      </c>
      <c r="JF27" s="44"/>
      <c r="JG27" s="110" t="s">
        <v>215</v>
      </c>
      <c r="JH27" s="111">
        <f t="shared" ref="JH27" si="1184">-JI$27*JH$5*JH$2</f>
        <v>-6427.4095298356806</v>
      </c>
      <c r="JI27" s="115">
        <v>0.18</v>
      </c>
      <c r="JJ27" s="44"/>
      <c r="JK27" s="110" t="s">
        <v>215</v>
      </c>
      <c r="JL27" s="111">
        <f t="shared" ref="JL27" si="1185">-JM$27*JL$5*JL$2</f>
        <v>-6884.368460445442</v>
      </c>
      <c r="JM27" s="115">
        <v>0.18</v>
      </c>
      <c r="JN27" s="44"/>
      <c r="JO27" s="110" t="s">
        <v>215</v>
      </c>
      <c r="JP27" s="111">
        <f t="shared" ref="JP27" si="1186">-JQ$27*JP$5*JP$2</f>
        <v>-7018.4441849969598</v>
      </c>
      <c r="JQ27" s="115">
        <v>0.18</v>
      </c>
      <c r="JR27" s="44"/>
      <c r="JS27" s="110" t="s">
        <v>215</v>
      </c>
      <c r="JT27" s="111">
        <f t="shared" ref="JT27" si="1187">-JU$27*JT$5*JT$2</f>
        <v>-7139.0602414744844</v>
      </c>
      <c r="JU27" s="115">
        <v>0.18</v>
      </c>
      <c r="JV27" s="44"/>
      <c r="JW27" s="110" t="s">
        <v>215</v>
      </c>
      <c r="JX27" s="111">
        <f t="shared" ref="JX27" si="1188">-JY$27*JX$5*JX$2</f>
        <v>-7127.6578144202313</v>
      </c>
      <c r="JY27" s="115">
        <v>0.18</v>
      </c>
      <c r="JZ27" s="44"/>
      <c r="KA27" s="110" t="s">
        <v>215</v>
      </c>
      <c r="KB27" s="111">
        <f t="shared" ref="KB27" si="1189">-KC$27*KB$5*KB$2</f>
        <v>-7262.5400978969074</v>
      </c>
      <c r="KC27" s="115">
        <v>0.18</v>
      </c>
      <c r="KD27" s="44"/>
    </row>
    <row r="28" spans="1:290" x14ac:dyDescent="0.25">
      <c r="C28" s="110" t="s">
        <v>217</v>
      </c>
      <c r="D28" s="111">
        <f>-E$28*60*D$5</f>
        <v>-154.80000000000001</v>
      </c>
      <c r="E28" s="116">
        <v>0.86</v>
      </c>
      <c r="G28" s="110" t="s">
        <v>217</v>
      </c>
      <c r="H28" s="111">
        <f>-I$28*60*H$5</f>
        <v>-154.80000000000001</v>
      </c>
      <c r="I28" s="116">
        <v>0.86</v>
      </c>
      <c r="K28" s="110" t="s">
        <v>217</v>
      </c>
      <c r="L28" s="111">
        <f t="shared" ref="L28" si="1190">-M$28*60*L$5</f>
        <v>-154.80000000000001</v>
      </c>
      <c r="M28" s="116">
        <v>0.86</v>
      </c>
      <c r="N28" s="44"/>
      <c r="O28" s="110" t="s">
        <v>217</v>
      </c>
      <c r="P28" s="111">
        <f t="shared" ref="P28" si="1191">-Q$28*60*P$5</f>
        <v>-154.80000000000001</v>
      </c>
      <c r="Q28" s="116">
        <v>0.86</v>
      </c>
      <c r="R28" s="44"/>
      <c r="S28" s="110" t="s">
        <v>217</v>
      </c>
      <c r="T28" s="111">
        <f t="shared" ref="T28" si="1192">-U$28*60*T$5</f>
        <v>-154.80000000000001</v>
      </c>
      <c r="U28" s="116">
        <v>0.86</v>
      </c>
      <c r="V28" s="44"/>
      <c r="W28" s="110" t="s">
        <v>217</v>
      </c>
      <c r="X28" s="111">
        <f t="shared" ref="X28" si="1193">-Y$28*60*X$5</f>
        <v>-154.80000000000001</v>
      </c>
      <c r="Y28" s="116">
        <v>0.86</v>
      </c>
      <c r="Z28" s="44"/>
      <c r="AA28" s="110" t="s">
        <v>217</v>
      </c>
      <c r="AB28" s="111">
        <f t="shared" ref="AB28" si="1194">-AC$28*60*AB$5</f>
        <v>-154.80000000000001</v>
      </c>
      <c r="AC28" s="116">
        <v>0.86</v>
      </c>
      <c r="AD28" s="44"/>
      <c r="AE28" s="110" t="s">
        <v>217</v>
      </c>
      <c r="AF28" s="111">
        <f t="shared" ref="AF28" si="1195">-AG$28*60*AF$5</f>
        <v>-206.4</v>
      </c>
      <c r="AG28" s="116">
        <v>0.86</v>
      </c>
      <c r="AH28" s="44"/>
      <c r="AI28" s="110" t="s">
        <v>217</v>
      </c>
      <c r="AJ28" s="111">
        <f t="shared" ref="AJ28" si="1196">-AK$28*60*AJ$5</f>
        <v>-206.4</v>
      </c>
      <c r="AK28" s="116">
        <v>0.86</v>
      </c>
      <c r="AL28" s="44"/>
      <c r="AM28" s="110" t="s">
        <v>217</v>
      </c>
      <c r="AN28" s="111">
        <f t="shared" ref="AN28" si="1197">-AO$28*60*AN$5</f>
        <v>-206.4</v>
      </c>
      <c r="AO28" s="116">
        <v>0.86</v>
      </c>
      <c r="AP28" s="44"/>
      <c r="AQ28" s="110" t="s">
        <v>217</v>
      </c>
      <c r="AR28" s="111">
        <f t="shared" ref="AR28" si="1198">-AS$28*60*AR$5</f>
        <v>-206.4</v>
      </c>
      <c r="AS28" s="116">
        <v>0.86</v>
      </c>
      <c r="AT28" s="44"/>
      <c r="AU28" s="110" t="s">
        <v>217</v>
      </c>
      <c r="AV28" s="111">
        <f t="shared" ref="AV28" si="1199">-AW$28*60*AV$5</f>
        <v>-206.4</v>
      </c>
      <c r="AW28" s="116">
        <v>0.86</v>
      </c>
      <c r="AX28" s="44"/>
      <c r="AY28" s="110" t="s">
        <v>217</v>
      </c>
      <c r="AZ28" s="111">
        <f t="shared" ref="AZ28" si="1200">-BA$28*60*AZ$5</f>
        <v>-206.4</v>
      </c>
      <c r="BA28" s="116">
        <v>0.86</v>
      </c>
      <c r="BB28" s="44"/>
      <c r="BC28" s="110" t="s">
        <v>217</v>
      </c>
      <c r="BD28" s="111">
        <f t="shared" ref="BD28" si="1201">-BE$28*60*BD$5</f>
        <v>-206.4</v>
      </c>
      <c r="BE28" s="116">
        <v>0.86</v>
      </c>
      <c r="BF28" s="44"/>
      <c r="BG28" s="110" t="s">
        <v>217</v>
      </c>
      <c r="BH28" s="111">
        <f t="shared" ref="BH28" si="1202">-BI$28*60*BH$5</f>
        <v>-258</v>
      </c>
      <c r="BI28" s="116">
        <v>0.86</v>
      </c>
      <c r="BJ28" s="44"/>
      <c r="BK28" s="110" t="s">
        <v>217</v>
      </c>
      <c r="BL28" s="111">
        <f t="shared" ref="BL28" si="1203">-BM$28*60*BL$5</f>
        <v>-258</v>
      </c>
      <c r="BM28" s="116">
        <v>0.86</v>
      </c>
      <c r="BN28" s="44"/>
      <c r="BO28" s="110" t="s">
        <v>217</v>
      </c>
      <c r="BP28" s="111">
        <f t="shared" ref="BP28" si="1204">-BQ$28*60*BP$5</f>
        <v>-258</v>
      </c>
      <c r="BQ28" s="116">
        <v>0.86</v>
      </c>
      <c r="BR28" s="44"/>
      <c r="BS28" s="110" t="s">
        <v>217</v>
      </c>
      <c r="BT28" s="111">
        <f t="shared" ref="BT28" si="1205">-BU$28*60*BT$5</f>
        <v>-258</v>
      </c>
      <c r="BU28" s="116">
        <v>0.86</v>
      </c>
      <c r="BV28" s="44"/>
      <c r="BW28" s="110" t="s">
        <v>217</v>
      </c>
      <c r="BX28" s="111">
        <f t="shared" ref="BX28" si="1206">-BY$28*60*BX$5</f>
        <v>-258</v>
      </c>
      <c r="BY28" s="116">
        <v>0.86</v>
      </c>
      <c r="BZ28" s="44"/>
      <c r="CA28" s="110" t="s">
        <v>217</v>
      </c>
      <c r="CB28" s="111">
        <f t="shared" ref="CB28" si="1207">-CC$28*60*CB$5</f>
        <v>-258</v>
      </c>
      <c r="CC28" s="116">
        <v>0.86</v>
      </c>
      <c r="CD28" s="44"/>
      <c r="CE28" s="110" t="s">
        <v>217</v>
      </c>
      <c r="CF28" s="111">
        <f t="shared" ref="CF28" si="1208">-CG$28*60*CF$5</f>
        <v>-309.60000000000002</v>
      </c>
      <c r="CG28" s="116">
        <v>0.86</v>
      </c>
      <c r="CH28" s="44"/>
      <c r="CI28" s="110" t="s">
        <v>217</v>
      </c>
      <c r="CJ28" s="111">
        <f t="shared" ref="CJ28" si="1209">-CK$28*60*CJ$5</f>
        <v>-309.60000000000002</v>
      </c>
      <c r="CK28" s="116">
        <v>0.86</v>
      </c>
      <c r="CL28" s="44"/>
      <c r="CM28" s="110" t="s">
        <v>217</v>
      </c>
      <c r="CN28" s="111">
        <f t="shared" ref="CN28" si="1210">-CO$28*60*CN$5</f>
        <v>-309.60000000000002</v>
      </c>
      <c r="CO28" s="116">
        <v>0.86</v>
      </c>
      <c r="CP28" s="44"/>
      <c r="CQ28" s="110" t="s">
        <v>217</v>
      </c>
      <c r="CR28" s="111">
        <f t="shared" ref="CR28" si="1211">-CS$28*60*CR$5</f>
        <v>-309.60000000000002</v>
      </c>
      <c r="CS28" s="116">
        <v>0.86</v>
      </c>
      <c r="CT28" s="44"/>
      <c r="CU28" s="110" t="s">
        <v>217</v>
      </c>
      <c r="CV28" s="111">
        <f t="shared" ref="CV28" si="1212">-CW$28*60*CV$5</f>
        <v>-309.60000000000002</v>
      </c>
      <c r="CW28" s="116">
        <v>0.86</v>
      </c>
      <c r="CX28" s="44"/>
      <c r="CY28" s="110" t="s">
        <v>217</v>
      </c>
      <c r="CZ28" s="111">
        <f t="shared" ref="CZ28" si="1213">-DA$28*60*CZ$5</f>
        <v>-309.60000000000002</v>
      </c>
      <c r="DA28" s="116">
        <v>0.86</v>
      </c>
      <c r="DB28" s="44"/>
      <c r="DC28" s="110" t="s">
        <v>217</v>
      </c>
      <c r="DD28" s="111">
        <f t="shared" ref="DD28" si="1214">-DE$28*60*DD$5</f>
        <v>-309.60000000000002</v>
      </c>
      <c r="DE28" s="116">
        <v>0.86</v>
      </c>
      <c r="DF28" s="44"/>
      <c r="DG28" s="110" t="s">
        <v>217</v>
      </c>
      <c r="DH28" s="111">
        <f t="shared" ref="DH28" si="1215">-DI$28*60*DH$5</f>
        <v>-361.2</v>
      </c>
      <c r="DI28" s="116">
        <v>0.86</v>
      </c>
      <c r="DJ28" s="44"/>
      <c r="DK28" s="110" t="s">
        <v>217</v>
      </c>
      <c r="DL28" s="111">
        <f t="shared" ref="DL28" si="1216">-DM$28*60*DL$5</f>
        <v>-361.2</v>
      </c>
      <c r="DM28" s="116">
        <v>0.86</v>
      </c>
      <c r="DN28" s="44"/>
      <c r="DO28" s="110" t="s">
        <v>217</v>
      </c>
      <c r="DP28" s="111">
        <f t="shared" ref="DP28" si="1217">-DQ$28*60*DP$5</f>
        <v>-361.2</v>
      </c>
      <c r="DQ28" s="116">
        <v>0.86</v>
      </c>
      <c r="DR28" s="44"/>
      <c r="DS28" s="110" t="s">
        <v>217</v>
      </c>
      <c r="DT28" s="111">
        <f t="shared" ref="DT28" si="1218">-DU$28*60*DT$5</f>
        <v>-361.2</v>
      </c>
      <c r="DU28" s="116">
        <v>0.86</v>
      </c>
      <c r="DV28" s="44"/>
      <c r="DW28" s="110" t="s">
        <v>217</v>
      </c>
      <c r="DX28" s="111">
        <f t="shared" ref="DX28" si="1219">-DY$28*60*DX$5</f>
        <v>-361.2</v>
      </c>
      <c r="DY28" s="116">
        <v>0.86</v>
      </c>
      <c r="DZ28" s="44"/>
      <c r="EA28" s="110" t="s">
        <v>217</v>
      </c>
      <c r="EB28" s="111">
        <f t="shared" ref="EB28" si="1220">-EC$28*60*EB$5</f>
        <v>-361.2</v>
      </c>
      <c r="EC28" s="116">
        <v>0.86</v>
      </c>
      <c r="ED28" s="44"/>
      <c r="EE28" s="110" t="s">
        <v>217</v>
      </c>
      <c r="EF28" s="111">
        <f t="shared" ref="EF28" si="1221">-EG$28*60*EF$5</f>
        <v>-361.2</v>
      </c>
      <c r="EG28" s="116">
        <v>0.86</v>
      </c>
      <c r="EH28" s="44"/>
      <c r="EI28" s="110" t="s">
        <v>217</v>
      </c>
      <c r="EJ28" s="111">
        <f t="shared" ref="EJ28" si="1222">-EK$28*60*EJ$5</f>
        <v>-412.8</v>
      </c>
      <c r="EK28" s="116">
        <v>0.86</v>
      </c>
      <c r="EL28" s="44"/>
      <c r="EM28" s="110" t="s">
        <v>217</v>
      </c>
      <c r="EN28" s="111">
        <f t="shared" ref="EN28" si="1223">-EO$28*60*EN$5</f>
        <v>-412.8</v>
      </c>
      <c r="EO28" s="116">
        <v>0.86</v>
      </c>
      <c r="EP28" s="44"/>
      <c r="EQ28" s="110" t="s">
        <v>217</v>
      </c>
      <c r="ER28" s="111">
        <f t="shared" ref="ER28" si="1224">-ES$28*60*ER$5</f>
        <v>-412.8</v>
      </c>
      <c r="ES28" s="116">
        <v>0.86</v>
      </c>
      <c r="ET28" s="44"/>
      <c r="EU28" s="110" t="s">
        <v>217</v>
      </c>
      <c r="EV28" s="111">
        <f t="shared" ref="EV28" si="1225">-EW$28*60*EV$5</f>
        <v>-412.8</v>
      </c>
      <c r="EW28" s="116">
        <v>0.86</v>
      </c>
      <c r="EX28" s="44"/>
      <c r="EY28" s="110" t="s">
        <v>217</v>
      </c>
      <c r="EZ28" s="111">
        <f t="shared" ref="EZ28" si="1226">-FA$28*60*EZ$5</f>
        <v>-412.8</v>
      </c>
      <c r="FA28" s="116">
        <v>0.86</v>
      </c>
      <c r="FB28" s="44"/>
      <c r="FC28" s="110" t="s">
        <v>217</v>
      </c>
      <c r="FD28" s="111">
        <f t="shared" ref="FD28" si="1227">-FE$28*60*FD$5</f>
        <v>-412.8</v>
      </c>
      <c r="FE28" s="116">
        <v>0.86</v>
      </c>
      <c r="FF28" s="44"/>
      <c r="FG28" s="110" t="s">
        <v>217</v>
      </c>
      <c r="FH28" s="111">
        <f t="shared" ref="FH28" si="1228">-FI$28*60*FH$5</f>
        <v>-464.40000000000003</v>
      </c>
      <c r="FI28" s="116">
        <v>0.86</v>
      </c>
      <c r="FJ28" s="44"/>
      <c r="FK28" s="110" t="s">
        <v>217</v>
      </c>
      <c r="FL28" s="111">
        <f t="shared" ref="FL28" si="1229">-FM$28*60*FL$5</f>
        <v>-464.40000000000003</v>
      </c>
      <c r="FM28" s="116">
        <v>0.86</v>
      </c>
      <c r="FN28" s="44"/>
      <c r="FO28" s="110" t="s">
        <v>217</v>
      </c>
      <c r="FP28" s="111">
        <f t="shared" ref="FP28" si="1230">-FQ$28*60*FP$5</f>
        <v>-464.40000000000003</v>
      </c>
      <c r="FQ28" s="116">
        <v>0.86</v>
      </c>
      <c r="FR28" s="44"/>
      <c r="FS28" s="110" t="s">
        <v>217</v>
      </c>
      <c r="FT28" s="111">
        <f t="shared" ref="FT28" si="1231">-FU$28*60*FT$5</f>
        <v>-464.40000000000003</v>
      </c>
      <c r="FU28" s="116">
        <v>0.86</v>
      </c>
      <c r="FV28" s="44"/>
      <c r="FW28" s="110" t="s">
        <v>217</v>
      </c>
      <c r="FX28" s="111">
        <f t="shared" ref="FX28" si="1232">-FY$28*60*FX$5</f>
        <v>-464.40000000000003</v>
      </c>
      <c r="FY28" s="116">
        <v>0.86</v>
      </c>
      <c r="FZ28" s="44"/>
      <c r="GA28" s="110" t="s">
        <v>217</v>
      </c>
      <c r="GB28" s="111">
        <f t="shared" ref="GB28" si="1233">-GC$28*60*GB$5</f>
        <v>-464.40000000000003</v>
      </c>
      <c r="GC28" s="116">
        <v>0.86</v>
      </c>
      <c r="GD28" s="44"/>
      <c r="GE28" s="110" t="s">
        <v>217</v>
      </c>
      <c r="GF28" s="111">
        <f t="shared" ref="GF28" si="1234">-GG$28*60*GF$5</f>
        <v>-464.40000000000003</v>
      </c>
      <c r="GG28" s="116">
        <v>0.86</v>
      </c>
      <c r="GH28" s="44"/>
      <c r="GI28" s="110" t="s">
        <v>217</v>
      </c>
      <c r="GJ28" s="111">
        <f t="shared" ref="GJ28" si="1235">-GK$28*60*GJ$5</f>
        <v>-516</v>
      </c>
      <c r="GK28" s="116">
        <v>0.86</v>
      </c>
      <c r="GL28" s="44"/>
      <c r="GM28" s="110" t="s">
        <v>217</v>
      </c>
      <c r="GN28" s="111">
        <f t="shared" ref="GN28" si="1236">-GO$28*60*GN$5</f>
        <v>-516</v>
      </c>
      <c r="GO28" s="116">
        <v>0.86</v>
      </c>
      <c r="GP28" s="44"/>
      <c r="GQ28" s="110" t="s">
        <v>217</v>
      </c>
      <c r="GR28" s="111">
        <f t="shared" ref="GR28" si="1237">-GS$28*60*GR$5</f>
        <v>-516</v>
      </c>
      <c r="GS28" s="116">
        <v>0.86</v>
      </c>
      <c r="GT28" s="44"/>
      <c r="GU28" s="110" t="s">
        <v>217</v>
      </c>
      <c r="GV28" s="111">
        <f t="shared" ref="GV28" si="1238">-GW$28*60*GV$5</f>
        <v>-516</v>
      </c>
      <c r="GW28" s="116">
        <v>0.86</v>
      </c>
      <c r="GX28" s="44"/>
      <c r="GY28" s="110" t="s">
        <v>217</v>
      </c>
      <c r="GZ28" s="111">
        <f t="shared" ref="GZ28" si="1239">-HA$28*60*GZ$5</f>
        <v>-516</v>
      </c>
      <c r="HA28" s="116">
        <v>0.86</v>
      </c>
      <c r="HB28" s="44"/>
      <c r="HC28" s="110" t="s">
        <v>217</v>
      </c>
      <c r="HD28" s="111">
        <f t="shared" ref="HD28" si="1240">-HE$28*60*HD$5</f>
        <v>-516</v>
      </c>
      <c r="HE28" s="116">
        <v>0.86</v>
      </c>
      <c r="HF28" s="44"/>
      <c r="HG28" s="110" t="s">
        <v>217</v>
      </c>
      <c r="HH28" s="111">
        <f t="shared" ref="HH28" si="1241">-HI$28*60*HH$5</f>
        <v>-516</v>
      </c>
      <c r="HI28" s="116">
        <v>0.86</v>
      </c>
      <c r="HJ28" s="44"/>
      <c r="HK28" s="110" t="s">
        <v>217</v>
      </c>
      <c r="HL28" s="111">
        <f t="shared" ref="HL28" si="1242">-HM$28*60*HL$5</f>
        <v>-567.6</v>
      </c>
      <c r="HM28" s="116">
        <v>0.86</v>
      </c>
      <c r="HN28" s="44"/>
      <c r="HO28" s="110" t="s">
        <v>217</v>
      </c>
      <c r="HP28" s="111">
        <f t="shared" ref="HP28" si="1243">-HQ$28*60*HP$5</f>
        <v>-567.6</v>
      </c>
      <c r="HQ28" s="116">
        <v>0.86</v>
      </c>
      <c r="HR28" s="44"/>
      <c r="HS28" s="110" t="s">
        <v>217</v>
      </c>
      <c r="HT28" s="111">
        <f t="shared" ref="HT28" si="1244">-HU$28*60*HT$5</f>
        <v>-567.6</v>
      </c>
      <c r="HU28" s="116">
        <v>0.86</v>
      </c>
      <c r="HV28" s="44"/>
      <c r="HW28" s="110" t="s">
        <v>217</v>
      </c>
      <c r="HX28" s="111">
        <f t="shared" ref="HX28" si="1245">-HY$28*60*HX$5</f>
        <v>-567.6</v>
      </c>
      <c r="HY28" s="116">
        <v>0.86</v>
      </c>
      <c r="HZ28" s="44"/>
      <c r="IA28" s="110" t="s">
        <v>217</v>
      </c>
      <c r="IB28" s="111">
        <f t="shared" ref="IB28" si="1246">-IC$28*60*IB$5</f>
        <v>-567.6</v>
      </c>
      <c r="IC28" s="116">
        <v>0.86</v>
      </c>
      <c r="ID28" s="44"/>
      <c r="IE28" s="110" t="s">
        <v>217</v>
      </c>
      <c r="IF28" s="111">
        <f t="shared" ref="IF28" si="1247">-IG$28*60*IF$5</f>
        <v>-567.6</v>
      </c>
      <c r="IG28" s="116">
        <v>0.86</v>
      </c>
      <c r="IH28" s="44"/>
      <c r="II28" s="110" t="s">
        <v>217</v>
      </c>
      <c r="IJ28" s="111">
        <f t="shared" ref="IJ28" si="1248">-IK$28*60*IJ$5</f>
        <v>-619.20000000000005</v>
      </c>
      <c r="IK28" s="116">
        <v>0.86</v>
      </c>
      <c r="IL28" s="44"/>
      <c r="IM28" s="110" t="s">
        <v>217</v>
      </c>
      <c r="IN28" s="111">
        <f t="shared" ref="IN28" si="1249">-IO$28*60*IN$5</f>
        <v>-619.20000000000005</v>
      </c>
      <c r="IO28" s="116">
        <v>0.86</v>
      </c>
      <c r="IP28" s="44"/>
      <c r="IQ28" s="110" t="s">
        <v>217</v>
      </c>
      <c r="IR28" s="111">
        <f t="shared" ref="IR28" si="1250">-IS$28*60*IR$5</f>
        <v>-619.20000000000005</v>
      </c>
      <c r="IS28" s="116">
        <v>0.86</v>
      </c>
      <c r="IT28" s="44"/>
      <c r="IU28" s="110" t="s">
        <v>217</v>
      </c>
      <c r="IV28" s="111">
        <f t="shared" ref="IV28" si="1251">-IW$28*60*IV$5</f>
        <v>-619.20000000000005</v>
      </c>
      <c r="IW28" s="116">
        <v>0.86</v>
      </c>
      <c r="IX28" s="44"/>
      <c r="IY28" s="110" t="s">
        <v>217</v>
      </c>
      <c r="IZ28" s="111">
        <f t="shared" ref="IZ28" si="1252">-JA$28*60*IZ$5</f>
        <v>-619.20000000000005</v>
      </c>
      <c r="JA28" s="116">
        <v>0.86</v>
      </c>
      <c r="JB28" s="44"/>
      <c r="JC28" s="110" t="s">
        <v>217</v>
      </c>
      <c r="JD28" s="111">
        <f t="shared" ref="JD28" si="1253">-JE$28*60*JD$5</f>
        <v>-619.20000000000005</v>
      </c>
      <c r="JE28" s="116">
        <v>0.86</v>
      </c>
      <c r="JF28" s="44"/>
      <c r="JG28" s="110" t="s">
        <v>217</v>
      </c>
      <c r="JH28" s="111">
        <f t="shared" ref="JH28" si="1254">-JI$28*60*JH$5</f>
        <v>-619.20000000000005</v>
      </c>
      <c r="JI28" s="116">
        <v>0.86</v>
      </c>
      <c r="JJ28" s="44"/>
      <c r="JK28" s="110" t="s">
        <v>217</v>
      </c>
      <c r="JL28" s="111">
        <f t="shared" ref="JL28" si="1255">-JM$28*60*JL$5</f>
        <v>-670.80000000000007</v>
      </c>
      <c r="JM28" s="116">
        <v>0.86</v>
      </c>
      <c r="JN28" s="44"/>
      <c r="JO28" s="110" t="s">
        <v>217</v>
      </c>
      <c r="JP28" s="111">
        <f t="shared" ref="JP28" si="1256">-JQ$28*60*JP$5</f>
        <v>-670.80000000000007</v>
      </c>
      <c r="JQ28" s="116">
        <v>0.86</v>
      </c>
      <c r="JR28" s="44"/>
      <c r="JS28" s="110" t="s">
        <v>217</v>
      </c>
      <c r="JT28" s="111">
        <f t="shared" ref="JT28" si="1257">-JU$28*60*JT$5</f>
        <v>-670.80000000000007</v>
      </c>
      <c r="JU28" s="116">
        <v>0.86</v>
      </c>
      <c r="JV28" s="44"/>
      <c r="JW28" s="110" t="s">
        <v>217</v>
      </c>
      <c r="JX28" s="111">
        <f t="shared" ref="JX28" si="1258">-JY$28*60*JX$5</f>
        <v>-670.80000000000007</v>
      </c>
      <c r="JY28" s="116">
        <v>0.86</v>
      </c>
      <c r="JZ28" s="44"/>
      <c r="KA28" s="110" t="s">
        <v>217</v>
      </c>
      <c r="KB28" s="111">
        <f t="shared" ref="KB28" si="1259">-KC$28*60*KB$5</f>
        <v>-670.80000000000007</v>
      </c>
      <c r="KC28" s="116">
        <v>0.86</v>
      </c>
      <c r="KD28" s="44"/>
    </row>
    <row r="29" spans="1:290" x14ac:dyDescent="0.25">
      <c r="C29" s="110" t="s">
        <v>219</v>
      </c>
      <c r="D29" s="111">
        <f>-E$29*D$4</f>
        <v>-4032.0000000000005</v>
      </c>
      <c r="E29" s="114">
        <v>0.14000000000000001</v>
      </c>
      <c r="G29" s="110" t="s">
        <v>219</v>
      </c>
      <c r="H29" s="111">
        <f>-I$29*H$4</f>
        <v>-4032.0000000000005</v>
      </c>
      <c r="I29" s="114">
        <v>0.14000000000000001</v>
      </c>
      <c r="K29" s="110" t="s">
        <v>219</v>
      </c>
      <c r="L29" s="111">
        <f t="shared" ref="L29" si="1260">-M$29*L$4</f>
        <v>-4032.0000000000005</v>
      </c>
      <c r="M29" s="114">
        <v>0.14000000000000001</v>
      </c>
      <c r="N29" s="44"/>
      <c r="O29" s="110" t="s">
        <v>219</v>
      </c>
      <c r="P29" s="111">
        <f t="shared" ref="P29" si="1261">-Q$29*P$4</f>
        <v>-4032.0000000000005</v>
      </c>
      <c r="Q29" s="114">
        <v>0.14000000000000001</v>
      </c>
      <c r="R29" s="44"/>
      <c r="S29" s="110" t="s">
        <v>219</v>
      </c>
      <c r="T29" s="111">
        <f t="shared" ref="T29" si="1262">-U$29*T$4</f>
        <v>-4032.0000000000005</v>
      </c>
      <c r="U29" s="114">
        <v>0.14000000000000001</v>
      </c>
      <c r="V29" s="44"/>
      <c r="W29" s="110" t="s">
        <v>219</v>
      </c>
      <c r="X29" s="111">
        <f t="shared" ref="X29" si="1263">-Y$29*X$4</f>
        <v>-4032.0000000000005</v>
      </c>
      <c r="Y29" s="114">
        <v>0.14000000000000001</v>
      </c>
      <c r="Z29" s="44"/>
      <c r="AA29" s="110" t="s">
        <v>219</v>
      </c>
      <c r="AB29" s="111">
        <f t="shared" ref="AB29" si="1264">-AC$29*AB$4</f>
        <v>-4032.0000000000005</v>
      </c>
      <c r="AC29" s="114">
        <v>0.14000000000000001</v>
      </c>
      <c r="AD29" s="44"/>
      <c r="AE29" s="110" t="s">
        <v>219</v>
      </c>
      <c r="AF29" s="111">
        <f t="shared" ref="AF29" si="1265">-AG$29*AF$4</f>
        <v>-5376.0000000000009</v>
      </c>
      <c r="AG29" s="114">
        <v>0.14000000000000001</v>
      </c>
      <c r="AH29" s="44"/>
      <c r="AI29" s="110" t="s">
        <v>219</v>
      </c>
      <c r="AJ29" s="111">
        <f t="shared" ref="AJ29" si="1266">-AK$29*AJ$4</f>
        <v>-5376.0000000000009</v>
      </c>
      <c r="AK29" s="114">
        <v>0.14000000000000001</v>
      </c>
      <c r="AL29" s="44"/>
      <c r="AM29" s="110" t="s">
        <v>219</v>
      </c>
      <c r="AN29" s="111">
        <f t="shared" ref="AN29" si="1267">-AO$29*AN$4</f>
        <v>-5376.0000000000009</v>
      </c>
      <c r="AO29" s="114">
        <v>0.14000000000000001</v>
      </c>
      <c r="AP29" s="44"/>
      <c r="AQ29" s="110" t="s">
        <v>219</v>
      </c>
      <c r="AR29" s="111">
        <f t="shared" ref="AR29" si="1268">-AS$29*AR$4</f>
        <v>-5376.0000000000009</v>
      </c>
      <c r="AS29" s="114">
        <v>0.14000000000000001</v>
      </c>
      <c r="AT29" s="44"/>
      <c r="AU29" s="110" t="s">
        <v>219</v>
      </c>
      <c r="AV29" s="111">
        <f t="shared" ref="AV29" si="1269">-AW$29*AV$4</f>
        <v>-5376.0000000000009</v>
      </c>
      <c r="AW29" s="114">
        <v>0.14000000000000001</v>
      </c>
      <c r="AX29" s="44"/>
      <c r="AY29" s="110" t="s">
        <v>219</v>
      </c>
      <c r="AZ29" s="111">
        <f t="shared" ref="AZ29" si="1270">-BA$29*AZ$4</f>
        <v>-5376.0000000000009</v>
      </c>
      <c r="BA29" s="114">
        <v>0.14000000000000001</v>
      </c>
      <c r="BB29" s="44"/>
      <c r="BC29" s="110" t="s">
        <v>219</v>
      </c>
      <c r="BD29" s="111">
        <f t="shared" ref="BD29" si="1271">-BE$29*BD$4</f>
        <v>-5376.0000000000009</v>
      </c>
      <c r="BE29" s="114">
        <v>0.14000000000000001</v>
      </c>
      <c r="BF29" s="44"/>
      <c r="BG29" s="110" t="s">
        <v>219</v>
      </c>
      <c r="BH29" s="111">
        <f t="shared" ref="BH29" si="1272">-BI$29*BH$4</f>
        <v>-6720.0000000000009</v>
      </c>
      <c r="BI29" s="114">
        <v>0.14000000000000001</v>
      </c>
      <c r="BJ29" s="44"/>
      <c r="BK29" s="110" t="s">
        <v>219</v>
      </c>
      <c r="BL29" s="111">
        <f t="shared" ref="BL29" si="1273">-BM$29*BL$4</f>
        <v>-6720.0000000000009</v>
      </c>
      <c r="BM29" s="114">
        <v>0.14000000000000001</v>
      </c>
      <c r="BN29" s="44"/>
      <c r="BO29" s="110" t="s">
        <v>219</v>
      </c>
      <c r="BP29" s="111">
        <f t="shared" ref="BP29" si="1274">-BQ$29*BP$4</f>
        <v>-6720.0000000000009</v>
      </c>
      <c r="BQ29" s="114">
        <v>0.14000000000000001</v>
      </c>
      <c r="BR29" s="44"/>
      <c r="BS29" s="110" t="s">
        <v>219</v>
      </c>
      <c r="BT29" s="111">
        <f t="shared" ref="BT29" si="1275">-BU$29*BT$4</f>
        <v>-6720.0000000000009</v>
      </c>
      <c r="BU29" s="114">
        <v>0.14000000000000001</v>
      </c>
      <c r="BV29" s="44"/>
      <c r="BW29" s="110" t="s">
        <v>219</v>
      </c>
      <c r="BX29" s="111">
        <f t="shared" ref="BX29" si="1276">-BY$29*BX$4</f>
        <v>-6720.0000000000009</v>
      </c>
      <c r="BY29" s="114">
        <v>0.14000000000000001</v>
      </c>
      <c r="BZ29" s="44"/>
      <c r="CA29" s="110" t="s">
        <v>219</v>
      </c>
      <c r="CB29" s="111">
        <f t="shared" ref="CB29" si="1277">-CC$29*CB$4</f>
        <v>-6720.0000000000009</v>
      </c>
      <c r="CC29" s="114">
        <v>0.14000000000000001</v>
      </c>
      <c r="CD29" s="44"/>
      <c r="CE29" s="110" t="s">
        <v>219</v>
      </c>
      <c r="CF29" s="111">
        <f t="shared" ref="CF29" si="1278">-CG$29*CF$4</f>
        <v>-8064.0000000000009</v>
      </c>
      <c r="CG29" s="114">
        <v>0.14000000000000001</v>
      </c>
      <c r="CH29" s="44"/>
      <c r="CI29" s="110" t="s">
        <v>219</v>
      </c>
      <c r="CJ29" s="111">
        <f t="shared" ref="CJ29" si="1279">-CK$29*CJ$4</f>
        <v>-8064.0000000000009</v>
      </c>
      <c r="CK29" s="114">
        <v>0.14000000000000001</v>
      </c>
      <c r="CL29" s="44"/>
      <c r="CM29" s="110" t="s">
        <v>219</v>
      </c>
      <c r="CN29" s="111">
        <f t="shared" ref="CN29" si="1280">-CO$29*CN$4</f>
        <v>-8064.0000000000009</v>
      </c>
      <c r="CO29" s="114">
        <v>0.14000000000000001</v>
      </c>
      <c r="CP29" s="44"/>
      <c r="CQ29" s="110" t="s">
        <v>219</v>
      </c>
      <c r="CR29" s="111">
        <f t="shared" ref="CR29" si="1281">-CS$29*CR$4</f>
        <v>-8064.0000000000009</v>
      </c>
      <c r="CS29" s="114">
        <v>0.14000000000000001</v>
      </c>
      <c r="CT29" s="44"/>
      <c r="CU29" s="110" t="s">
        <v>219</v>
      </c>
      <c r="CV29" s="111">
        <f t="shared" ref="CV29" si="1282">-CW$29*CV$4</f>
        <v>-8064.0000000000009</v>
      </c>
      <c r="CW29" s="114">
        <v>0.14000000000000001</v>
      </c>
      <c r="CX29" s="44"/>
      <c r="CY29" s="110" t="s">
        <v>219</v>
      </c>
      <c r="CZ29" s="111">
        <f t="shared" ref="CZ29" si="1283">-DA$29*CZ$4</f>
        <v>-8064.0000000000009</v>
      </c>
      <c r="DA29" s="114">
        <v>0.14000000000000001</v>
      </c>
      <c r="DB29" s="44"/>
      <c r="DC29" s="110" t="s">
        <v>219</v>
      </c>
      <c r="DD29" s="111">
        <f t="shared" ref="DD29" si="1284">-DE$29*DD$4</f>
        <v>-8064.0000000000009</v>
      </c>
      <c r="DE29" s="114">
        <v>0.14000000000000001</v>
      </c>
      <c r="DF29" s="44"/>
      <c r="DG29" s="110" t="s">
        <v>219</v>
      </c>
      <c r="DH29" s="111">
        <f t="shared" ref="DH29" si="1285">-DI$29*DH$4</f>
        <v>-9408</v>
      </c>
      <c r="DI29" s="114">
        <v>0.14000000000000001</v>
      </c>
      <c r="DJ29" s="44"/>
      <c r="DK29" s="110" t="s">
        <v>219</v>
      </c>
      <c r="DL29" s="111">
        <f t="shared" ref="DL29" si="1286">-DM$29*DL$4</f>
        <v>-9408</v>
      </c>
      <c r="DM29" s="114">
        <v>0.14000000000000001</v>
      </c>
      <c r="DN29" s="44"/>
      <c r="DO29" s="110" t="s">
        <v>219</v>
      </c>
      <c r="DP29" s="111">
        <f t="shared" ref="DP29" si="1287">-DQ$29*DP$4</f>
        <v>-9408</v>
      </c>
      <c r="DQ29" s="114">
        <v>0.14000000000000001</v>
      </c>
      <c r="DR29" s="44"/>
      <c r="DS29" s="110" t="s">
        <v>219</v>
      </c>
      <c r="DT29" s="111">
        <f t="shared" ref="DT29" si="1288">-DU$29*DT$4</f>
        <v>-9408</v>
      </c>
      <c r="DU29" s="114">
        <v>0.14000000000000001</v>
      </c>
      <c r="DV29" s="44"/>
      <c r="DW29" s="110" t="s">
        <v>219</v>
      </c>
      <c r="DX29" s="111">
        <f t="shared" ref="DX29" si="1289">-DY$29*DX$4</f>
        <v>-9408</v>
      </c>
      <c r="DY29" s="114">
        <v>0.14000000000000001</v>
      </c>
      <c r="DZ29" s="44"/>
      <c r="EA29" s="110" t="s">
        <v>219</v>
      </c>
      <c r="EB29" s="111">
        <f t="shared" ref="EB29" si="1290">-EC$29*EB$4</f>
        <v>-9408</v>
      </c>
      <c r="EC29" s="114">
        <v>0.14000000000000001</v>
      </c>
      <c r="ED29" s="44"/>
      <c r="EE29" s="110" t="s">
        <v>219</v>
      </c>
      <c r="EF29" s="111">
        <f t="shared" ref="EF29" si="1291">-EG$29*EF$4</f>
        <v>-9408</v>
      </c>
      <c r="EG29" s="114">
        <v>0.14000000000000001</v>
      </c>
      <c r="EH29" s="44"/>
      <c r="EI29" s="110" t="s">
        <v>219</v>
      </c>
      <c r="EJ29" s="111">
        <f t="shared" ref="EJ29" si="1292">-EK$29*EJ$4</f>
        <v>-10752.000000000002</v>
      </c>
      <c r="EK29" s="114">
        <v>0.14000000000000001</v>
      </c>
      <c r="EL29" s="44"/>
      <c r="EM29" s="110" t="s">
        <v>219</v>
      </c>
      <c r="EN29" s="111">
        <f t="shared" ref="EN29" si="1293">-EO$29*EN$4</f>
        <v>-10752.000000000002</v>
      </c>
      <c r="EO29" s="114">
        <v>0.14000000000000001</v>
      </c>
      <c r="EP29" s="44"/>
      <c r="EQ29" s="110" t="s">
        <v>219</v>
      </c>
      <c r="ER29" s="111">
        <f t="shared" ref="ER29" si="1294">-ES$29*ER$4</f>
        <v>-10752.000000000002</v>
      </c>
      <c r="ES29" s="114">
        <v>0.14000000000000001</v>
      </c>
      <c r="ET29" s="44"/>
      <c r="EU29" s="110" t="s">
        <v>219</v>
      </c>
      <c r="EV29" s="111">
        <f t="shared" ref="EV29" si="1295">-EW$29*EV$4</f>
        <v>-10752.000000000002</v>
      </c>
      <c r="EW29" s="114">
        <v>0.14000000000000001</v>
      </c>
      <c r="EX29" s="44"/>
      <c r="EY29" s="110" t="s">
        <v>219</v>
      </c>
      <c r="EZ29" s="111">
        <f t="shared" ref="EZ29" si="1296">-FA$29*EZ$4</f>
        <v>-10752.000000000002</v>
      </c>
      <c r="FA29" s="114">
        <v>0.14000000000000001</v>
      </c>
      <c r="FB29" s="44"/>
      <c r="FC29" s="110" t="s">
        <v>219</v>
      </c>
      <c r="FD29" s="111">
        <f t="shared" ref="FD29" si="1297">-FE$29*FD$4</f>
        <v>-10752.000000000002</v>
      </c>
      <c r="FE29" s="114">
        <v>0.14000000000000001</v>
      </c>
      <c r="FF29" s="44"/>
      <c r="FG29" s="110" t="s">
        <v>219</v>
      </c>
      <c r="FH29" s="111">
        <f t="shared" ref="FH29" si="1298">-FI$29*FH$4</f>
        <v>-12096.000000000002</v>
      </c>
      <c r="FI29" s="114">
        <v>0.14000000000000001</v>
      </c>
      <c r="FJ29" s="44"/>
      <c r="FK29" s="110" t="s">
        <v>219</v>
      </c>
      <c r="FL29" s="111">
        <f t="shared" ref="FL29" si="1299">-FM$29*FL$4</f>
        <v>-12096.000000000002</v>
      </c>
      <c r="FM29" s="114">
        <v>0.14000000000000001</v>
      </c>
      <c r="FN29" s="44"/>
      <c r="FO29" s="110" t="s">
        <v>219</v>
      </c>
      <c r="FP29" s="111">
        <f t="shared" ref="FP29" si="1300">-FQ$29*FP$4</f>
        <v>-12096.000000000002</v>
      </c>
      <c r="FQ29" s="114">
        <v>0.14000000000000001</v>
      </c>
      <c r="FR29" s="44"/>
      <c r="FS29" s="110" t="s">
        <v>219</v>
      </c>
      <c r="FT29" s="111">
        <f t="shared" ref="FT29" si="1301">-FU$29*FT$4</f>
        <v>-12096.000000000002</v>
      </c>
      <c r="FU29" s="114">
        <v>0.14000000000000001</v>
      </c>
      <c r="FV29" s="44"/>
      <c r="FW29" s="110" t="s">
        <v>219</v>
      </c>
      <c r="FX29" s="111">
        <f t="shared" ref="FX29" si="1302">-FY$29*FX$4</f>
        <v>-12096.000000000002</v>
      </c>
      <c r="FY29" s="114">
        <v>0.14000000000000001</v>
      </c>
      <c r="FZ29" s="44"/>
      <c r="GA29" s="110" t="s">
        <v>219</v>
      </c>
      <c r="GB29" s="111">
        <f t="shared" ref="GB29" si="1303">-GC$29*GB$4</f>
        <v>-12096.000000000002</v>
      </c>
      <c r="GC29" s="114">
        <v>0.14000000000000001</v>
      </c>
      <c r="GD29" s="44"/>
      <c r="GE29" s="110" t="s">
        <v>219</v>
      </c>
      <c r="GF29" s="111">
        <f t="shared" ref="GF29" si="1304">-GG$29*GF$4</f>
        <v>-12096.000000000002</v>
      </c>
      <c r="GG29" s="114">
        <v>0.14000000000000001</v>
      </c>
      <c r="GH29" s="44"/>
      <c r="GI29" s="110" t="s">
        <v>219</v>
      </c>
      <c r="GJ29" s="111">
        <f t="shared" ref="GJ29" si="1305">-GK$29*GJ$4</f>
        <v>-13440.000000000002</v>
      </c>
      <c r="GK29" s="114">
        <v>0.14000000000000001</v>
      </c>
      <c r="GL29" s="44"/>
      <c r="GM29" s="110" t="s">
        <v>219</v>
      </c>
      <c r="GN29" s="111">
        <f t="shared" ref="GN29" si="1306">-GO$29*GN$4</f>
        <v>-13440.000000000002</v>
      </c>
      <c r="GO29" s="114">
        <v>0.14000000000000001</v>
      </c>
      <c r="GP29" s="44"/>
      <c r="GQ29" s="110" t="s">
        <v>219</v>
      </c>
      <c r="GR29" s="111">
        <f t="shared" ref="GR29" si="1307">-GS$29*GR$4</f>
        <v>-13440.000000000002</v>
      </c>
      <c r="GS29" s="114">
        <v>0.14000000000000001</v>
      </c>
      <c r="GT29" s="44"/>
      <c r="GU29" s="110" t="s">
        <v>219</v>
      </c>
      <c r="GV29" s="111">
        <f t="shared" ref="GV29" si="1308">-GW$29*GV$4</f>
        <v>-13440.000000000002</v>
      </c>
      <c r="GW29" s="114">
        <v>0.14000000000000001</v>
      </c>
      <c r="GX29" s="44"/>
      <c r="GY29" s="110" t="s">
        <v>219</v>
      </c>
      <c r="GZ29" s="111">
        <f t="shared" ref="GZ29" si="1309">-HA$29*GZ$4</f>
        <v>-13440.000000000002</v>
      </c>
      <c r="HA29" s="114">
        <v>0.14000000000000001</v>
      </c>
      <c r="HB29" s="44"/>
      <c r="HC29" s="110" t="s">
        <v>219</v>
      </c>
      <c r="HD29" s="111">
        <f t="shared" ref="HD29" si="1310">-HE$29*HD$4</f>
        <v>-13440.000000000002</v>
      </c>
      <c r="HE29" s="114">
        <v>0.14000000000000001</v>
      </c>
      <c r="HF29" s="44"/>
      <c r="HG29" s="110" t="s">
        <v>219</v>
      </c>
      <c r="HH29" s="111">
        <f t="shared" ref="HH29" si="1311">-HI$29*HH$4</f>
        <v>-13440.000000000002</v>
      </c>
      <c r="HI29" s="114">
        <v>0.14000000000000001</v>
      </c>
      <c r="HJ29" s="44"/>
      <c r="HK29" s="110" t="s">
        <v>219</v>
      </c>
      <c r="HL29" s="111">
        <f t="shared" ref="HL29" si="1312">-HM$29*HL$4</f>
        <v>-14784.000000000002</v>
      </c>
      <c r="HM29" s="114">
        <v>0.14000000000000001</v>
      </c>
      <c r="HN29" s="44"/>
      <c r="HO29" s="110" t="s">
        <v>219</v>
      </c>
      <c r="HP29" s="111">
        <f t="shared" ref="HP29" si="1313">-HQ$29*HP$4</f>
        <v>-14784.000000000002</v>
      </c>
      <c r="HQ29" s="114">
        <v>0.14000000000000001</v>
      </c>
      <c r="HR29" s="44"/>
      <c r="HS29" s="110" t="s">
        <v>219</v>
      </c>
      <c r="HT29" s="111">
        <f t="shared" ref="HT29" si="1314">-HU$29*HT$4</f>
        <v>-14784.000000000002</v>
      </c>
      <c r="HU29" s="114">
        <v>0.14000000000000001</v>
      </c>
      <c r="HV29" s="44"/>
      <c r="HW29" s="110" t="s">
        <v>219</v>
      </c>
      <c r="HX29" s="111">
        <f t="shared" ref="HX29" si="1315">-HY$29*HX$4</f>
        <v>-14784.000000000002</v>
      </c>
      <c r="HY29" s="114">
        <v>0.14000000000000001</v>
      </c>
      <c r="HZ29" s="44"/>
      <c r="IA29" s="110" t="s">
        <v>219</v>
      </c>
      <c r="IB29" s="111">
        <f t="shared" ref="IB29" si="1316">-IC$29*IB$4</f>
        <v>-14784.000000000002</v>
      </c>
      <c r="IC29" s="114">
        <v>0.14000000000000001</v>
      </c>
      <c r="ID29" s="44"/>
      <c r="IE29" s="110" t="s">
        <v>219</v>
      </c>
      <c r="IF29" s="111">
        <f t="shared" ref="IF29" si="1317">-IG$29*IF$4</f>
        <v>-14784.000000000002</v>
      </c>
      <c r="IG29" s="114">
        <v>0.14000000000000001</v>
      </c>
      <c r="IH29" s="44"/>
      <c r="II29" s="110" t="s">
        <v>219</v>
      </c>
      <c r="IJ29" s="111">
        <f t="shared" ref="IJ29" si="1318">-IK$29*IJ$4</f>
        <v>-16128.000000000002</v>
      </c>
      <c r="IK29" s="114">
        <v>0.14000000000000001</v>
      </c>
      <c r="IL29" s="44"/>
      <c r="IM29" s="110" t="s">
        <v>219</v>
      </c>
      <c r="IN29" s="111">
        <f t="shared" ref="IN29" si="1319">-IO$29*IN$4</f>
        <v>-16128.000000000002</v>
      </c>
      <c r="IO29" s="114">
        <v>0.14000000000000001</v>
      </c>
      <c r="IP29" s="44"/>
      <c r="IQ29" s="110" t="s">
        <v>219</v>
      </c>
      <c r="IR29" s="111">
        <f t="shared" ref="IR29" si="1320">-IS$29*IR$4</f>
        <v>-16128.000000000002</v>
      </c>
      <c r="IS29" s="114">
        <v>0.14000000000000001</v>
      </c>
      <c r="IT29" s="44"/>
      <c r="IU29" s="110" t="s">
        <v>219</v>
      </c>
      <c r="IV29" s="111">
        <f t="shared" ref="IV29" si="1321">-IW$29*IV$4</f>
        <v>-16128.000000000002</v>
      </c>
      <c r="IW29" s="114">
        <v>0.14000000000000001</v>
      </c>
      <c r="IX29" s="44"/>
      <c r="IY29" s="110" t="s">
        <v>219</v>
      </c>
      <c r="IZ29" s="111">
        <f t="shared" ref="IZ29" si="1322">-JA$29*IZ$4</f>
        <v>-16128.000000000002</v>
      </c>
      <c r="JA29" s="114">
        <v>0.14000000000000001</v>
      </c>
      <c r="JB29" s="44"/>
      <c r="JC29" s="110" t="s">
        <v>219</v>
      </c>
      <c r="JD29" s="111">
        <f t="shared" ref="JD29" si="1323">-JE$29*JD$4</f>
        <v>-16128.000000000002</v>
      </c>
      <c r="JE29" s="114">
        <v>0.14000000000000001</v>
      </c>
      <c r="JF29" s="44"/>
      <c r="JG29" s="110" t="s">
        <v>219</v>
      </c>
      <c r="JH29" s="111">
        <f t="shared" ref="JH29" si="1324">-JI$29*JH$4</f>
        <v>-16128.000000000002</v>
      </c>
      <c r="JI29" s="114">
        <v>0.14000000000000001</v>
      </c>
      <c r="JJ29" s="44"/>
      <c r="JK29" s="110" t="s">
        <v>219</v>
      </c>
      <c r="JL29" s="111">
        <f t="shared" ref="JL29" si="1325">-JM$29*JL$4</f>
        <v>-17472</v>
      </c>
      <c r="JM29" s="114">
        <v>0.14000000000000001</v>
      </c>
      <c r="JN29" s="44"/>
      <c r="JO29" s="110" t="s">
        <v>219</v>
      </c>
      <c r="JP29" s="111">
        <f t="shared" ref="JP29" si="1326">-JQ$29*JP$4</f>
        <v>-17472</v>
      </c>
      <c r="JQ29" s="114">
        <v>0.14000000000000001</v>
      </c>
      <c r="JR29" s="44"/>
      <c r="JS29" s="110" t="s">
        <v>219</v>
      </c>
      <c r="JT29" s="111">
        <f t="shared" ref="JT29" si="1327">-JU$29*JT$4</f>
        <v>-17472</v>
      </c>
      <c r="JU29" s="114">
        <v>0.14000000000000001</v>
      </c>
      <c r="JV29" s="44"/>
      <c r="JW29" s="110" t="s">
        <v>219</v>
      </c>
      <c r="JX29" s="111">
        <f t="shared" ref="JX29" si="1328">-JY$29*JX$4</f>
        <v>-17472</v>
      </c>
      <c r="JY29" s="114">
        <v>0.14000000000000001</v>
      </c>
      <c r="JZ29" s="44"/>
      <c r="KA29" s="110" t="s">
        <v>219</v>
      </c>
      <c r="KB29" s="111">
        <f t="shared" ref="KB29" si="1329">-KC$29*KB$4</f>
        <v>-17472</v>
      </c>
      <c r="KC29" s="114">
        <v>0.14000000000000001</v>
      </c>
      <c r="KD29" s="44"/>
    </row>
    <row r="30" spans="1:290" x14ac:dyDescent="0.25">
      <c r="H30" s="44"/>
      <c r="I30" s="44"/>
      <c r="K30" s="37"/>
      <c r="L30" s="44"/>
      <c r="M30" s="44"/>
      <c r="N30" s="44"/>
      <c r="O30" s="37"/>
      <c r="P30" s="44"/>
      <c r="Q30" s="44"/>
      <c r="R30" s="44"/>
      <c r="S30" s="37"/>
      <c r="T30" s="44"/>
      <c r="U30" s="44"/>
      <c r="V30" s="44"/>
      <c r="W30" s="37"/>
      <c r="X30" s="44"/>
      <c r="Y30" s="44"/>
      <c r="Z30" s="44"/>
      <c r="AA30" s="37"/>
      <c r="AB30" s="44"/>
      <c r="AC30" s="44"/>
      <c r="AD30" s="44"/>
      <c r="AE30" s="37"/>
      <c r="AF30" s="44"/>
      <c r="AG30" s="44"/>
      <c r="AH30" s="44"/>
      <c r="AI30" s="37"/>
      <c r="AJ30" s="44"/>
      <c r="AK30" s="44"/>
      <c r="AL30" s="44"/>
      <c r="AM30" s="37"/>
      <c r="AN30" s="44"/>
      <c r="AO30" s="44"/>
      <c r="AP30" s="44"/>
      <c r="AQ30" s="37"/>
      <c r="AR30" s="44"/>
      <c r="AS30" s="44"/>
      <c r="AT30" s="44"/>
      <c r="AU30" s="37"/>
      <c r="AV30" s="44"/>
      <c r="AW30" s="44"/>
      <c r="AX30" s="44"/>
      <c r="AY30" s="37"/>
      <c r="AZ30" s="44"/>
      <c r="BA30" s="44"/>
      <c r="BB30" s="44"/>
      <c r="BC30" s="37"/>
      <c r="BD30" s="44"/>
      <c r="BE30" s="44"/>
      <c r="BF30" s="44"/>
      <c r="BG30" s="37"/>
      <c r="BH30" s="44"/>
      <c r="BI30" s="44"/>
      <c r="BJ30" s="44"/>
      <c r="BK30" s="37"/>
      <c r="BL30" s="44"/>
      <c r="BM30" s="44"/>
      <c r="BN30" s="44"/>
      <c r="BO30" s="37"/>
      <c r="BP30" s="44"/>
      <c r="BQ30" s="44"/>
      <c r="BR30" s="44"/>
      <c r="BS30" s="37"/>
      <c r="BT30" s="44"/>
      <c r="BU30" s="44"/>
      <c r="BV30" s="44"/>
      <c r="BW30" s="37"/>
      <c r="BX30" s="44"/>
      <c r="BY30" s="44"/>
      <c r="BZ30" s="44"/>
      <c r="CA30" s="37"/>
      <c r="CB30" s="44"/>
      <c r="CC30" s="44"/>
      <c r="CD30" s="44"/>
      <c r="CE30" s="37"/>
      <c r="CF30" s="44"/>
      <c r="CG30" s="44"/>
      <c r="CH30" s="44"/>
      <c r="CI30" s="37"/>
      <c r="CJ30" s="44"/>
      <c r="CK30" s="44"/>
      <c r="CL30" s="44"/>
      <c r="CM30" s="37"/>
      <c r="CN30" s="44"/>
      <c r="CO30" s="44"/>
      <c r="CP30" s="44"/>
      <c r="CQ30" s="37"/>
      <c r="CR30" s="44"/>
      <c r="CS30" s="44"/>
      <c r="CT30" s="44"/>
      <c r="CU30" s="37"/>
      <c r="CV30" s="44"/>
      <c r="CW30" s="44"/>
      <c r="CX30" s="44"/>
      <c r="CY30" s="37"/>
      <c r="CZ30" s="44"/>
      <c r="DA30" s="44"/>
      <c r="DB30" s="44"/>
      <c r="DC30" s="37"/>
      <c r="DD30" s="44"/>
      <c r="DE30" s="44"/>
      <c r="DF30" s="44"/>
      <c r="DG30" s="37"/>
      <c r="DH30" s="44"/>
      <c r="DI30" s="44"/>
      <c r="DJ30" s="44"/>
      <c r="DK30" s="37"/>
      <c r="DL30" s="44"/>
      <c r="DM30" s="44"/>
      <c r="DN30" s="44"/>
      <c r="DO30" s="37"/>
      <c r="DP30" s="44"/>
      <c r="DQ30" s="44"/>
      <c r="DR30" s="44"/>
      <c r="DS30" s="37"/>
      <c r="DT30" s="44"/>
      <c r="DU30" s="44"/>
      <c r="DV30" s="44"/>
      <c r="DW30" s="37"/>
      <c r="DX30" s="44"/>
      <c r="DY30" s="44"/>
      <c r="DZ30" s="44"/>
      <c r="EA30" s="37"/>
      <c r="EB30" s="44"/>
      <c r="EC30" s="44"/>
      <c r="ED30" s="44"/>
      <c r="EE30" s="37"/>
      <c r="EF30" s="44"/>
      <c r="EG30" s="44"/>
      <c r="EH30" s="44"/>
      <c r="EI30" s="37"/>
      <c r="EJ30" s="44"/>
      <c r="EK30" s="44"/>
      <c r="EL30" s="44"/>
      <c r="EM30" s="37"/>
      <c r="EN30" s="44"/>
      <c r="EO30" s="44"/>
      <c r="EP30" s="44"/>
      <c r="EQ30" s="37"/>
      <c r="ER30" s="44"/>
      <c r="ES30" s="44"/>
      <c r="ET30" s="44"/>
      <c r="EU30" s="37"/>
      <c r="EV30" s="44"/>
      <c r="EW30" s="44"/>
      <c r="EX30" s="44"/>
      <c r="EY30" s="37"/>
      <c r="EZ30" s="44"/>
      <c r="FA30" s="44"/>
      <c r="FB30" s="44"/>
      <c r="FC30" s="37"/>
      <c r="FD30" s="44"/>
      <c r="FE30" s="44"/>
      <c r="FF30" s="44"/>
      <c r="FG30" s="37"/>
      <c r="FH30" s="44"/>
      <c r="FI30" s="44"/>
      <c r="FJ30" s="44"/>
      <c r="FK30" s="37"/>
      <c r="FL30" s="44"/>
      <c r="FM30" s="44"/>
      <c r="FN30" s="44"/>
      <c r="FO30" s="37"/>
      <c r="FP30" s="44"/>
      <c r="FQ30" s="44"/>
      <c r="FR30" s="44"/>
      <c r="FS30" s="37"/>
      <c r="FT30" s="44"/>
      <c r="FU30" s="44"/>
      <c r="FV30" s="44"/>
      <c r="FW30" s="37"/>
      <c r="FX30" s="44"/>
      <c r="FY30" s="44"/>
      <c r="FZ30" s="44"/>
      <c r="GA30" s="37"/>
      <c r="GB30" s="44"/>
      <c r="GC30" s="44"/>
      <c r="GD30" s="44"/>
      <c r="GE30" s="37"/>
      <c r="GF30" s="44"/>
      <c r="GG30" s="44"/>
      <c r="GH30" s="44"/>
      <c r="GI30" s="37"/>
      <c r="GJ30" s="44"/>
      <c r="GK30" s="44"/>
      <c r="GL30" s="44"/>
      <c r="GM30" s="37"/>
      <c r="GN30" s="44"/>
      <c r="GO30" s="44"/>
      <c r="GP30" s="44"/>
      <c r="GQ30" s="37"/>
      <c r="GR30" s="44"/>
      <c r="GS30" s="44"/>
      <c r="GT30" s="44"/>
      <c r="GU30" s="37"/>
      <c r="GV30" s="44"/>
      <c r="GW30" s="44"/>
      <c r="GX30" s="44"/>
      <c r="GY30" s="37"/>
      <c r="GZ30" s="44"/>
      <c r="HA30" s="44"/>
      <c r="HB30" s="44"/>
      <c r="HC30" s="37"/>
      <c r="HD30" s="44"/>
      <c r="HE30" s="44"/>
      <c r="HF30" s="44"/>
      <c r="HG30" s="37"/>
      <c r="HH30" s="44"/>
      <c r="HI30" s="44"/>
      <c r="HJ30" s="44"/>
      <c r="HK30" s="37"/>
      <c r="HL30" s="44"/>
      <c r="HM30" s="44"/>
      <c r="HN30" s="44"/>
      <c r="HO30" s="37"/>
      <c r="HP30" s="44"/>
      <c r="HQ30" s="44"/>
      <c r="HR30" s="44"/>
      <c r="HS30" s="37"/>
      <c r="HT30" s="44"/>
      <c r="HU30" s="44"/>
      <c r="HV30" s="44"/>
      <c r="HW30" s="37"/>
      <c r="HX30" s="44"/>
      <c r="HY30" s="44"/>
      <c r="HZ30" s="44"/>
      <c r="IA30" s="37"/>
      <c r="IB30" s="44"/>
      <c r="IC30" s="44"/>
      <c r="ID30" s="44"/>
      <c r="IE30" s="37"/>
      <c r="IF30" s="44"/>
      <c r="IG30" s="44"/>
      <c r="IH30" s="44"/>
      <c r="II30" s="37"/>
      <c r="IJ30" s="44"/>
      <c r="IK30" s="44"/>
      <c r="IL30" s="44"/>
      <c r="IM30" s="37"/>
      <c r="IN30" s="44"/>
      <c r="IO30" s="44"/>
      <c r="IP30" s="44"/>
      <c r="IQ30" s="37"/>
      <c r="IR30" s="44"/>
      <c r="IS30" s="44"/>
      <c r="IT30" s="44"/>
      <c r="IU30" s="37"/>
      <c r="IV30" s="44"/>
      <c r="IW30" s="44"/>
      <c r="IX30" s="44"/>
      <c r="IY30" s="37"/>
      <c r="IZ30" s="44"/>
      <c r="JA30" s="44"/>
      <c r="JB30" s="44"/>
      <c r="JC30" s="37"/>
      <c r="JD30" s="44"/>
      <c r="JE30" s="44"/>
      <c r="JF30" s="44"/>
      <c r="JG30" s="37"/>
      <c r="JH30" s="44"/>
      <c r="JI30" s="44"/>
      <c r="JJ30" s="44"/>
      <c r="JK30" s="37"/>
      <c r="JL30" s="44"/>
      <c r="JM30" s="44"/>
      <c r="JN30" s="44"/>
      <c r="JO30" s="37"/>
      <c r="JP30" s="44"/>
      <c r="JQ30" s="44"/>
      <c r="JR30" s="44"/>
      <c r="JS30" s="37"/>
      <c r="JT30" s="44"/>
      <c r="JU30" s="44"/>
      <c r="JV30" s="44"/>
      <c r="JW30" s="37"/>
      <c r="JX30" s="44"/>
      <c r="JY30" s="44"/>
      <c r="JZ30" s="44"/>
      <c r="KA30" s="37"/>
      <c r="KB30" s="44"/>
      <c r="KC30" s="44"/>
      <c r="KD30" s="44"/>
    </row>
    <row r="31" spans="1:290" x14ac:dyDescent="0.25">
      <c r="C31" s="1" t="s">
        <v>225</v>
      </c>
      <c r="D31" s="19">
        <f ca="1">SUM(D$11:D$29)</f>
        <v>-132220.16803230922</v>
      </c>
      <c r="G31" s="1" t="s">
        <v>225</v>
      </c>
      <c r="H31" s="19">
        <f ca="1">SUM(H$11:H$29)</f>
        <v>-21633.499525382103</v>
      </c>
      <c r="I31" s="44"/>
      <c r="K31" s="1" t="s">
        <v>225</v>
      </c>
      <c r="L31" s="19">
        <f t="shared" ref="L31" ca="1" si="1330">SUM(L$11:L$29)</f>
        <v>-21702.218328868901</v>
      </c>
      <c r="M31" s="44"/>
      <c r="N31" s="44"/>
      <c r="O31" s="1" t="s">
        <v>225</v>
      </c>
      <c r="P31" s="19">
        <f t="shared" ref="P31" ca="1" si="1331">SUM(P$11:P$29)</f>
        <v>-51956.832449476853</v>
      </c>
      <c r="Q31" s="44"/>
      <c r="R31" s="44"/>
      <c r="S31" s="1" t="s">
        <v>225</v>
      </c>
      <c r="T31" s="19">
        <f t="shared" ref="T31" ca="1" si="1332">SUM(T$11:T$29)</f>
        <v>-21808.150309541925</v>
      </c>
      <c r="U31" s="44"/>
      <c r="V31" s="44"/>
      <c r="W31" s="1" t="s">
        <v>225</v>
      </c>
      <c r="X31" s="19">
        <f t="shared" ref="X31" ca="1" si="1333">SUM(X$11:X$29)</f>
        <v>-21815.42057992937</v>
      </c>
      <c r="Y31" s="44"/>
      <c r="Z31" s="44"/>
      <c r="AA31" s="1" t="s">
        <v>225</v>
      </c>
      <c r="AB31" s="19">
        <f t="shared" ref="AB31" ca="1" si="1334">SUM(AB$11:AB$29)</f>
        <v>-59599.601613159699</v>
      </c>
      <c r="AC31" s="44"/>
      <c r="AD31" s="44"/>
      <c r="AE31" s="1" t="s">
        <v>225</v>
      </c>
      <c r="AF31" s="19">
        <f t="shared" ref="AF31" ca="1" si="1335">SUM(AF$11:AF$29)</f>
        <v>-26680.118907318341</v>
      </c>
      <c r="AG31" s="44"/>
      <c r="AH31" s="44"/>
      <c r="AI31" s="1" t="s">
        <v>225</v>
      </c>
      <c r="AJ31" s="19">
        <f t="shared" ref="AJ31" ca="1" si="1336">SUM(AJ$11:AJ$29)</f>
        <v>-26671.543687956677</v>
      </c>
      <c r="AK31" s="44"/>
      <c r="AL31" s="44"/>
      <c r="AM31" s="1" t="s">
        <v>225</v>
      </c>
      <c r="AN31" s="19">
        <f t="shared" ref="AN31" ca="1" si="1337">SUM(AN$11:AN$29)</f>
        <v>-66378.720094364093</v>
      </c>
      <c r="AO31" s="44"/>
      <c r="AP31" s="44"/>
      <c r="AQ31" s="1" t="s">
        <v>225</v>
      </c>
      <c r="AR31" s="19">
        <f t="shared" ref="AR31" ca="1" si="1338">SUM(AR$11:AR$29)</f>
        <v>-26647.764400418804</v>
      </c>
      <c r="AS31" s="44"/>
      <c r="AT31" s="44"/>
      <c r="AU31" s="1" t="s">
        <v>225</v>
      </c>
      <c r="AV31" s="19">
        <f t="shared" ref="AV31" ca="1" si="1339">SUM(AV$11:AV$29)</f>
        <v>-27497.738056949929</v>
      </c>
      <c r="AW31" s="44"/>
      <c r="AX31" s="44"/>
      <c r="AY31" s="1" t="s">
        <v>225</v>
      </c>
      <c r="AZ31" s="19">
        <f t="shared" ref="AZ31" ca="1" si="1340">SUM(AZ$11:AZ$29)</f>
        <v>-70702.92527879827</v>
      </c>
      <c r="BA31" s="44"/>
      <c r="BB31" s="44"/>
      <c r="BC31" s="1" t="s">
        <v>225</v>
      </c>
      <c r="BD31" s="19">
        <f t="shared" ref="BD31" ca="1" si="1341">SUM(BD$11:BD$29)</f>
        <v>-27496.851289387963</v>
      </c>
      <c r="BE31" s="44"/>
      <c r="BF31" s="44"/>
      <c r="BG31" s="1" t="s">
        <v>225</v>
      </c>
      <c r="BH31" s="19">
        <f t="shared" ref="BH31" ca="1" si="1342">SUM(BH$11:BH$29)</f>
        <v>-31595.768247363856</v>
      </c>
      <c r="BI31" s="44"/>
      <c r="BJ31" s="44"/>
      <c r="BK31" s="1" t="s">
        <v>225</v>
      </c>
      <c r="BL31" s="19">
        <f t="shared" ref="BL31" ca="1" si="1343">SUM(BL$11:BL$29)</f>
        <v>-82566.150777712857</v>
      </c>
      <c r="BM31" s="44"/>
      <c r="BN31" s="44"/>
      <c r="BO31" s="1" t="s">
        <v>225</v>
      </c>
      <c r="BP31" s="19">
        <f t="shared" ref="BP31" ca="1" si="1344">SUM(BP$11:BP$29)</f>
        <v>-31723.920896273743</v>
      </c>
      <c r="BQ31" s="44"/>
      <c r="BR31" s="44"/>
      <c r="BS31" s="1" t="s">
        <v>225</v>
      </c>
      <c r="BT31" s="19">
        <f t="shared" ref="BT31" ca="1" si="1345">SUM(BT$11:BT$29)</f>
        <v>-31408.799044954929</v>
      </c>
      <c r="BU31" s="44"/>
      <c r="BV31" s="44"/>
      <c r="BW31" s="1" t="s">
        <v>225</v>
      </c>
      <c r="BX31" s="19">
        <f t="shared" ref="BX31" ca="1" si="1346">SUM(BX$11:BX$29)</f>
        <v>-80777.782417520837</v>
      </c>
      <c r="BY31" s="44"/>
      <c r="BZ31" s="44"/>
      <c r="CA31" s="1" t="s">
        <v>225</v>
      </c>
      <c r="CB31" s="19">
        <f t="shared" ref="CB31" ca="1" si="1347">SUM(CB$11:CB$29)</f>
        <v>-31376.493882216499</v>
      </c>
      <c r="CC31" s="44"/>
      <c r="CD31" s="44"/>
      <c r="CE31" s="1" t="s">
        <v>225</v>
      </c>
      <c r="CF31" s="19">
        <f t="shared" ref="CF31" ca="1" si="1348">SUM(CF$11:CF$29)</f>
        <v>-35464.484621261785</v>
      </c>
      <c r="CG31" s="44"/>
      <c r="CH31" s="44"/>
      <c r="CI31" s="1" t="s">
        <v>225</v>
      </c>
      <c r="CJ31" s="19">
        <f t="shared" ref="CJ31" ca="1" si="1349">SUM(CJ$11:CJ$29)</f>
        <v>-91227.829726932148</v>
      </c>
      <c r="CK31" s="44"/>
      <c r="CL31" s="44"/>
      <c r="CM31" s="1" t="s">
        <v>225</v>
      </c>
      <c r="CN31" s="19">
        <f t="shared" ref="CN31" ca="1" si="1350">SUM(CN$11:CN$29)</f>
        <v>-35497.191590952585</v>
      </c>
      <c r="CO31" s="44"/>
      <c r="CP31" s="44"/>
      <c r="CQ31" s="1" t="s">
        <v>225</v>
      </c>
      <c r="CR31" s="19">
        <f t="shared" ref="CR31" ca="1" si="1351">SUM(CR$11:CR$29)</f>
        <v>-35480.549130319261</v>
      </c>
      <c r="CS31" s="44"/>
      <c r="CT31" s="44"/>
      <c r="CU31" s="1" t="s">
        <v>225</v>
      </c>
      <c r="CV31" s="19">
        <f t="shared" ref="CV31" ca="1" si="1352">SUM(CV$11:CV$29)</f>
        <v>-91378.494719429043</v>
      </c>
      <c r="CW31" s="44"/>
      <c r="CX31" s="44"/>
      <c r="CY31" s="1" t="s">
        <v>225</v>
      </c>
      <c r="CZ31" s="19">
        <f t="shared" ref="CZ31" ca="1" si="1353">SUM(CZ$11:CZ$29)</f>
        <v>-35498.041951988351</v>
      </c>
      <c r="DA31" s="44"/>
      <c r="DB31" s="44"/>
      <c r="DC31" s="1" t="s">
        <v>225</v>
      </c>
      <c r="DD31" s="19">
        <f t="shared" ref="DD31" ca="1" si="1354">SUM(DD$11:DD$29)</f>
        <v>-35474.824013942562</v>
      </c>
      <c r="DE31" s="44"/>
      <c r="DF31" s="44"/>
      <c r="DG31" s="1" t="s">
        <v>225</v>
      </c>
      <c r="DH31" s="19">
        <f t="shared" ref="DH31" ca="1" si="1355">SUM(DH$11:DH$29)</f>
        <v>-105819.93120038994</v>
      </c>
      <c r="DI31" s="44"/>
      <c r="DJ31" s="44"/>
      <c r="DK31" s="1" t="s">
        <v>225</v>
      </c>
      <c r="DL31" s="19">
        <f t="shared" ref="DL31" ca="1" si="1356">SUM(DL$11:DL$29)</f>
        <v>-39696.475567184782</v>
      </c>
      <c r="DM31" s="44"/>
      <c r="DN31" s="44"/>
      <c r="DO31" s="1" t="s">
        <v>225</v>
      </c>
      <c r="DP31" s="19">
        <f t="shared" ref="DP31" ca="1" si="1357">SUM(DP$11:DP$29)</f>
        <v>-39701.646174195383</v>
      </c>
      <c r="DQ31" s="44"/>
      <c r="DR31" s="44"/>
      <c r="DS31" s="1" t="s">
        <v>225</v>
      </c>
      <c r="DT31" s="19">
        <f t="shared" ref="DT31" ca="1" si="1358">SUM(DT$11:DT$29)</f>
        <v>-106594.10782967313</v>
      </c>
      <c r="DU31" s="44"/>
      <c r="DV31" s="44"/>
      <c r="DW31" s="1" t="s">
        <v>225</v>
      </c>
      <c r="DX31" s="19">
        <f t="shared" ref="DX31" ca="1" si="1359">SUM(DX$11:DX$29)</f>
        <v>-40532.412915055058</v>
      </c>
      <c r="DY31" s="44"/>
      <c r="DZ31" s="44"/>
      <c r="EA31" s="1" t="s">
        <v>225</v>
      </c>
      <c r="EB31" s="19">
        <f t="shared" ref="EB31" ca="1" si="1360">SUM(EB$11:EB$29)</f>
        <v>-40543.804855549977</v>
      </c>
      <c r="EC31" s="44"/>
      <c r="ED31" s="44"/>
      <c r="EE31" s="1" t="s">
        <v>225</v>
      </c>
      <c r="EF31" s="19">
        <f t="shared" ref="EF31" ca="1" si="1361">SUM(EF$11:EF$29)</f>
        <v>-113932.21288863583</v>
      </c>
      <c r="EG31" s="44"/>
      <c r="EH31" s="44"/>
      <c r="EI31" s="1" t="s">
        <v>225</v>
      </c>
      <c r="EJ31" s="19">
        <f t="shared" ref="EJ31" ca="1" si="1362">SUM(EJ$11:EJ$29)</f>
        <v>-44756.168469555138</v>
      </c>
      <c r="EK31" s="44"/>
      <c r="EL31" s="44"/>
      <c r="EM31" s="1" t="s">
        <v>225</v>
      </c>
      <c r="EN31" s="19">
        <f t="shared" ref="EN31" ca="1" si="1363">SUM(EN$11:EN$29)</f>
        <v>-44778.554373774816</v>
      </c>
      <c r="EO31" s="44"/>
      <c r="EP31" s="44"/>
      <c r="EQ31" s="1" t="s">
        <v>225</v>
      </c>
      <c r="ER31" s="19">
        <f t="shared" ref="ER31" ca="1" si="1364">SUM(ER$11:ER$29)</f>
        <v>-130783.951042231</v>
      </c>
      <c r="ES31" s="44"/>
      <c r="ET31" s="44"/>
      <c r="EU31" s="1" t="s">
        <v>225</v>
      </c>
      <c r="EV31" s="19">
        <f t="shared" ref="EV31" ca="1" si="1365">SUM(EV$11:EV$29)</f>
        <v>-45840.0694880999</v>
      </c>
      <c r="EW31" s="44"/>
      <c r="EX31" s="44"/>
      <c r="EY31" s="1" t="s">
        <v>225</v>
      </c>
      <c r="EZ31" s="19">
        <f t="shared" ref="EZ31" ca="1" si="1366">SUM(EZ$11:EZ$29)</f>
        <v>-47429.211504479186</v>
      </c>
      <c r="FA31" s="44"/>
      <c r="FB31" s="44"/>
      <c r="FC31" s="1" t="s">
        <v>225</v>
      </c>
      <c r="FD31" s="19">
        <f t="shared" ref="FD31" ca="1" si="1367">SUM(FD$11:FD$29)</f>
        <v>-164335.51052119108</v>
      </c>
      <c r="FE31" s="44"/>
      <c r="FF31" s="44"/>
      <c r="FG31" s="1" t="s">
        <v>225</v>
      </c>
      <c r="FH31" s="19">
        <f t="shared" ref="FH31" ca="1" si="1368">SUM(FH$11:FH$29)</f>
        <v>-51964.871111162684</v>
      </c>
      <c r="FI31" s="44"/>
      <c r="FJ31" s="44"/>
      <c r="FK31" s="1" t="s">
        <v>225</v>
      </c>
      <c r="FL31" s="19">
        <f t="shared" ref="FL31" ca="1" si="1369">SUM(FL$11:FL$29)</f>
        <v>-51940.866086308197</v>
      </c>
      <c r="FM31" s="44"/>
      <c r="FN31" s="44"/>
      <c r="FO31" s="1" t="s">
        <v>225</v>
      </c>
      <c r="FP31" s="19">
        <f t="shared" ref="FP31" ca="1" si="1370">SUM(FP$11:FP$29)</f>
        <v>-173940.31834227816</v>
      </c>
      <c r="FQ31" s="44"/>
      <c r="FR31" s="44"/>
      <c r="FS31" s="1" t="s">
        <v>225</v>
      </c>
      <c r="FT31" s="19">
        <f t="shared" ref="FT31" ca="1" si="1371">SUM(FT$11:FT$29)</f>
        <v>-51968.198221386891</v>
      </c>
      <c r="FU31" s="44"/>
      <c r="FV31" s="44"/>
      <c r="FW31" s="1" t="s">
        <v>225</v>
      </c>
      <c r="FX31" s="19">
        <f t="shared" ref="FX31" ca="1" si="1372">SUM(FX$11:FX$29)</f>
        <v>-51958.19580930347</v>
      </c>
      <c r="FY31" s="44"/>
      <c r="FZ31" s="44"/>
      <c r="GA31" s="1" t="s">
        <v>225</v>
      </c>
      <c r="GB31" s="19">
        <f t="shared" ref="GB31" ca="1" si="1373">SUM(GB$11:GB$29)</f>
        <v>-178004.54060848735</v>
      </c>
      <c r="GC31" s="44"/>
      <c r="GD31" s="44"/>
      <c r="GE31" s="1" t="s">
        <v>225</v>
      </c>
      <c r="GF31" s="19">
        <f t="shared" ref="GF31" ca="1" si="1374">SUM(GF$11:GF$29)</f>
        <v>-51865.149357278278</v>
      </c>
      <c r="GG31" s="44"/>
      <c r="GH31" s="44"/>
      <c r="GI31" s="1" t="s">
        <v>225</v>
      </c>
      <c r="GJ31" s="19">
        <f t="shared" ref="GJ31" ca="1" si="1375">SUM(GJ$11:GJ$29)</f>
        <v>-56328.561911103774</v>
      </c>
      <c r="GK31" s="44"/>
      <c r="GL31" s="44"/>
      <c r="GM31" s="1" t="s">
        <v>225</v>
      </c>
      <c r="GN31" s="19">
        <f t="shared" ref="GN31" ca="1" si="1376">SUM(GN$11:GN$29)</f>
        <v>-189069.70568582194</v>
      </c>
      <c r="GO31" s="44"/>
      <c r="GP31" s="44"/>
      <c r="GQ31" s="1" t="s">
        <v>225</v>
      </c>
      <c r="GR31" s="19">
        <f t="shared" ref="GR31" ca="1" si="1377">SUM(GR$11:GR$29)</f>
        <v>-56168.407281007589</v>
      </c>
      <c r="GS31" s="44"/>
      <c r="GT31" s="44"/>
      <c r="GU31" s="1" t="s">
        <v>225</v>
      </c>
      <c r="GV31" s="19">
        <f t="shared" ref="GV31" ca="1" si="1378">SUM(GV$11:GV$29)</f>
        <v>-56207.57228184089</v>
      </c>
      <c r="GW31" s="44"/>
      <c r="GX31" s="44"/>
      <c r="GY31" s="1" t="s">
        <v>225</v>
      </c>
      <c r="GZ31" s="19">
        <f t="shared" ref="GZ31" ca="1" si="1379">SUM(GZ$11:GZ$29)</f>
        <v>-188009.33848100554</v>
      </c>
      <c r="HA31" s="44"/>
      <c r="HB31" s="44"/>
      <c r="HC31" s="1" t="s">
        <v>225</v>
      </c>
      <c r="HD31" s="19">
        <f t="shared" ref="HD31" ca="1" si="1380">SUM(HD$11:HD$29)</f>
        <v>-55437.266034726585</v>
      </c>
      <c r="HE31" s="44"/>
      <c r="HF31" s="44"/>
      <c r="HG31" s="1" t="s">
        <v>225</v>
      </c>
      <c r="HH31" s="19">
        <f t="shared" ref="HH31" ca="1" si="1381">SUM(HH$11:HH$29)</f>
        <v>-55195.213068633799</v>
      </c>
      <c r="HI31" s="44"/>
      <c r="HJ31" s="44"/>
      <c r="HK31" s="1" t="s">
        <v>225</v>
      </c>
      <c r="HL31" s="19">
        <f t="shared" ref="HL31" ca="1" si="1382">SUM(HL$11:HL$29)</f>
        <v>-185307.95165685433</v>
      </c>
      <c r="HM31" s="44"/>
      <c r="HN31" s="44"/>
      <c r="HO31" s="1" t="s">
        <v>225</v>
      </c>
      <c r="HP31" s="19">
        <f t="shared" ref="HP31" ca="1" si="1383">SUM(HP$11:HP$29)</f>
        <v>-59156.182265343428</v>
      </c>
      <c r="HQ31" s="44"/>
      <c r="HR31" s="44"/>
      <c r="HS31" s="1" t="s">
        <v>225</v>
      </c>
      <c r="HT31" s="19">
        <f t="shared" ref="HT31" ca="1" si="1384">SUM(HT$11:HT$29)</f>
        <v>-59005.785294635156</v>
      </c>
      <c r="HU31" s="44"/>
      <c r="HV31" s="44"/>
      <c r="HW31" s="1" t="s">
        <v>225</v>
      </c>
      <c r="HX31" s="19">
        <f t="shared" ref="HX31" ca="1" si="1385">SUM(HX$11:HX$29)</f>
        <v>-175708.48947714761</v>
      </c>
      <c r="HY31" s="44"/>
      <c r="HZ31" s="44"/>
      <c r="IA31" s="1" t="s">
        <v>225</v>
      </c>
      <c r="IB31" s="19">
        <f t="shared" ref="IB31" ca="1" si="1386">SUM(IB$11:IB$29)</f>
        <v>-57086.150273733503</v>
      </c>
      <c r="IC31" s="44"/>
      <c r="ID31" s="44"/>
      <c r="IE31" s="1" t="s">
        <v>225</v>
      </c>
      <c r="IF31" s="19">
        <f t="shared" ref="IF31" ca="1" si="1387">SUM(IF$11:IF$29)</f>
        <v>-57059.767011677817</v>
      </c>
      <c r="IG31" s="44"/>
      <c r="IH31" s="44"/>
      <c r="II31" s="1" t="s">
        <v>225</v>
      </c>
      <c r="IJ31" s="19">
        <f t="shared" ref="IJ31" ca="1" si="1388">SUM(IJ$11:IJ$29)</f>
        <v>-170162.94055595927</v>
      </c>
      <c r="IK31" s="44"/>
      <c r="IL31" s="44"/>
      <c r="IM31" s="1" t="s">
        <v>225</v>
      </c>
      <c r="IN31" s="19">
        <f t="shared" ref="IN31" ca="1" si="1389">SUM(IN$11:IN$29)</f>
        <v>-61220.639198971679</v>
      </c>
      <c r="IO31" s="44"/>
      <c r="IP31" s="44"/>
      <c r="IQ31" s="1" t="s">
        <v>225</v>
      </c>
      <c r="IR31" s="19">
        <f t="shared" ref="IR31" ca="1" si="1390">SUM(IR$11:IR$29)</f>
        <v>-61186.043588466368</v>
      </c>
      <c r="IS31" s="44"/>
      <c r="IT31" s="44"/>
      <c r="IU31" s="1" t="s">
        <v>225</v>
      </c>
      <c r="IV31" s="19">
        <f t="shared" ref="IV31" ca="1" si="1391">SUM(IV$11:IV$29)</f>
        <v>-169810.84394809842</v>
      </c>
      <c r="IW31" s="44"/>
      <c r="IX31" s="44"/>
      <c r="IY31" s="1" t="s">
        <v>225</v>
      </c>
      <c r="IZ31" s="19">
        <f t="shared" ref="IZ31" ca="1" si="1392">SUM(IZ$11:IZ$29)</f>
        <v>-61164.688791132779</v>
      </c>
      <c r="JA31" s="44"/>
      <c r="JB31" s="44"/>
      <c r="JC31" s="1" t="s">
        <v>225</v>
      </c>
      <c r="JD31" s="19">
        <f t="shared" ref="JD31" ca="1" si="1393">SUM(JD$11:JD$29)</f>
        <v>-61135.141288382598</v>
      </c>
      <c r="JE31" s="44"/>
      <c r="JF31" s="44"/>
      <c r="JG31" s="1" t="s">
        <v>225</v>
      </c>
      <c r="JH31" s="19">
        <f t="shared" ref="JH31" ca="1" si="1394">SUM(JH$11:JH$29)</f>
        <v>-175185.55070099756</v>
      </c>
      <c r="JI31" s="44"/>
      <c r="JJ31" s="44"/>
      <c r="JK31" s="1" t="s">
        <v>225</v>
      </c>
      <c r="JL31" s="19">
        <f t="shared" ref="JL31" ca="1" si="1395">SUM(JL$11:JL$29)</f>
        <v>-65176.218598253763</v>
      </c>
      <c r="JM31" s="44"/>
      <c r="JN31" s="44"/>
      <c r="JO31" s="1" t="s">
        <v>225</v>
      </c>
      <c r="JP31" s="19">
        <f t="shared" ref="JP31" ca="1" si="1396">SUM(JP$11:JP$29)</f>
        <v>-65362.434882353104</v>
      </c>
      <c r="JQ31" s="44"/>
      <c r="JR31" s="44"/>
      <c r="JS31" s="1" t="s">
        <v>225</v>
      </c>
      <c r="JT31" s="19">
        <f t="shared" ref="JT31" ca="1" si="1397">SUM(JT$11:JT$29)</f>
        <v>-185514.29454092437</v>
      </c>
      <c r="JU31" s="44"/>
      <c r="JV31" s="44"/>
      <c r="JW31" s="1" t="s">
        <v>225</v>
      </c>
      <c r="JX31" s="19">
        <f t="shared" ref="JX31" ca="1" si="1398">SUM(JX$11:JX$29)</f>
        <v>-65514.120478774305</v>
      </c>
      <c r="JY31" s="44"/>
      <c r="JZ31" s="44"/>
      <c r="KA31" s="1" t="s">
        <v>225</v>
      </c>
      <c r="KB31" s="19">
        <f t="shared" ref="KB31" ca="1" si="1399">SUM(KB$11:KB$29)</f>
        <v>-65701.456983603013</v>
      </c>
      <c r="KC31" s="44"/>
      <c r="KD31" s="44"/>
    </row>
    <row r="32" spans="1:290" x14ac:dyDescent="0.25">
      <c r="C32" s="1" t="s">
        <v>227</v>
      </c>
      <c r="D32" s="19">
        <f ca="1">D$8+D$31</f>
        <v>-103420.16803230922</v>
      </c>
      <c r="G32" s="1" t="s">
        <v>227</v>
      </c>
      <c r="H32" s="19">
        <f ca="1">H$8+H$31</f>
        <v>7166.5004746178965</v>
      </c>
      <c r="I32" s="44"/>
      <c r="K32" s="1" t="s">
        <v>227</v>
      </c>
      <c r="L32" s="19">
        <f t="shared" ref="L32" ca="1" si="1400">L$8+L$31</f>
        <v>7097.7816711310988</v>
      </c>
      <c r="M32" s="44"/>
      <c r="N32" s="44"/>
      <c r="O32" s="1" t="s">
        <v>227</v>
      </c>
      <c r="P32" s="19">
        <f t="shared" ref="P32" ca="1" si="1401">P$8+P$31</f>
        <v>-23156.832449476853</v>
      </c>
      <c r="Q32" s="44"/>
      <c r="R32" s="44"/>
      <c r="S32" s="1" t="s">
        <v>227</v>
      </c>
      <c r="T32" s="19">
        <f t="shared" ref="T32" ca="1" si="1402">T$8+T$31</f>
        <v>6991.8496904580752</v>
      </c>
      <c r="U32" s="44"/>
      <c r="V32" s="44"/>
      <c r="W32" s="1" t="s">
        <v>227</v>
      </c>
      <c r="X32" s="19">
        <f t="shared" ref="X32" ca="1" si="1403">X$8+X$31</f>
        <v>6984.5794200706296</v>
      </c>
      <c r="Y32" s="44"/>
      <c r="Z32" s="44"/>
      <c r="AA32" s="1" t="s">
        <v>227</v>
      </c>
      <c r="AB32" s="19">
        <f t="shared" ref="AB32" ca="1" si="1404">AB$8+AB$31</f>
        <v>-30799.601613159699</v>
      </c>
      <c r="AC32" s="44"/>
      <c r="AD32" s="44"/>
      <c r="AE32" s="1" t="s">
        <v>227</v>
      </c>
      <c r="AF32" s="19">
        <f t="shared" ref="AF32" ca="1" si="1405">AF$8+AF$31</f>
        <v>11719.881092681659</v>
      </c>
      <c r="AG32" s="44"/>
      <c r="AH32" s="44"/>
      <c r="AI32" s="1" t="s">
        <v>227</v>
      </c>
      <c r="AJ32" s="19">
        <f t="shared" ref="AJ32" ca="1" si="1406">AJ$8+AJ$31</f>
        <v>11728.456312043323</v>
      </c>
      <c r="AK32" s="44"/>
      <c r="AL32" s="44"/>
      <c r="AM32" s="1" t="s">
        <v>227</v>
      </c>
      <c r="AN32" s="19">
        <f t="shared" ref="AN32" ca="1" si="1407">AN$8+AN$31</f>
        <v>-27978.720094364093</v>
      </c>
      <c r="AO32" s="44"/>
      <c r="AP32" s="44"/>
      <c r="AQ32" s="1" t="s">
        <v>227</v>
      </c>
      <c r="AR32" s="19">
        <f t="shared" ref="AR32" ca="1" si="1408">AR$8+AR$31</f>
        <v>11752.235599581196</v>
      </c>
      <c r="AS32" s="44"/>
      <c r="AT32" s="44"/>
      <c r="AU32" s="1" t="s">
        <v>227</v>
      </c>
      <c r="AV32" s="19">
        <f t="shared" ref="AV32" ca="1" si="1409">AV$8+AV$31</f>
        <v>10902.261943050071</v>
      </c>
      <c r="AW32" s="44"/>
      <c r="AX32" s="44"/>
      <c r="AY32" s="1" t="s">
        <v>227</v>
      </c>
      <c r="AZ32" s="19">
        <f t="shared" ref="AZ32" ca="1" si="1410">AZ$8+AZ$31</f>
        <v>-32302.92527879827</v>
      </c>
      <c r="BA32" s="44"/>
      <c r="BB32" s="44"/>
      <c r="BC32" s="1" t="s">
        <v>227</v>
      </c>
      <c r="BD32" s="19">
        <f t="shared" ref="BD32" ca="1" si="1411">BD$8+BD$31</f>
        <v>10903.148710612037</v>
      </c>
      <c r="BE32" s="44"/>
      <c r="BF32" s="44"/>
      <c r="BG32" s="1" t="s">
        <v>227</v>
      </c>
      <c r="BH32" s="19">
        <f t="shared" ref="BH32" ca="1" si="1412">BH$8+BH$31</f>
        <v>16404.231752636144</v>
      </c>
      <c r="BI32" s="44"/>
      <c r="BJ32" s="44"/>
      <c r="BK32" s="1" t="s">
        <v>227</v>
      </c>
      <c r="BL32" s="19">
        <f t="shared" ref="BL32" ca="1" si="1413">BL$8+BL$31</f>
        <v>-34566.150777712857</v>
      </c>
      <c r="BM32" s="44"/>
      <c r="BN32" s="44"/>
      <c r="BO32" s="1" t="s">
        <v>227</v>
      </c>
      <c r="BP32" s="19">
        <f t="shared" ref="BP32" ca="1" si="1414">BP$8+BP$31</f>
        <v>16276.079103726257</v>
      </c>
      <c r="BQ32" s="44"/>
      <c r="BR32" s="44"/>
      <c r="BS32" s="1" t="s">
        <v>227</v>
      </c>
      <c r="BT32" s="19">
        <f t="shared" ref="BT32" ca="1" si="1415">BT$8+BT$31</f>
        <v>16591.200955045071</v>
      </c>
      <c r="BU32" s="44"/>
      <c r="BV32" s="44"/>
      <c r="BW32" s="1" t="s">
        <v>227</v>
      </c>
      <c r="BX32" s="19">
        <f t="shared" ref="BX32" ca="1" si="1416">BX$8+BX$31</f>
        <v>-32777.782417520837</v>
      </c>
      <c r="BY32" s="44"/>
      <c r="BZ32" s="44"/>
      <c r="CA32" s="1" t="s">
        <v>227</v>
      </c>
      <c r="CB32" s="19">
        <f t="shared" ref="CB32" ca="1" si="1417">CB$8+CB$31</f>
        <v>16623.506117783501</v>
      </c>
      <c r="CC32" s="44"/>
      <c r="CD32" s="44"/>
      <c r="CE32" s="1" t="s">
        <v>227</v>
      </c>
      <c r="CF32" s="19">
        <f t="shared" ref="CF32" ca="1" si="1418">CF$8+CF$31</f>
        <v>22135.515378738215</v>
      </c>
      <c r="CG32" s="44"/>
      <c r="CH32" s="44"/>
      <c r="CI32" s="1" t="s">
        <v>227</v>
      </c>
      <c r="CJ32" s="19">
        <f t="shared" ref="CJ32" ca="1" si="1419">CJ$8+CJ$31</f>
        <v>-33627.829726932148</v>
      </c>
      <c r="CK32" s="44"/>
      <c r="CL32" s="44"/>
      <c r="CM32" s="1" t="s">
        <v>227</v>
      </c>
      <c r="CN32" s="19">
        <f t="shared" ref="CN32" ca="1" si="1420">CN$8+CN$31</f>
        <v>22102.808409047415</v>
      </c>
      <c r="CO32" s="44"/>
      <c r="CP32" s="44"/>
      <c r="CQ32" s="1" t="s">
        <v>227</v>
      </c>
      <c r="CR32" s="19">
        <f t="shared" ref="CR32" ca="1" si="1421">CR$8+CR$31</f>
        <v>22119.450869680739</v>
      </c>
      <c r="CS32" s="44"/>
      <c r="CT32" s="44"/>
      <c r="CU32" s="1" t="s">
        <v>227</v>
      </c>
      <c r="CV32" s="19">
        <f t="shared" ref="CV32" ca="1" si="1422">CV$8+CV$31</f>
        <v>-33778.494719429043</v>
      </c>
      <c r="CW32" s="44"/>
      <c r="CX32" s="44"/>
      <c r="CY32" s="1" t="s">
        <v>227</v>
      </c>
      <c r="CZ32" s="19">
        <f t="shared" ref="CZ32" ca="1" si="1423">CZ$8+CZ$31</f>
        <v>22101.958048011649</v>
      </c>
      <c r="DA32" s="44"/>
      <c r="DB32" s="44"/>
      <c r="DC32" s="1" t="s">
        <v>227</v>
      </c>
      <c r="DD32" s="19">
        <f t="shared" ref="DD32" ca="1" si="1424">DD$8+DD$31</f>
        <v>22125.175986057438</v>
      </c>
      <c r="DE32" s="44"/>
      <c r="DF32" s="44"/>
      <c r="DG32" s="1" t="s">
        <v>227</v>
      </c>
      <c r="DH32" s="19">
        <f t="shared" ref="DH32" ca="1" si="1425">DH$8+DH$31</f>
        <v>-38619.931200389939</v>
      </c>
      <c r="DI32" s="44"/>
      <c r="DJ32" s="44"/>
      <c r="DK32" s="1" t="s">
        <v>227</v>
      </c>
      <c r="DL32" s="19">
        <f t="shared" ref="DL32" ca="1" si="1426">DL$8+DL$31</f>
        <v>27503.524432815218</v>
      </c>
      <c r="DM32" s="44"/>
      <c r="DN32" s="44"/>
      <c r="DO32" s="1" t="s">
        <v>227</v>
      </c>
      <c r="DP32" s="19">
        <f t="shared" ref="DP32" ca="1" si="1427">DP$8+DP$31</f>
        <v>27498.353825804617</v>
      </c>
      <c r="DQ32" s="44"/>
      <c r="DR32" s="44"/>
      <c r="DS32" s="1" t="s">
        <v>227</v>
      </c>
      <c r="DT32" s="19">
        <f t="shared" ref="DT32" ca="1" si="1428">DT$8+DT$31</f>
        <v>-39394.107829673128</v>
      </c>
      <c r="DU32" s="44"/>
      <c r="DV32" s="44"/>
      <c r="DW32" s="1" t="s">
        <v>227</v>
      </c>
      <c r="DX32" s="19">
        <f t="shared" ref="DX32" ca="1" si="1429">DX$8+DX$31</f>
        <v>26667.587084944942</v>
      </c>
      <c r="DY32" s="44"/>
      <c r="DZ32" s="44"/>
      <c r="EA32" s="1" t="s">
        <v>227</v>
      </c>
      <c r="EB32" s="19">
        <f t="shared" ref="EB32" ca="1" si="1430">EB$8+EB$31</f>
        <v>26656.195144450023</v>
      </c>
      <c r="EC32" s="44"/>
      <c r="ED32" s="44"/>
      <c r="EE32" s="1" t="s">
        <v>227</v>
      </c>
      <c r="EF32" s="19">
        <f t="shared" ref="EF32" ca="1" si="1431">EF$8+EF$31</f>
        <v>-46732.212888635826</v>
      </c>
      <c r="EG32" s="44"/>
      <c r="EH32" s="44"/>
      <c r="EI32" s="1" t="s">
        <v>227</v>
      </c>
      <c r="EJ32" s="19">
        <f t="shared" ref="EJ32" ca="1" si="1432">EJ$8+EJ$31</f>
        <v>32043.831530444862</v>
      </c>
      <c r="EK32" s="44"/>
      <c r="EL32" s="44"/>
      <c r="EM32" s="1" t="s">
        <v>227</v>
      </c>
      <c r="EN32" s="19">
        <f t="shared" ref="EN32" ca="1" si="1433">EN$8+EN$31</f>
        <v>32021.445626225184</v>
      </c>
      <c r="EO32" s="44"/>
      <c r="EP32" s="44"/>
      <c r="EQ32" s="1" t="s">
        <v>227</v>
      </c>
      <c r="ER32" s="19">
        <f t="shared" ref="ER32" ca="1" si="1434">ER$8+ER$31</f>
        <v>-53983.951042230998</v>
      </c>
      <c r="ES32" s="44"/>
      <c r="ET32" s="44"/>
      <c r="EU32" s="1" t="s">
        <v>227</v>
      </c>
      <c r="EV32" s="19">
        <f t="shared" ref="EV32" ca="1" si="1435">EV$8+EV$31</f>
        <v>30959.9305119001</v>
      </c>
      <c r="EW32" s="44"/>
      <c r="EX32" s="44"/>
      <c r="EY32" s="1" t="s">
        <v>227</v>
      </c>
      <c r="EZ32" s="19">
        <f t="shared" ref="EZ32" ca="1" si="1436">EZ$8+EZ$31</f>
        <v>29370.788495520814</v>
      </c>
      <c r="FA32" s="44"/>
      <c r="FB32" s="44"/>
      <c r="FC32" s="1" t="s">
        <v>227</v>
      </c>
      <c r="FD32" s="19">
        <f t="shared" ref="FD32" ca="1" si="1437">FD$8+FD$31</f>
        <v>-87535.510521191085</v>
      </c>
      <c r="FE32" s="44"/>
      <c r="FF32" s="44"/>
      <c r="FG32" s="1" t="s">
        <v>227</v>
      </c>
      <c r="FH32" s="19">
        <f t="shared" ref="FH32" ca="1" si="1438">FH$8+FH$31</f>
        <v>34435.128888837316</v>
      </c>
      <c r="FI32" s="44"/>
      <c r="FJ32" s="44"/>
      <c r="FK32" s="1" t="s">
        <v>227</v>
      </c>
      <c r="FL32" s="19">
        <f t="shared" ref="FL32" ca="1" si="1439">FL$8+FL$31</f>
        <v>34459.133913691803</v>
      </c>
      <c r="FM32" s="44"/>
      <c r="FN32" s="44"/>
      <c r="FO32" s="1" t="s">
        <v>227</v>
      </c>
      <c r="FP32" s="19">
        <f t="shared" ref="FP32" ca="1" si="1440">FP$8+FP$31</f>
        <v>-87540.318342278159</v>
      </c>
      <c r="FQ32" s="44"/>
      <c r="FR32" s="44"/>
      <c r="FS32" s="1" t="s">
        <v>227</v>
      </c>
      <c r="FT32" s="19">
        <f t="shared" ref="FT32" ca="1" si="1441">FT$8+FT$31</f>
        <v>34431.801778613109</v>
      </c>
      <c r="FU32" s="44"/>
      <c r="FV32" s="44"/>
      <c r="FW32" s="1" t="s">
        <v>227</v>
      </c>
      <c r="FX32" s="19">
        <f t="shared" ref="FX32" ca="1" si="1442">FX$8+FX$31</f>
        <v>34441.80419069653</v>
      </c>
      <c r="FY32" s="44"/>
      <c r="FZ32" s="44"/>
      <c r="GA32" s="1" t="s">
        <v>227</v>
      </c>
      <c r="GB32" s="19">
        <f t="shared" ref="GB32" ca="1" si="1443">GB$8+GB$31</f>
        <v>-91604.540608487354</v>
      </c>
      <c r="GC32" s="44"/>
      <c r="GD32" s="44"/>
      <c r="GE32" s="1" t="s">
        <v>227</v>
      </c>
      <c r="GF32" s="19">
        <f t="shared" ref="GF32" ca="1" si="1444">GF$8+GF$31</f>
        <v>34534.850642721722</v>
      </c>
      <c r="GG32" s="44"/>
      <c r="GH32" s="44"/>
      <c r="GI32" s="1" t="s">
        <v>227</v>
      </c>
      <c r="GJ32" s="19">
        <f t="shared" ref="GJ32" ca="1" si="1445">GJ$8+GJ$31</f>
        <v>39671.438088896226</v>
      </c>
      <c r="GK32" s="44"/>
      <c r="GL32" s="44"/>
      <c r="GM32" s="1" t="s">
        <v>227</v>
      </c>
      <c r="GN32" s="19">
        <f t="shared" ref="GN32" ca="1" si="1446">GN$8+GN$31</f>
        <v>-93069.705685821944</v>
      </c>
      <c r="GO32" s="44"/>
      <c r="GP32" s="44"/>
      <c r="GQ32" s="1" t="s">
        <v>227</v>
      </c>
      <c r="GR32" s="19">
        <f t="shared" ref="GR32" ca="1" si="1447">GR$8+GR$31</f>
        <v>39831.592718992411</v>
      </c>
      <c r="GS32" s="44"/>
      <c r="GT32" s="44"/>
      <c r="GU32" s="1" t="s">
        <v>227</v>
      </c>
      <c r="GV32" s="19">
        <f t="shared" ref="GV32" ca="1" si="1448">GV$8+GV$31</f>
        <v>39792.42771815911</v>
      </c>
      <c r="GW32" s="44"/>
      <c r="GX32" s="44"/>
      <c r="GY32" s="1" t="s">
        <v>227</v>
      </c>
      <c r="GZ32" s="19">
        <f t="shared" ref="GZ32" ca="1" si="1449">GZ$8+GZ$31</f>
        <v>-92009.338481005543</v>
      </c>
      <c r="HA32" s="44"/>
      <c r="HB32" s="44"/>
      <c r="HC32" s="1" t="s">
        <v>227</v>
      </c>
      <c r="HD32" s="19">
        <f t="shared" ref="HD32" ca="1" si="1450">HD$8+HD$31</f>
        <v>40562.733965273415</v>
      </c>
      <c r="HE32" s="44"/>
      <c r="HF32" s="44"/>
      <c r="HG32" s="1" t="s">
        <v>227</v>
      </c>
      <c r="HH32" s="19">
        <f t="shared" ref="HH32" ca="1" si="1451">HH$8+HH$31</f>
        <v>40804.786931366201</v>
      </c>
      <c r="HI32" s="44"/>
      <c r="HJ32" s="44"/>
      <c r="HK32" s="1" t="s">
        <v>227</v>
      </c>
      <c r="HL32" s="19">
        <f t="shared" ref="HL32" ca="1" si="1452">HL$8+HL$31</f>
        <v>-79707.951656854333</v>
      </c>
      <c r="HM32" s="44"/>
      <c r="HN32" s="44"/>
      <c r="HO32" s="1" t="s">
        <v>227</v>
      </c>
      <c r="HP32" s="19">
        <f t="shared" ref="HP32" ca="1" si="1453">HP$8+HP$31</f>
        <v>46443.817734656572</v>
      </c>
      <c r="HQ32" s="44"/>
      <c r="HR32" s="44"/>
      <c r="HS32" s="1" t="s">
        <v>227</v>
      </c>
      <c r="HT32" s="19">
        <f t="shared" ref="HT32" ca="1" si="1454">HT$8+HT$31</f>
        <v>46594.214705364844</v>
      </c>
      <c r="HU32" s="44"/>
      <c r="HV32" s="44"/>
      <c r="HW32" s="1" t="s">
        <v>227</v>
      </c>
      <c r="HX32" s="19">
        <f t="shared" ref="HX32" ca="1" si="1455">HX$8+HX$31</f>
        <v>-70108.48947714761</v>
      </c>
      <c r="HY32" s="44"/>
      <c r="HZ32" s="44"/>
      <c r="IA32" s="1" t="s">
        <v>227</v>
      </c>
      <c r="IB32" s="19">
        <f t="shared" ref="IB32" ca="1" si="1456">IB$8+IB$31</f>
        <v>48513.849726266497</v>
      </c>
      <c r="IC32" s="44"/>
      <c r="ID32" s="44"/>
      <c r="IE32" s="1" t="s">
        <v>227</v>
      </c>
      <c r="IF32" s="19">
        <f t="shared" ref="IF32" ca="1" si="1457">IF$8+IF$31</f>
        <v>48540.232988322183</v>
      </c>
      <c r="IG32" s="44"/>
      <c r="IH32" s="44"/>
      <c r="II32" s="1" t="s">
        <v>227</v>
      </c>
      <c r="IJ32" s="19">
        <f t="shared" ref="IJ32" ca="1" si="1458">IJ$8+IJ$31</f>
        <v>-54962.940555959271</v>
      </c>
      <c r="IK32" s="44"/>
      <c r="IL32" s="44"/>
      <c r="IM32" s="1" t="s">
        <v>227</v>
      </c>
      <c r="IN32" s="19">
        <f t="shared" ref="IN32" ca="1" si="1459">IN$8+IN$31</f>
        <v>53979.360801028321</v>
      </c>
      <c r="IO32" s="44"/>
      <c r="IP32" s="44"/>
      <c r="IQ32" s="1" t="s">
        <v>227</v>
      </c>
      <c r="IR32" s="19">
        <f t="shared" ref="IR32" ca="1" si="1460">IR$8+IR$31</f>
        <v>54013.956411533632</v>
      </c>
      <c r="IS32" s="44"/>
      <c r="IT32" s="44"/>
      <c r="IU32" s="1" t="s">
        <v>227</v>
      </c>
      <c r="IV32" s="19">
        <f t="shared" ref="IV32" ca="1" si="1461">IV$8+IV$31</f>
        <v>-54610.843948098423</v>
      </c>
      <c r="IW32" s="44"/>
      <c r="IX32" s="44"/>
      <c r="IY32" s="1" t="s">
        <v>227</v>
      </c>
      <c r="IZ32" s="19">
        <f t="shared" ref="IZ32" ca="1" si="1462">IZ$8+IZ$31</f>
        <v>54035.311208867221</v>
      </c>
      <c r="JA32" s="44"/>
      <c r="JB32" s="44"/>
      <c r="JC32" s="1" t="s">
        <v>227</v>
      </c>
      <c r="JD32" s="19">
        <f t="shared" ref="JD32" ca="1" si="1463">JD$8+JD$31</f>
        <v>54064.858711617402</v>
      </c>
      <c r="JE32" s="44"/>
      <c r="JF32" s="44"/>
      <c r="JG32" s="1" t="s">
        <v>227</v>
      </c>
      <c r="JH32" s="19">
        <f t="shared" ref="JH32" ca="1" si="1464">JH$8+JH$31</f>
        <v>-59985.550700997555</v>
      </c>
      <c r="JI32" s="44"/>
      <c r="JJ32" s="44"/>
      <c r="JK32" s="1" t="s">
        <v>227</v>
      </c>
      <c r="JL32" s="19">
        <f t="shared" ref="JL32" ca="1" si="1465">JL$8+JL$31</f>
        <v>59623.781401746237</v>
      </c>
      <c r="JM32" s="44"/>
      <c r="JN32" s="44"/>
      <c r="JO32" s="1" t="s">
        <v>227</v>
      </c>
      <c r="JP32" s="19">
        <f t="shared" ref="JP32" ca="1" si="1466">JP$8+JP$31</f>
        <v>59437.565117646896</v>
      </c>
      <c r="JQ32" s="44"/>
      <c r="JR32" s="44"/>
      <c r="JS32" s="1" t="s">
        <v>227</v>
      </c>
      <c r="JT32" s="19">
        <f t="shared" ref="JT32" ca="1" si="1467">JT$8+JT$31</f>
        <v>-60714.294540924369</v>
      </c>
      <c r="JU32" s="44"/>
      <c r="JV32" s="44"/>
      <c r="JW32" s="1" t="s">
        <v>227</v>
      </c>
      <c r="JX32" s="19">
        <f t="shared" ref="JX32" ca="1" si="1468">JX$8+JX$31</f>
        <v>59285.879521225695</v>
      </c>
      <c r="JY32" s="44"/>
      <c r="JZ32" s="44"/>
      <c r="KA32" s="1" t="s">
        <v>227</v>
      </c>
      <c r="KB32" s="19">
        <f t="shared" ref="KB32" ca="1" si="1469">KB$8+KB$31</f>
        <v>59098.543016396987</v>
      </c>
      <c r="KC32" s="44"/>
      <c r="KD32" s="44"/>
    </row>
    <row r="33" spans="1:290" x14ac:dyDescent="0.25">
      <c r="H33" s="44"/>
      <c r="I33" s="44"/>
      <c r="K33" s="37"/>
      <c r="L33" s="44"/>
      <c r="M33" s="44"/>
      <c r="N33" s="44"/>
      <c r="O33" s="37"/>
      <c r="P33" s="44"/>
      <c r="Q33" s="44"/>
      <c r="R33" s="44"/>
      <c r="S33" s="37"/>
      <c r="T33" s="44"/>
      <c r="U33" s="44"/>
      <c r="V33" s="44"/>
      <c r="W33" s="37"/>
      <c r="X33" s="44"/>
      <c r="Y33" s="44"/>
      <c r="Z33" s="44"/>
      <c r="AA33" s="37"/>
      <c r="AB33" s="44"/>
      <c r="AC33" s="44"/>
      <c r="AD33" s="44"/>
      <c r="AE33" s="37"/>
      <c r="AF33" s="44"/>
      <c r="AG33" s="44"/>
      <c r="AH33" s="44"/>
      <c r="AI33" s="37"/>
      <c r="AJ33" s="44"/>
      <c r="AK33" s="44"/>
      <c r="AL33" s="44"/>
      <c r="AM33" s="37"/>
      <c r="AN33" s="44"/>
      <c r="AO33" s="44"/>
      <c r="AP33" s="44"/>
      <c r="AQ33" s="37"/>
      <c r="AR33" s="44"/>
      <c r="AS33" s="44"/>
      <c r="AT33" s="44"/>
      <c r="AU33" s="37"/>
      <c r="AV33" s="44"/>
      <c r="AW33" s="44"/>
      <c r="AX33" s="44"/>
      <c r="AY33" s="37"/>
      <c r="AZ33" s="44"/>
      <c r="BA33" s="44"/>
      <c r="BB33" s="44"/>
      <c r="BC33" s="37"/>
      <c r="BD33" s="44"/>
      <c r="BE33" s="44"/>
      <c r="BF33" s="44"/>
      <c r="BG33" s="37"/>
      <c r="BH33" s="44"/>
      <c r="BI33" s="44"/>
      <c r="BJ33" s="44"/>
      <c r="BK33" s="37"/>
      <c r="BL33" s="44"/>
      <c r="BM33" s="44"/>
      <c r="BN33" s="44"/>
      <c r="BO33" s="37"/>
      <c r="BP33" s="44"/>
      <c r="BQ33" s="44"/>
      <c r="BR33" s="44"/>
      <c r="BS33" s="37"/>
      <c r="BT33" s="44"/>
      <c r="BU33" s="44"/>
      <c r="BV33" s="44"/>
      <c r="BW33" s="37"/>
      <c r="BX33" s="44"/>
      <c r="BY33" s="44"/>
      <c r="BZ33" s="44"/>
      <c r="CA33" s="37"/>
      <c r="CB33" s="44"/>
      <c r="CC33" s="44"/>
      <c r="CD33" s="44"/>
      <c r="CE33" s="37"/>
      <c r="CF33" s="44"/>
      <c r="CG33" s="44"/>
      <c r="CH33" s="44"/>
      <c r="CI33" s="37"/>
      <c r="CJ33" s="44"/>
      <c r="CK33" s="44"/>
      <c r="CL33" s="44"/>
      <c r="CM33" s="37"/>
      <c r="CN33" s="44"/>
      <c r="CO33" s="44"/>
      <c r="CP33" s="44"/>
      <c r="CQ33" s="37"/>
      <c r="CR33" s="44"/>
      <c r="CS33" s="44"/>
      <c r="CT33" s="44"/>
      <c r="CU33" s="37"/>
      <c r="CV33" s="44"/>
      <c r="CW33" s="44"/>
      <c r="CX33" s="44"/>
      <c r="CY33" s="37"/>
      <c r="CZ33" s="44"/>
      <c r="DA33" s="44"/>
      <c r="DB33" s="44"/>
      <c r="DC33" s="37"/>
      <c r="DD33" s="44"/>
      <c r="DE33" s="44"/>
      <c r="DF33" s="44"/>
      <c r="DG33" s="37"/>
      <c r="DH33" s="44"/>
      <c r="DI33" s="44"/>
      <c r="DJ33" s="44"/>
      <c r="DK33" s="37"/>
      <c r="DL33" s="44"/>
      <c r="DM33" s="44"/>
      <c r="DN33" s="44"/>
      <c r="DO33" s="37"/>
      <c r="DP33" s="44"/>
      <c r="DQ33" s="44"/>
      <c r="DR33" s="44"/>
      <c r="DS33" s="37"/>
      <c r="DT33" s="44"/>
      <c r="DU33" s="44"/>
      <c r="DV33" s="44"/>
      <c r="DW33" s="37"/>
      <c r="DX33" s="44"/>
      <c r="DY33" s="44"/>
      <c r="DZ33" s="44"/>
      <c r="EA33" s="37"/>
      <c r="EB33" s="44"/>
      <c r="EC33" s="44"/>
      <c r="ED33" s="44"/>
      <c r="EE33" s="37"/>
      <c r="EF33" s="44"/>
      <c r="EG33" s="44"/>
      <c r="EH33" s="44"/>
      <c r="EI33" s="37"/>
      <c r="EJ33" s="44"/>
      <c r="EK33" s="44"/>
      <c r="EL33" s="44"/>
      <c r="EM33" s="37"/>
      <c r="EN33" s="44"/>
      <c r="EO33" s="44"/>
      <c r="EP33" s="44"/>
      <c r="EQ33" s="37"/>
      <c r="ER33" s="44"/>
      <c r="ES33" s="44"/>
      <c r="ET33" s="44"/>
      <c r="EU33" s="37"/>
      <c r="EV33" s="44"/>
      <c r="EW33" s="44"/>
      <c r="EX33" s="44"/>
      <c r="EY33" s="37"/>
      <c r="EZ33" s="44"/>
      <c r="FA33" s="44"/>
      <c r="FB33" s="44"/>
      <c r="FC33" s="37"/>
      <c r="FD33" s="44"/>
      <c r="FE33" s="44"/>
      <c r="FF33" s="44"/>
      <c r="FG33" s="37"/>
      <c r="FH33" s="44"/>
      <c r="FI33" s="44"/>
      <c r="FJ33" s="44"/>
      <c r="FK33" s="37"/>
      <c r="FL33" s="44"/>
      <c r="FM33" s="44"/>
      <c r="FN33" s="44"/>
      <c r="FO33" s="37"/>
      <c r="FP33" s="44"/>
      <c r="FQ33" s="44"/>
      <c r="FR33" s="44"/>
      <c r="FS33" s="37"/>
      <c r="FT33" s="44"/>
      <c r="FU33" s="44"/>
      <c r="FV33" s="44"/>
      <c r="FW33" s="37"/>
      <c r="FX33" s="44"/>
      <c r="FY33" s="44"/>
      <c r="FZ33" s="44"/>
      <c r="GA33" s="37"/>
      <c r="GB33" s="44"/>
      <c r="GC33" s="44"/>
      <c r="GD33" s="44"/>
      <c r="GE33" s="37"/>
      <c r="GF33" s="44"/>
      <c r="GG33" s="44"/>
      <c r="GH33" s="44"/>
      <c r="GI33" s="37"/>
      <c r="GJ33" s="44"/>
      <c r="GK33" s="44"/>
      <c r="GL33" s="44"/>
      <c r="GM33" s="37"/>
      <c r="GN33" s="44"/>
      <c r="GO33" s="44"/>
      <c r="GP33" s="44"/>
      <c r="GQ33" s="37"/>
      <c r="GR33" s="44"/>
      <c r="GS33" s="44"/>
      <c r="GT33" s="44"/>
      <c r="GU33" s="37"/>
      <c r="GV33" s="44"/>
      <c r="GW33" s="44"/>
      <c r="GX33" s="44"/>
      <c r="GY33" s="37"/>
      <c r="GZ33" s="44"/>
      <c r="HA33" s="44"/>
      <c r="HB33" s="44"/>
      <c r="HC33" s="37"/>
      <c r="HD33" s="44"/>
      <c r="HE33" s="44"/>
      <c r="HF33" s="44"/>
      <c r="HG33" s="37"/>
      <c r="HH33" s="44"/>
      <c r="HI33" s="44"/>
      <c r="HJ33" s="44"/>
      <c r="HK33" s="37"/>
      <c r="HL33" s="44"/>
      <c r="HM33" s="44"/>
      <c r="HN33" s="44"/>
      <c r="HO33" s="37"/>
      <c r="HP33" s="44"/>
      <c r="HQ33" s="44"/>
      <c r="HR33" s="44"/>
      <c r="HS33" s="37"/>
      <c r="HT33" s="44"/>
      <c r="HU33" s="44"/>
      <c r="HV33" s="44"/>
      <c r="HW33" s="37"/>
      <c r="HX33" s="44"/>
      <c r="HY33" s="44"/>
      <c r="HZ33" s="44"/>
      <c r="IA33" s="37"/>
      <c r="IB33" s="44"/>
      <c r="IC33" s="44"/>
      <c r="ID33" s="44"/>
      <c r="IE33" s="37"/>
      <c r="IF33" s="44"/>
      <c r="IG33" s="44"/>
      <c r="IH33" s="44"/>
      <c r="II33" s="37"/>
      <c r="IJ33" s="44"/>
      <c r="IK33" s="44"/>
      <c r="IL33" s="44"/>
      <c r="IM33" s="37"/>
      <c r="IN33" s="44"/>
      <c r="IO33" s="44"/>
      <c r="IP33" s="44"/>
      <c r="IQ33" s="37"/>
      <c r="IR33" s="44"/>
      <c r="IS33" s="44"/>
      <c r="IT33" s="44"/>
      <c r="IU33" s="37"/>
      <c r="IV33" s="44"/>
      <c r="IW33" s="44"/>
      <c r="IX33" s="44"/>
      <c r="IY33" s="37"/>
      <c r="IZ33" s="44"/>
      <c r="JA33" s="44"/>
      <c r="JB33" s="44"/>
      <c r="JC33" s="37"/>
      <c r="JD33" s="44"/>
      <c r="JE33" s="44"/>
      <c r="JF33" s="44"/>
      <c r="JG33" s="37"/>
      <c r="JH33" s="44"/>
      <c r="JI33" s="44"/>
      <c r="JJ33" s="44"/>
      <c r="JK33" s="37"/>
      <c r="JL33" s="44"/>
      <c r="JM33" s="44"/>
      <c r="JN33" s="44"/>
      <c r="JO33" s="37"/>
      <c r="JP33" s="44"/>
      <c r="JQ33" s="44"/>
      <c r="JR33" s="44"/>
      <c r="JS33" s="37"/>
      <c r="JT33" s="44"/>
      <c r="JU33" s="44"/>
      <c r="JV33" s="44"/>
      <c r="JW33" s="37"/>
      <c r="JX33" s="44"/>
      <c r="JY33" s="44"/>
      <c r="JZ33" s="44"/>
      <c r="KA33" s="37"/>
      <c r="KB33" s="44"/>
      <c r="KC33" s="44"/>
      <c r="KD33" s="44"/>
    </row>
    <row r="34" spans="1:290" x14ac:dyDescent="0.25">
      <c r="C34" s="1" t="s">
        <v>221</v>
      </c>
      <c r="D34" s="63">
        <f ca="1">D$32</f>
        <v>-103420.16803230922</v>
      </c>
      <c r="G34" s="1" t="s">
        <v>221</v>
      </c>
      <c r="H34" s="63">
        <f ca="1">D$34+H32</f>
        <v>-96253.667557691311</v>
      </c>
      <c r="I34" s="44"/>
      <c r="K34" s="1" t="s">
        <v>221</v>
      </c>
      <c r="L34" s="63">
        <f t="shared" ref="L34" ca="1" si="1470">H$34+L32</f>
        <v>-89155.885886560209</v>
      </c>
      <c r="M34" s="44"/>
      <c r="N34" s="44"/>
      <c r="O34" s="1" t="s">
        <v>221</v>
      </c>
      <c r="P34" s="63">
        <f t="shared" ref="P34" ca="1" si="1471">L$34+P32</f>
        <v>-112312.71833603707</v>
      </c>
      <c r="Q34" s="44"/>
      <c r="R34" s="44"/>
      <c r="S34" s="1" t="s">
        <v>221</v>
      </c>
      <c r="T34" s="63">
        <f t="shared" ref="T34" ca="1" si="1472">P$34+T32</f>
        <v>-105320.868645579</v>
      </c>
      <c r="U34" s="44"/>
      <c r="V34" s="44"/>
      <c r="W34" s="1" t="s">
        <v>221</v>
      </c>
      <c r="X34" s="63">
        <f t="shared" ref="X34" ca="1" si="1473">T$34+X32</f>
        <v>-98336.289225508372</v>
      </c>
      <c r="Y34" s="44"/>
      <c r="Z34" s="44"/>
      <c r="AA34" s="1" t="s">
        <v>221</v>
      </c>
      <c r="AB34" s="63">
        <f t="shared" ref="AB34" ca="1" si="1474">X$34+AB32</f>
        <v>-129135.89083866807</v>
      </c>
      <c r="AC34" s="44"/>
      <c r="AD34" s="44"/>
      <c r="AE34" s="1" t="s">
        <v>221</v>
      </c>
      <c r="AF34" s="63">
        <f t="shared" ref="AF34" ca="1" si="1475">AB$34+AF32</f>
        <v>-117416.0097459864</v>
      </c>
      <c r="AG34" s="44"/>
      <c r="AH34" s="44"/>
      <c r="AI34" s="1" t="s">
        <v>221</v>
      </c>
      <c r="AJ34" s="63">
        <f t="shared" ref="AJ34" ca="1" si="1476">AF$34+AJ32</f>
        <v>-105687.55343394307</v>
      </c>
      <c r="AK34" s="44"/>
      <c r="AL34" s="44"/>
      <c r="AM34" s="1" t="s">
        <v>221</v>
      </c>
      <c r="AN34" s="63">
        <f t="shared" ref="AN34" ca="1" si="1477">AJ$34+AN32</f>
        <v>-133666.27352830715</v>
      </c>
      <c r="AO34" s="44"/>
      <c r="AP34" s="44"/>
      <c r="AQ34" s="1" t="s">
        <v>221</v>
      </c>
      <c r="AR34" s="63">
        <f t="shared" ref="AR34" ca="1" si="1478">AN$34+AR32</f>
        <v>-121914.03792872596</v>
      </c>
      <c r="AS34" s="44"/>
      <c r="AT34" s="44"/>
      <c r="AU34" s="1" t="s">
        <v>221</v>
      </c>
      <c r="AV34" s="63">
        <f t="shared" ref="AV34" ca="1" si="1479">AR$34+AV32</f>
        <v>-111011.77598567589</v>
      </c>
      <c r="AW34" s="44"/>
      <c r="AX34" s="44"/>
      <c r="AY34" s="1" t="s">
        <v>221</v>
      </c>
      <c r="AZ34" s="63">
        <f t="shared" ref="AZ34" ca="1" si="1480">AV$34+AZ32</f>
        <v>-143314.70126447416</v>
      </c>
      <c r="BA34" s="44"/>
      <c r="BB34" s="44"/>
      <c r="BC34" s="1" t="s">
        <v>221</v>
      </c>
      <c r="BD34" s="63">
        <f t="shared" ref="BD34" ca="1" si="1481">AZ$34+BD32</f>
        <v>-132411.55255386213</v>
      </c>
      <c r="BE34" s="44"/>
      <c r="BF34" s="44"/>
      <c r="BG34" s="1" t="s">
        <v>221</v>
      </c>
      <c r="BH34" s="63">
        <f t="shared" ref="BH34" ca="1" si="1482">BD$34+BH32</f>
        <v>-116007.32080122599</v>
      </c>
      <c r="BI34" s="44"/>
      <c r="BJ34" s="44"/>
      <c r="BK34" s="1" t="s">
        <v>221</v>
      </c>
      <c r="BL34" s="63">
        <f t="shared" ref="BL34" ca="1" si="1483">BH$34+BL32</f>
        <v>-150573.47157893883</v>
      </c>
      <c r="BM34" s="44"/>
      <c r="BN34" s="44"/>
      <c r="BO34" s="1" t="s">
        <v>221</v>
      </c>
      <c r="BP34" s="63">
        <f t="shared" ref="BP34" ca="1" si="1484">BL$34+BP32</f>
        <v>-134297.39247521257</v>
      </c>
      <c r="BQ34" s="44"/>
      <c r="BR34" s="44"/>
      <c r="BS34" s="1" t="s">
        <v>221</v>
      </c>
      <c r="BT34" s="63">
        <f t="shared" ref="BT34" ca="1" si="1485">BP$34+BT32</f>
        <v>-117706.1915201675</v>
      </c>
      <c r="BU34" s="44"/>
      <c r="BV34" s="44"/>
      <c r="BW34" s="1" t="s">
        <v>221</v>
      </c>
      <c r="BX34" s="63">
        <f t="shared" ref="BX34" ca="1" si="1486">BT$34+BX32</f>
        <v>-150483.97393768834</v>
      </c>
      <c r="BY34" s="44"/>
      <c r="BZ34" s="44"/>
      <c r="CA34" s="1" t="s">
        <v>221</v>
      </c>
      <c r="CB34" s="63">
        <f t="shared" ref="CB34" ca="1" si="1487">BX$34+CB32</f>
        <v>-133860.46781990485</v>
      </c>
      <c r="CC34" s="44"/>
      <c r="CD34" s="44"/>
      <c r="CE34" s="1" t="s">
        <v>221</v>
      </c>
      <c r="CF34" s="63">
        <f t="shared" ref="CF34" ca="1" si="1488">CB$34+CF32</f>
        <v>-111724.95244116664</v>
      </c>
      <c r="CG34" s="44"/>
      <c r="CH34" s="44"/>
      <c r="CI34" s="1" t="s">
        <v>221</v>
      </c>
      <c r="CJ34" s="63">
        <f t="shared" ref="CJ34" ca="1" si="1489">CF$34+CJ32</f>
        <v>-145352.78216809878</v>
      </c>
      <c r="CK34" s="44"/>
      <c r="CL34" s="44"/>
      <c r="CM34" s="1" t="s">
        <v>221</v>
      </c>
      <c r="CN34" s="63">
        <f t="shared" ref="CN34" ca="1" si="1490">CJ$34+CN32</f>
        <v>-123249.97375905137</v>
      </c>
      <c r="CO34" s="44"/>
      <c r="CP34" s="44"/>
      <c r="CQ34" s="1" t="s">
        <v>221</v>
      </c>
      <c r="CR34" s="63">
        <f t="shared" ref="CR34" ca="1" si="1491">CN$34+CR32</f>
        <v>-101130.52288937062</v>
      </c>
      <c r="CS34" s="44"/>
      <c r="CT34" s="44"/>
      <c r="CU34" s="1" t="s">
        <v>221</v>
      </c>
      <c r="CV34" s="63">
        <f t="shared" ref="CV34" ca="1" si="1492">CR$34+CV32</f>
        <v>-134909.01760879968</v>
      </c>
      <c r="CW34" s="44"/>
      <c r="CX34" s="44"/>
      <c r="CY34" s="1" t="s">
        <v>221</v>
      </c>
      <c r="CZ34" s="63">
        <f t="shared" ref="CZ34" ca="1" si="1493">CV$34+CZ32</f>
        <v>-112807.05956078804</v>
      </c>
      <c r="DA34" s="44"/>
      <c r="DB34" s="44"/>
      <c r="DC34" s="1" t="s">
        <v>221</v>
      </c>
      <c r="DD34" s="63">
        <f t="shared" ref="DD34" ca="1" si="1494">CZ$34+DD32</f>
        <v>-90681.8835747306</v>
      </c>
      <c r="DE34" s="44"/>
      <c r="DF34" s="44"/>
      <c r="DG34" s="1" t="s">
        <v>221</v>
      </c>
      <c r="DH34" s="63">
        <f t="shared" ref="DH34" ca="1" si="1495">DD$34+DH32</f>
        <v>-129301.81477512054</v>
      </c>
      <c r="DI34" s="44"/>
      <c r="DJ34" s="44"/>
      <c r="DK34" s="1" t="s">
        <v>221</v>
      </c>
      <c r="DL34" s="63">
        <f t="shared" ref="DL34" ca="1" si="1496">DH$34+DL32</f>
        <v>-101798.29034230532</v>
      </c>
      <c r="DM34" s="44"/>
      <c r="DN34" s="44"/>
      <c r="DO34" s="1" t="s">
        <v>221</v>
      </c>
      <c r="DP34" s="63">
        <f t="shared" ref="DP34" ca="1" si="1497">DL$34+DP32</f>
        <v>-74299.936516500704</v>
      </c>
      <c r="DQ34" s="44"/>
      <c r="DR34" s="44"/>
      <c r="DS34" s="1" t="s">
        <v>221</v>
      </c>
      <c r="DT34" s="63">
        <f t="shared" ref="DT34" ca="1" si="1498">DP$34+DT32</f>
        <v>-113694.04434617383</v>
      </c>
      <c r="DU34" s="44"/>
      <c r="DV34" s="44"/>
      <c r="DW34" s="1" t="s">
        <v>221</v>
      </c>
      <c r="DX34" s="63">
        <f t="shared" ref="DX34" ca="1" si="1499">DT$34+DX32</f>
        <v>-87026.45726122889</v>
      </c>
      <c r="DY34" s="44"/>
      <c r="DZ34" s="44"/>
      <c r="EA34" s="1" t="s">
        <v>221</v>
      </c>
      <c r="EB34" s="63">
        <f t="shared" ref="EB34" ca="1" si="1500">DX$34+EB32</f>
        <v>-60370.262116778867</v>
      </c>
      <c r="EC34" s="44"/>
      <c r="ED34" s="44"/>
      <c r="EE34" s="1" t="s">
        <v>221</v>
      </c>
      <c r="EF34" s="63">
        <f t="shared" ref="EF34" ca="1" si="1501">EB$34+EF32</f>
        <v>-107102.47500541469</v>
      </c>
      <c r="EG34" s="44"/>
      <c r="EH34" s="44"/>
      <c r="EI34" s="1" t="s">
        <v>221</v>
      </c>
      <c r="EJ34" s="63">
        <f t="shared" ref="EJ34" ca="1" si="1502">EF$34+EJ32</f>
        <v>-75058.643474969824</v>
      </c>
      <c r="EK34" s="44"/>
      <c r="EL34" s="44"/>
      <c r="EM34" s="1" t="s">
        <v>221</v>
      </c>
      <c r="EN34" s="63">
        <f t="shared" ref="EN34" ca="1" si="1503">EJ$34+EN32</f>
        <v>-43037.197848744639</v>
      </c>
      <c r="EO34" s="44"/>
      <c r="EP34" s="44"/>
      <c r="EQ34" s="1" t="s">
        <v>221</v>
      </c>
      <c r="ER34" s="63">
        <f t="shared" ref="ER34" ca="1" si="1504">EN$34+ER32</f>
        <v>-97021.14889097563</v>
      </c>
      <c r="ES34" s="44"/>
      <c r="ET34" s="44"/>
      <c r="EU34" s="1" t="s">
        <v>221</v>
      </c>
      <c r="EV34" s="63">
        <f t="shared" ref="EV34" ca="1" si="1505">ER$34+EV32</f>
        <v>-66061.218379075523</v>
      </c>
      <c r="EW34" s="44"/>
      <c r="EX34" s="44"/>
      <c r="EY34" s="1" t="s">
        <v>221</v>
      </c>
      <c r="EZ34" s="63">
        <f t="shared" ref="EZ34" ca="1" si="1506">EV$34+EZ32</f>
        <v>-36690.429883554709</v>
      </c>
      <c r="FA34" s="44"/>
      <c r="FB34" s="44"/>
      <c r="FC34" s="1" t="s">
        <v>221</v>
      </c>
      <c r="FD34" s="63">
        <f t="shared" ref="FD34" ca="1" si="1507">EZ$34+FD32</f>
        <v>-124225.94040474579</v>
      </c>
      <c r="FE34" s="44"/>
      <c r="FF34" s="44"/>
      <c r="FG34" s="1" t="s">
        <v>221</v>
      </c>
      <c r="FH34" s="63">
        <f t="shared" ref="FH34" ca="1" si="1508">FD$34+FH32</f>
        <v>-89790.811515908485</v>
      </c>
      <c r="FI34" s="44"/>
      <c r="FJ34" s="44"/>
      <c r="FK34" s="1" t="s">
        <v>221</v>
      </c>
      <c r="FL34" s="63">
        <f t="shared" ref="FL34" ca="1" si="1509">FH$34+FL32</f>
        <v>-55331.677602216681</v>
      </c>
      <c r="FM34" s="44"/>
      <c r="FN34" s="44"/>
      <c r="FO34" s="1" t="s">
        <v>221</v>
      </c>
      <c r="FP34" s="63">
        <f t="shared" ref="FP34" ca="1" si="1510">FL$34+FP32</f>
        <v>-142871.99594449485</v>
      </c>
      <c r="FQ34" s="44"/>
      <c r="FR34" s="44"/>
      <c r="FS34" s="1" t="s">
        <v>221</v>
      </c>
      <c r="FT34" s="63">
        <f t="shared" ref="FT34" ca="1" si="1511">FP$34+FT32</f>
        <v>-108440.19416588174</v>
      </c>
      <c r="FU34" s="44"/>
      <c r="FV34" s="44"/>
      <c r="FW34" s="1" t="s">
        <v>221</v>
      </c>
      <c r="FX34" s="63">
        <f t="shared" ref="FX34" ca="1" si="1512">FT$34+FX32</f>
        <v>-73998.389975185215</v>
      </c>
      <c r="FY34" s="44"/>
      <c r="FZ34" s="44"/>
      <c r="GA34" s="1" t="s">
        <v>221</v>
      </c>
      <c r="GB34" s="63">
        <f t="shared" ref="GB34" ca="1" si="1513">FX$34+GB32</f>
        <v>-165602.93058367257</v>
      </c>
      <c r="GC34" s="44"/>
      <c r="GD34" s="44"/>
      <c r="GE34" s="1" t="s">
        <v>221</v>
      </c>
      <c r="GF34" s="63">
        <f t="shared" ref="GF34" ca="1" si="1514">GB$34+GF32</f>
        <v>-131068.07994095085</v>
      </c>
      <c r="GG34" s="44"/>
      <c r="GH34" s="44"/>
      <c r="GI34" s="1" t="s">
        <v>221</v>
      </c>
      <c r="GJ34" s="63">
        <f t="shared" ref="GJ34" ca="1" si="1515">GF$34+GJ32</f>
        <v>-91396.641852054629</v>
      </c>
      <c r="GK34" s="44"/>
      <c r="GL34" s="44"/>
      <c r="GM34" s="1" t="s">
        <v>221</v>
      </c>
      <c r="GN34" s="63">
        <f t="shared" ref="GN34" ca="1" si="1516">GJ$34+GN32</f>
        <v>-184466.34753787657</v>
      </c>
      <c r="GO34" s="44"/>
      <c r="GP34" s="44"/>
      <c r="GQ34" s="1" t="s">
        <v>221</v>
      </c>
      <c r="GR34" s="63">
        <f t="shared" ref="GR34" ca="1" si="1517">GN$34+GR32</f>
        <v>-144634.75481888416</v>
      </c>
      <c r="GS34" s="44"/>
      <c r="GT34" s="44"/>
      <c r="GU34" s="1" t="s">
        <v>221</v>
      </c>
      <c r="GV34" s="63">
        <f t="shared" ref="GV34" ca="1" si="1518">GR$34+GV32</f>
        <v>-104842.32710072506</v>
      </c>
      <c r="GW34" s="44"/>
      <c r="GX34" s="44"/>
      <c r="GY34" s="1" t="s">
        <v>221</v>
      </c>
      <c r="GZ34" s="63">
        <f t="shared" ref="GZ34" ca="1" si="1519">GV$34+GZ32</f>
        <v>-196851.6655817306</v>
      </c>
      <c r="HA34" s="44"/>
      <c r="HB34" s="44"/>
      <c r="HC34" s="1" t="s">
        <v>221</v>
      </c>
      <c r="HD34" s="63">
        <f t="shared" ref="HD34" ca="1" si="1520">GZ$34+HD32</f>
        <v>-156288.93161645718</v>
      </c>
      <c r="HE34" s="44"/>
      <c r="HF34" s="44"/>
      <c r="HG34" s="1" t="s">
        <v>221</v>
      </c>
      <c r="HH34" s="63">
        <f t="shared" ref="HH34" ca="1" si="1521">HD$34+HH32</f>
        <v>-115484.14468509099</v>
      </c>
      <c r="HI34" s="44"/>
      <c r="HJ34" s="44"/>
      <c r="HK34" s="1" t="s">
        <v>221</v>
      </c>
      <c r="HL34" s="63">
        <f t="shared" ref="HL34" ca="1" si="1522">HH$34+HL32</f>
        <v>-195192.09634194532</v>
      </c>
      <c r="HM34" s="44"/>
      <c r="HN34" s="44"/>
      <c r="HO34" s="1" t="s">
        <v>221</v>
      </c>
      <c r="HP34" s="63">
        <f t="shared" ref="HP34" ca="1" si="1523">HL$34+HP32</f>
        <v>-148748.27860728875</v>
      </c>
      <c r="HQ34" s="44"/>
      <c r="HR34" s="44"/>
      <c r="HS34" s="1" t="s">
        <v>221</v>
      </c>
      <c r="HT34" s="63">
        <f t="shared" ref="HT34" ca="1" si="1524">HP$34+HT32</f>
        <v>-102154.06390192392</v>
      </c>
      <c r="HU34" s="44"/>
      <c r="HV34" s="44"/>
      <c r="HW34" s="1" t="s">
        <v>221</v>
      </c>
      <c r="HX34" s="63">
        <f t="shared" ref="HX34" ca="1" si="1525">HT$34+HX32</f>
        <v>-172262.55337907153</v>
      </c>
      <c r="HY34" s="44"/>
      <c r="HZ34" s="44"/>
      <c r="IA34" s="1" t="s">
        <v>221</v>
      </c>
      <c r="IB34" s="63">
        <f t="shared" ref="IB34" ca="1" si="1526">HX$34+IB32</f>
        <v>-123748.70365280504</v>
      </c>
      <c r="IC34" s="44"/>
      <c r="ID34" s="44"/>
      <c r="IE34" s="1" t="s">
        <v>221</v>
      </c>
      <c r="IF34" s="63">
        <f t="shared" ref="IF34" ca="1" si="1527">IB$34+IF32</f>
        <v>-75208.470664482855</v>
      </c>
      <c r="IG34" s="44"/>
      <c r="IH34" s="44"/>
      <c r="II34" s="1" t="s">
        <v>221</v>
      </c>
      <c r="IJ34" s="63">
        <f t="shared" ref="IJ34" ca="1" si="1528">IF$34+IJ32</f>
        <v>-130171.41122044213</v>
      </c>
      <c r="IK34" s="44"/>
      <c r="IL34" s="44"/>
      <c r="IM34" s="1" t="s">
        <v>221</v>
      </c>
      <c r="IN34" s="63">
        <f t="shared" ref="IN34" ca="1" si="1529">IJ$34+IN32</f>
        <v>-76192.050419413805</v>
      </c>
      <c r="IO34" s="44"/>
      <c r="IP34" s="44"/>
      <c r="IQ34" s="1" t="s">
        <v>221</v>
      </c>
      <c r="IR34" s="63">
        <f t="shared" ref="IR34" ca="1" si="1530">IN$34+IR32</f>
        <v>-22178.094007880172</v>
      </c>
      <c r="IS34" s="44"/>
      <c r="IT34" s="44"/>
      <c r="IU34" s="1" t="s">
        <v>221</v>
      </c>
      <c r="IV34" s="63">
        <f t="shared" ref="IV34" ca="1" si="1531">IR$34+IV32</f>
        <v>-76788.937955978588</v>
      </c>
      <c r="IW34" s="44"/>
      <c r="IX34" s="44"/>
      <c r="IY34" s="1" t="s">
        <v>221</v>
      </c>
      <c r="IZ34" s="63">
        <f t="shared" ref="IZ34" ca="1" si="1532">IV$34+IZ32</f>
        <v>-22753.626747111368</v>
      </c>
      <c r="JA34" s="44"/>
      <c r="JB34" s="44"/>
      <c r="JC34" s="1" t="s">
        <v>221</v>
      </c>
      <c r="JD34" s="63">
        <f t="shared" ref="JD34" ca="1" si="1533">IZ$34+JD32</f>
        <v>31311.231964506034</v>
      </c>
      <c r="JE34" s="44"/>
      <c r="JF34" s="44"/>
      <c r="JG34" s="1" t="s">
        <v>221</v>
      </c>
      <c r="JH34" s="63">
        <f t="shared" ref="JH34" ca="1" si="1534">JD$34+JH32</f>
        <v>-28674.318736491521</v>
      </c>
      <c r="JI34" s="44"/>
      <c r="JJ34" s="44"/>
      <c r="JK34" s="1" t="s">
        <v>221</v>
      </c>
      <c r="JL34" s="63">
        <f t="shared" ref="JL34" ca="1" si="1535">JH$34+JL32</f>
        <v>30949.462665254716</v>
      </c>
      <c r="JM34" s="44"/>
      <c r="JN34" s="44"/>
      <c r="JO34" s="1" t="s">
        <v>221</v>
      </c>
      <c r="JP34" s="63">
        <f t="shared" ref="JP34" ca="1" si="1536">JL$34+JP32</f>
        <v>90387.027782901612</v>
      </c>
      <c r="JQ34" s="44"/>
      <c r="JR34" s="44"/>
      <c r="JS34" s="1" t="s">
        <v>221</v>
      </c>
      <c r="JT34" s="63">
        <f t="shared" ref="JT34" ca="1" si="1537">JP$34+JT32</f>
        <v>29672.733241977243</v>
      </c>
      <c r="JU34" s="44"/>
      <c r="JV34" s="44"/>
      <c r="JW34" s="1" t="s">
        <v>221</v>
      </c>
      <c r="JX34" s="63">
        <f t="shared" ref="JX34" ca="1" si="1538">JT$34+JX32</f>
        <v>88958.612763202938</v>
      </c>
      <c r="JY34" s="44"/>
      <c r="JZ34" s="44"/>
      <c r="KA34" s="1" t="s">
        <v>221</v>
      </c>
      <c r="KB34" s="63">
        <f t="shared" ref="KB34" ca="1" si="1539">JX$34+KB32</f>
        <v>148057.15577959991</v>
      </c>
      <c r="KC34" s="44"/>
      <c r="KD34" s="44"/>
    </row>
    <row r="36" spans="1:290" x14ac:dyDescent="0.25">
      <c r="A36" s="122" t="s">
        <v>1</v>
      </c>
      <c r="B36" s="122" t="s">
        <v>1</v>
      </c>
      <c r="C36" s="122" t="s">
        <v>1</v>
      </c>
      <c r="D36" s="123"/>
      <c r="E36" s="123"/>
      <c r="F36" s="123"/>
      <c r="G36" s="122" t="s">
        <v>1</v>
      </c>
      <c r="H36" s="122" t="s">
        <v>1</v>
      </c>
      <c r="I36" s="122" t="s">
        <v>1</v>
      </c>
      <c r="J36" s="122" t="s">
        <v>1</v>
      </c>
      <c r="K36" s="122" t="s">
        <v>1</v>
      </c>
      <c r="L36" s="122" t="s">
        <v>1</v>
      </c>
      <c r="M36" s="122" t="s">
        <v>1</v>
      </c>
      <c r="N36" s="122" t="s">
        <v>1</v>
      </c>
      <c r="O36" s="122" t="s">
        <v>1</v>
      </c>
      <c r="P36" s="122" t="s">
        <v>1</v>
      </c>
      <c r="Q36" s="122" t="s">
        <v>1</v>
      </c>
      <c r="R36" s="122" t="s">
        <v>1</v>
      </c>
      <c r="S36" s="122" t="s">
        <v>1</v>
      </c>
      <c r="T36" s="122" t="s">
        <v>1</v>
      </c>
      <c r="U36" s="122" t="s">
        <v>1</v>
      </c>
      <c r="V36" s="122" t="s">
        <v>1</v>
      </c>
      <c r="W36" s="122" t="s">
        <v>1</v>
      </c>
      <c r="X36" s="122" t="s">
        <v>1</v>
      </c>
      <c r="Y36" s="122" t="s">
        <v>1</v>
      </c>
      <c r="Z36" s="122" t="s">
        <v>1</v>
      </c>
      <c r="AA36" s="122" t="s">
        <v>1</v>
      </c>
      <c r="AB36" s="122" t="s">
        <v>1</v>
      </c>
      <c r="AC36" s="122" t="s">
        <v>1</v>
      </c>
      <c r="AD36" s="122" t="s">
        <v>1</v>
      </c>
      <c r="AE36" s="122" t="s">
        <v>1</v>
      </c>
      <c r="AF36" s="122" t="s">
        <v>1</v>
      </c>
      <c r="AG36" s="122" t="s">
        <v>1</v>
      </c>
      <c r="AH36" s="122" t="s">
        <v>1</v>
      </c>
      <c r="AI36" s="122" t="s">
        <v>1</v>
      </c>
      <c r="AJ36" s="122" t="s">
        <v>1</v>
      </c>
      <c r="AK36" s="122" t="s">
        <v>1</v>
      </c>
      <c r="AL36" s="122" t="s">
        <v>1</v>
      </c>
      <c r="AM36" s="122" t="s">
        <v>1</v>
      </c>
      <c r="AN36" s="122" t="s">
        <v>1</v>
      </c>
      <c r="AO36" s="122" t="s">
        <v>1</v>
      </c>
      <c r="AP36" s="122" t="s">
        <v>1</v>
      </c>
      <c r="AQ36" s="122" t="s">
        <v>1</v>
      </c>
      <c r="AR36" s="122" t="s">
        <v>1</v>
      </c>
      <c r="AS36" s="122" t="s">
        <v>1</v>
      </c>
      <c r="AT36" s="122" t="s">
        <v>1</v>
      </c>
      <c r="AU36" s="122" t="s">
        <v>1</v>
      </c>
      <c r="AV36" s="122" t="s">
        <v>1</v>
      </c>
      <c r="AW36" s="122" t="s">
        <v>1</v>
      </c>
      <c r="AX36" s="122" t="s">
        <v>1</v>
      </c>
      <c r="AY36" s="122" t="s">
        <v>1</v>
      </c>
      <c r="AZ36" s="122" t="s">
        <v>1</v>
      </c>
      <c r="BA36" s="122" t="s">
        <v>1</v>
      </c>
      <c r="BB36" s="122" t="s">
        <v>1</v>
      </c>
      <c r="BC36" s="122" t="s">
        <v>1</v>
      </c>
      <c r="BD36" s="122" t="s">
        <v>1</v>
      </c>
      <c r="BE36" s="122" t="s">
        <v>1</v>
      </c>
      <c r="BF36" s="122" t="s">
        <v>1</v>
      </c>
      <c r="BG36" s="122" t="s">
        <v>1</v>
      </c>
      <c r="BH36" s="122" t="s">
        <v>1</v>
      </c>
      <c r="BI36" s="122" t="s">
        <v>1</v>
      </c>
      <c r="BJ36" s="122" t="s">
        <v>1</v>
      </c>
      <c r="BK36" s="122" t="s">
        <v>1</v>
      </c>
      <c r="BL36" s="122" t="s">
        <v>1</v>
      </c>
      <c r="BM36" s="122" t="s">
        <v>1</v>
      </c>
      <c r="BN36" s="122" t="s">
        <v>1</v>
      </c>
      <c r="BO36" s="122" t="s">
        <v>1</v>
      </c>
      <c r="BP36" s="122" t="s">
        <v>1</v>
      </c>
      <c r="BQ36" s="122" t="s">
        <v>1</v>
      </c>
      <c r="BR36" s="122" t="s">
        <v>1</v>
      </c>
      <c r="BS36" s="122" t="s">
        <v>1</v>
      </c>
      <c r="BT36" s="122" t="s">
        <v>1</v>
      </c>
      <c r="BU36" s="122" t="s">
        <v>1</v>
      </c>
      <c r="BV36" s="122" t="s">
        <v>1</v>
      </c>
      <c r="BW36" s="122" t="s">
        <v>1</v>
      </c>
      <c r="BX36" s="122" t="s">
        <v>1</v>
      </c>
      <c r="BY36" s="122" t="s">
        <v>1</v>
      </c>
      <c r="BZ36" s="122" t="s">
        <v>1</v>
      </c>
      <c r="CA36" s="122" t="s">
        <v>1</v>
      </c>
      <c r="CB36" s="122" t="s">
        <v>1</v>
      </c>
      <c r="CC36" s="122" t="s">
        <v>1</v>
      </c>
      <c r="CD36" s="122" t="s">
        <v>1</v>
      </c>
      <c r="CE36" s="122" t="s">
        <v>1</v>
      </c>
      <c r="CF36" s="122" t="s">
        <v>1</v>
      </c>
      <c r="CG36" s="122" t="s">
        <v>1</v>
      </c>
      <c r="CH36" s="122" t="s">
        <v>1</v>
      </c>
      <c r="CI36" s="122" t="s">
        <v>1</v>
      </c>
      <c r="CJ36" s="122" t="s">
        <v>1</v>
      </c>
      <c r="CK36" s="122" t="s">
        <v>1</v>
      </c>
      <c r="CL36" s="122" t="s">
        <v>1</v>
      </c>
      <c r="CM36" s="122" t="s">
        <v>1</v>
      </c>
      <c r="CN36" s="122" t="s">
        <v>1</v>
      </c>
      <c r="CO36" s="122" t="s">
        <v>1</v>
      </c>
      <c r="CP36" s="122" t="s">
        <v>1</v>
      </c>
      <c r="CQ36" s="122" t="s">
        <v>1</v>
      </c>
      <c r="CR36" s="122" t="s">
        <v>1</v>
      </c>
      <c r="CS36" s="122" t="s">
        <v>1</v>
      </c>
      <c r="CT36" s="122" t="s">
        <v>1</v>
      </c>
      <c r="CU36" s="122" t="s">
        <v>1</v>
      </c>
      <c r="CV36" s="122" t="s">
        <v>1</v>
      </c>
      <c r="CW36" s="122" t="s">
        <v>1</v>
      </c>
    </row>
    <row r="37" spans="1:290" x14ac:dyDescent="0.25">
      <c r="C37" s="128" t="s">
        <v>242</v>
      </c>
      <c r="G37" s="37" t="s">
        <v>232</v>
      </c>
      <c r="H37" s="44"/>
    </row>
    <row r="38" spans="1:290" x14ac:dyDescent="0.25">
      <c r="C38" s="125">
        <v>0.01</v>
      </c>
    </row>
    <row r="39" spans="1:290" x14ac:dyDescent="0.25">
      <c r="C39" s="124">
        <f ca="1">NPV($C$38,H32:IN32)+D32</f>
        <v>-93782.581352916488</v>
      </c>
      <c r="J39" s="35"/>
    </row>
    <row r="40" spans="1:290" x14ac:dyDescent="0.25">
      <c r="E40" s="35"/>
    </row>
    <row r="43" spans="1:290" x14ac:dyDescent="0.25">
      <c r="D43" s="37"/>
    </row>
    <row r="45" spans="1:290" x14ac:dyDescent="0.25">
      <c r="D45" s="66"/>
    </row>
  </sheetData>
  <phoneticPr fontId="22" type="noConversion"/>
  <conditionalFormatting sqref="A31:XFD34">
    <cfRule type="cellIs" dxfId="1" priority="2" operator="lessThanOrEqual">
      <formula>0</formula>
    </cfRule>
  </conditionalFormatting>
  <conditionalFormatting sqref="C34 G34 K34 O34 S34 W34 AA34 AE34 AI34 AM34 AQ34 AU34 AY34 BC34 BG34 BK34 BO34 BS34 BW34 CA34 CE34 CI34 CM34 CQ34 CU34 CY34 DC34 DG34 DK34 DO34 DS34 DW34 EA34 EE34 EI34 EM34 EQ34 EU34 EY34 FC34 FG34 FK34 FO34 FS34 FW34 GA34 GE34 GI34 GM34 GQ34 GU34 GY34 HC34 HG34 HK34 HO34 HS34 HW34 IA34 IE34 II34 IM34 IQ34 IU34 IY34 JC34 JG34 JK34 JO34 JS34 JW34 KA34">
    <cfRule type="cellIs" dxfId="0" priority="1" operator="lessThanOrEqual">
      <formula>0</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3 Demonstrações</vt:lpstr>
      <vt:lpstr>Fontes</vt:lpstr>
      <vt:lpstr>Simulação Empréstimo</vt:lpstr>
      <vt:lpstr>Investimento Inicial</vt:lpstr>
      <vt:lpstr>Precificação</vt:lpstr>
      <vt:lpstr>Fluxo de Caixa</vt:lpstr>
      <vt:lpstr>Tabela Simples</vt:lpstr>
      <vt:lpstr>Ponto de Equilíbrio</vt:lpstr>
      <vt:lpstr>Distribuições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Lucas Goettems Bohrer</cp:lastModifiedBy>
  <dcterms:created xsi:type="dcterms:W3CDTF">2015-06-05T18:19:34Z</dcterms:created>
  <dcterms:modified xsi:type="dcterms:W3CDTF">2026-03-13T17:55:45Z</dcterms:modified>
</cp:coreProperties>
</file>