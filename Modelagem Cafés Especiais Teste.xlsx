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ucas\OneDrive\Área de Trabalho\TCC\"/>
    </mc:Choice>
  </mc:AlternateContent>
  <xr:revisionPtr revIDLastSave="0" documentId="13_ncr:1_{1B4405AA-682C-4F99-A67A-479C81F2A30A}" xr6:coauthVersionLast="47" xr6:coauthVersionMax="47" xr10:uidLastSave="{00000000-0000-0000-0000-000000000000}"/>
  <bookViews>
    <workbookView xWindow="-108" yWindow="-108" windowWidth="23256" windowHeight="12456" firstSheet="4" activeTab="8" xr2:uid="{00000000-000D-0000-FFFF-FFFF00000000}"/>
  </bookViews>
  <sheets>
    <sheet name="3 Demonstrações" sheetId="1" r:id="rId1"/>
    <sheet name="Fontes" sheetId="3" r:id="rId2"/>
    <sheet name="Simulação Empréstimo" sheetId="6" r:id="rId3"/>
    <sheet name="Investimento Inicial" sheetId="7" r:id="rId4"/>
    <sheet name="Precificação" sheetId="4" r:id="rId5"/>
    <sheet name="Fluxo de Caixa" sheetId="10" r:id="rId6"/>
    <sheet name="Tabela Simples" sheetId="12" r:id="rId7"/>
    <sheet name="Ponto de Equilíbrio" sheetId="13" r:id="rId8"/>
    <sheet name="Distribuições" sheetId="14" r:id="rId9"/>
    <sheet name="Tabelas TCC" sheetId="15" r:id="rId10"/>
  </sheets>
  <definedNames>
    <definedName name="solver_adj" localSheetId="5" hidden="1">'Fluxo de Caixa'!$A$14</definedName>
    <definedName name="solver_cvg" localSheetId="5" hidden="1">0.0001</definedName>
    <definedName name="solver_drv" localSheetId="5" hidden="1">1</definedName>
    <definedName name="solver_eng" localSheetId="5" hidden="1">3</definedName>
    <definedName name="solver_est" localSheetId="5" hidden="1">1</definedName>
    <definedName name="solver_itr" localSheetId="5" hidden="1">2147483647</definedName>
    <definedName name="solver_lhs1" localSheetId="5" hidden="1">'Fluxo de Caixa'!$A$14</definedName>
    <definedName name="solver_lhs2" localSheetId="5" hidden="1">'Fluxo de Caixa'!$A$14</definedName>
    <definedName name="solver_lhs3" localSheetId="5" hidden="1">'Fluxo de Caixa'!$A$14</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2</definedName>
    <definedName name="solver_nwt" localSheetId="5" hidden="1">1</definedName>
    <definedName name="solver_opt" localSheetId="5" hidden="1">'Fluxo de Caixa'!$C$38</definedName>
    <definedName name="solver_pre" localSheetId="5" hidden="1">0.000001</definedName>
    <definedName name="solver_rbv" localSheetId="5" hidden="1">2</definedName>
    <definedName name="solver_rel1" localSheetId="5" hidden="1">1</definedName>
    <definedName name="solver_rel2" localSheetId="5" hidden="1">4</definedName>
    <definedName name="solver_rel3" localSheetId="5" hidden="1">3</definedName>
    <definedName name="solver_rhs1" localSheetId="5" hidden="1">72</definedName>
    <definedName name="solver_rhs2" localSheetId="5" hidden="1">"número inteiro"</definedName>
    <definedName name="solver_rhs3" localSheetId="5" hidden="1">1.1</definedName>
    <definedName name="solver_rlx" localSheetId="5" hidden="1">2</definedName>
    <definedName name="solver_rsd" localSheetId="5" hidden="1">0</definedName>
    <definedName name="solver_scl" localSheetId="5" hidden="1">2</definedName>
    <definedName name="solver_sho" localSheetId="5" hidden="1">2</definedName>
    <definedName name="solver_ssz" localSheetId="5" hidden="1">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B6" i="14" l="1"/>
  <c r="JX6" i="14"/>
  <c r="JT6" i="14"/>
  <c r="JP6" i="14"/>
  <c r="JL6" i="14"/>
  <c r="JH6" i="14"/>
  <c r="JD6" i="14"/>
  <c r="IZ6" i="14"/>
  <c r="IV6" i="14"/>
  <c r="IR6" i="14"/>
  <c r="IN6" i="14"/>
  <c r="IJ6" i="14"/>
  <c r="IF6" i="14"/>
  <c r="IB6" i="14"/>
  <c r="HX6" i="14"/>
  <c r="HT6" i="14"/>
  <c r="HP6" i="14"/>
  <c r="HL6" i="14"/>
  <c r="HH6" i="14"/>
  <c r="HD6" i="14"/>
  <c r="GZ6" i="14"/>
  <c r="GV6" i="14"/>
  <c r="GR6" i="14"/>
  <c r="GN6" i="14"/>
  <c r="GJ6" i="14"/>
  <c r="GF6" i="14"/>
  <c r="GB6" i="14"/>
  <c r="FX6" i="14"/>
  <c r="FT6" i="14"/>
  <c r="FP6" i="14"/>
  <c r="FL6" i="14"/>
  <c r="FH6" i="14"/>
  <c r="FD6" i="14"/>
  <c r="EZ6" i="14"/>
  <c r="EV6" i="14"/>
  <c r="ER6" i="14"/>
  <c r="EN6" i="14"/>
  <c r="EJ6" i="14"/>
  <c r="EF6" i="14"/>
  <c r="EB6" i="14"/>
  <c r="DX6" i="14"/>
  <c r="DT6" i="14"/>
  <c r="DP6" i="14"/>
  <c r="DL6" i="14"/>
  <c r="DH6" i="14"/>
  <c r="DD6" i="14"/>
  <c r="CZ6" i="14"/>
  <c r="CV6" i="14"/>
  <c r="CR6" i="14"/>
  <c r="CN6" i="14"/>
  <c r="CJ6" i="14"/>
  <c r="CF6" i="14"/>
  <c r="CB6" i="14"/>
  <c r="BX6" i="14"/>
  <c r="BT6" i="14"/>
  <c r="BP6" i="14"/>
  <c r="BL6" i="14"/>
  <c r="BH6" i="14"/>
  <c r="BD6" i="14"/>
  <c r="AZ6" i="14"/>
  <c r="AV6" i="14"/>
  <c r="AR6" i="14"/>
  <c r="AN6" i="14"/>
  <c r="AJ6" i="14"/>
  <c r="AF6" i="14"/>
  <c r="AB6" i="14"/>
  <c r="X6" i="14"/>
  <c r="T6" i="14"/>
  <c r="P6" i="14"/>
  <c r="L6" i="14"/>
  <c r="H6" i="14"/>
  <c r="D6" i="14"/>
  <c r="KB5" i="14"/>
  <c r="JX5" i="14"/>
  <c r="JT5" i="14"/>
  <c r="JT4" i="14" s="1"/>
  <c r="JT24" i="14" s="1"/>
  <c r="JP5" i="14"/>
  <c r="JL5" i="14"/>
  <c r="JL4" i="14" s="1"/>
  <c r="JL24" i="14" s="1"/>
  <c r="JH5" i="14"/>
  <c r="JD5" i="14"/>
  <c r="IZ5" i="14"/>
  <c r="IV5" i="14"/>
  <c r="IR5" i="14"/>
  <c r="IN5" i="14"/>
  <c r="IJ5" i="14"/>
  <c r="IF5" i="14"/>
  <c r="IB5" i="14"/>
  <c r="HX5" i="14"/>
  <c r="HT5" i="14"/>
  <c r="HP5" i="14"/>
  <c r="HL5" i="14"/>
  <c r="HH5" i="14"/>
  <c r="HD5" i="14"/>
  <c r="GZ5" i="14"/>
  <c r="GV5" i="14"/>
  <c r="GR5" i="14"/>
  <c r="GN5" i="14"/>
  <c r="GJ5" i="14"/>
  <c r="GJ4" i="14" s="1"/>
  <c r="GF5" i="14"/>
  <c r="GB5" i="14"/>
  <c r="GB19" i="14" s="1"/>
  <c r="FX5" i="14"/>
  <c r="FT5" i="14"/>
  <c r="FP5" i="14"/>
  <c r="FL5" i="14"/>
  <c r="FH5" i="14"/>
  <c r="FD5" i="14"/>
  <c r="EZ5" i="14"/>
  <c r="EV5" i="14"/>
  <c r="ER5" i="14"/>
  <c r="EN5" i="14"/>
  <c r="EN4" i="14" s="1"/>
  <c r="EJ5" i="14"/>
  <c r="EJ4" i="14" s="1"/>
  <c r="EJ24" i="14" s="1"/>
  <c r="EF5" i="14"/>
  <c r="EF19" i="14" s="1"/>
  <c r="EB5" i="14"/>
  <c r="DX5" i="14"/>
  <c r="DX4" i="14" s="1"/>
  <c r="DX24" i="14" s="1"/>
  <c r="DT5" i="14"/>
  <c r="DP5" i="14"/>
  <c r="DL5" i="14"/>
  <c r="DH5" i="14"/>
  <c r="DD5" i="14"/>
  <c r="CZ5" i="14"/>
  <c r="CV5" i="14"/>
  <c r="CR5" i="14"/>
  <c r="CR4" i="14" s="1"/>
  <c r="CN5" i="14"/>
  <c r="CN4" i="14" s="1"/>
  <c r="CN24" i="14" s="1"/>
  <c r="CJ5" i="14"/>
  <c r="CJ19" i="14" s="1"/>
  <c r="CF5" i="14"/>
  <c r="CB5" i="14"/>
  <c r="CB4" i="14" s="1"/>
  <c r="CB24" i="14" s="1"/>
  <c r="BX5" i="14"/>
  <c r="BX4" i="14" s="1"/>
  <c r="BX24" i="14" s="1"/>
  <c r="BT5" i="14"/>
  <c r="BP5" i="14"/>
  <c r="BP4" i="14" s="1"/>
  <c r="BP24" i="14" s="1"/>
  <c r="BL5" i="14"/>
  <c r="BH5" i="14"/>
  <c r="BD5" i="14"/>
  <c r="AZ5" i="14"/>
  <c r="AV5" i="14"/>
  <c r="AV4" i="14" s="1"/>
  <c r="AR5" i="14"/>
  <c r="AR4" i="14" s="1"/>
  <c r="AR24" i="14" s="1"/>
  <c r="AN5" i="14"/>
  <c r="AJ5" i="14"/>
  <c r="AF5" i="14"/>
  <c r="AF4" i="14" s="1"/>
  <c r="AF24" i="14" s="1"/>
  <c r="AB5" i="14"/>
  <c r="AB4" i="14" s="1"/>
  <c r="AB24" i="14" s="1"/>
  <c r="X5" i="14"/>
  <c r="T5" i="14"/>
  <c r="P5" i="14"/>
  <c r="L5" i="14"/>
  <c r="L23" i="14" s="1"/>
  <c r="H5" i="14"/>
  <c r="D5" i="14"/>
  <c r="D23" i="14" s="1"/>
  <c r="KB2" i="14"/>
  <c r="KC12" i="14" s="1"/>
  <c r="JX2" i="14"/>
  <c r="JY12" i="14" s="1"/>
  <c r="JT2" i="14"/>
  <c r="JU12" i="14" s="1"/>
  <c r="JP2" i="14"/>
  <c r="JQ12" i="14" s="1"/>
  <c r="JL2" i="14"/>
  <c r="JM12" i="14" s="1"/>
  <c r="JH2" i="14"/>
  <c r="JH22" i="14" s="1"/>
  <c r="JD2" i="14"/>
  <c r="JE12" i="14" s="1"/>
  <c r="IZ2" i="14"/>
  <c r="JA12" i="14" s="1"/>
  <c r="IV2" i="14"/>
  <c r="IW12" i="14" s="1"/>
  <c r="IR2" i="14"/>
  <c r="IS12" i="14" s="1"/>
  <c r="IN2" i="14"/>
  <c r="IO12" i="14" s="1"/>
  <c r="IJ2" i="14"/>
  <c r="IK12" i="14" s="1"/>
  <c r="IF2" i="14"/>
  <c r="IB2" i="14"/>
  <c r="IC12" i="14" s="1"/>
  <c r="HX2" i="14"/>
  <c r="HY12" i="14" s="1"/>
  <c r="HT2" i="14"/>
  <c r="HU12" i="14" s="1"/>
  <c r="HP2" i="14"/>
  <c r="HL2" i="14"/>
  <c r="HM12" i="14" s="1"/>
  <c r="HH2" i="14"/>
  <c r="HI12" i="14" s="1"/>
  <c r="HD2" i="14"/>
  <c r="HE12" i="14" s="1"/>
  <c r="GZ2" i="14"/>
  <c r="HA12" i="14" s="1"/>
  <c r="GV2" i="14"/>
  <c r="GW12" i="14" s="1"/>
  <c r="GR2" i="14"/>
  <c r="GS12" i="14" s="1"/>
  <c r="GN2" i="14"/>
  <c r="GJ2" i="14"/>
  <c r="GK12" i="14" s="1"/>
  <c r="GF2" i="14"/>
  <c r="GB2" i="14"/>
  <c r="GC12" i="14" s="1"/>
  <c r="FX2" i="14"/>
  <c r="FY12" i="14" s="1"/>
  <c r="FT2" i="14"/>
  <c r="FU12" i="14" s="1"/>
  <c r="FP2" i="14"/>
  <c r="FQ12" i="14" s="1"/>
  <c r="FL2" i="14"/>
  <c r="FM12" i="14" s="1"/>
  <c r="FH2" i="14"/>
  <c r="FI12" i="14" s="1"/>
  <c r="FD2" i="14"/>
  <c r="FE12" i="14" s="1"/>
  <c r="EZ2" i="14"/>
  <c r="FA12" i="14" s="1"/>
  <c r="EV2" i="14"/>
  <c r="EW12" i="14" s="1"/>
  <c r="ER2" i="14"/>
  <c r="ES12" i="14" s="1"/>
  <c r="EN2" i="14"/>
  <c r="EJ2" i="14"/>
  <c r="EK12" i="14" s="1"/>
  <c r="EF2" i="14"/>
  <c r="EG12" i="14" s="1"/>
  <c r="EB2" i="14"/>
  <c r="EC12" i="14" s="1"/>
  <c r="DX2" i="14"/>
  <c r="DY12" i="14" s="1"/>
  <c r="DT2" i="14"/>
  <c r="DU12" i="14" s="1"/>
  <c r="DP2" i="14"/>
  <c r="DQ12" i="14" s="1"/>
  <c r="DL2" i="14"/>
  <c r="DM12" i="14" s="1"/>
  <c r="DH2" i="14"/>
  <c r="DI12" i="14" s="1"/>
  <c r="DD2" i="14"/>
  <c r="DE12" i="14" s="1"/>
  <c r="CZ2" i="14"/>
  <c r="DA12" i="14" s="1"/>
  <c r="CV2" i="14"/>
  <c r="CW12" i="14" s="1"/>
  <c r="CR2" i="14"/>
  <c r="CS12" i="14" s="1"/>
  <c r="CN2" i="14"/>
  <c r="CO12" i="14" s="1"/>
  <c r="CJ2" i="14"/>
  <c r="CK12" i="14" s="1"/>
  <c r="CF2" i="14"/>
  <c r="CG12" i="14" s="1"/>
  <c r="CB2" i="14"/>
  <c r="BX2" i="14"/>
  <c r="BY12" i="14" s="1"/>
  <c r="BT2" i="14"/>
  <c r="BU12" i="14" s="1"/>
  <c r="BP2" i="14"/>
  <c r="BL2" i="14"/>
  <c r="BL21" i="14" s="1"/>
  <c r="BH2" i="14"/>
  <c r="BI12" i="14" s="1"/>
  <c r="BD2" i="14"/>
  <c r="BE12" i="14" s="1"/>
  <c r="AZ2" i="14"/>
  <c r="BA12" i="14" s="1"/>
  <c r="AV2" i="14"/>
  <c r="AR2" i="14"/>
  <c r="AS12" i="14" s="1"/>
  <c r="AN2" i="14"/>
  <c r="AO12" i="14" s="1"/>
  <c r="AJ2" i="14"/>
  <c r="AK12" i="14" s="1"/>
  <c r="AF2" i="14"/>
  <c r="AG12" i="14" s="1"/>
  <c r="AB2" i="14"/>
  <c r="AC12" i="14" s="1"/>
  <c r="X2" i="14"/>
  <c r="Y12" i="14" s="1"/>
  <c r="T2" i="14"/>
  <c r="U12" i="14" s="1"/>
  <c r="P2" i="14"/>
  <c r="P21" i="14" s="1"/>
  <c r="L2" i="14"/>
  <c r="M12" i="14" s="1"/>
  <c r="H2" i="14"/>
  <c r="I12" i="14" s="1"/>
  <c r="D2" i="14"/>
  <c r="T29" i="15"/>
  <c r="T30" i="15"/>
  <c r="U31" i="15"/>
  <c r="U30" i="15"/>
  <c r="T31" i="15"/>
  <c r="U29" i="15"/>
  <c r="N29" i="15"/>
  <c r="N31" i="15"/>
  <c r="M29" i="15"/>
  <c r="M30" i="15"/>
  <c r="M31" i="15"/>
  <c r="KB16" i="14"/>
  <c r="JX16" i="14"/>
  <c r="JT16" i="14"/>
  <c r="JP16" i="14"/>
  <c r="JL16" i="14"/>
  <c r="JH16" i="14"/>
  <c r="JD16" i="14"/>
  <c r="IZ16" i="14"/>
  <c r="IV16" i="14"/>
  <c r="IR16" i="14"/>
  <c r="IN16" i="14"/>
  <c r="IJ16" i="14"/>
  <c r="IF16" i="14"/>
  <c r="IB16" i="14"/>
  <c r="HX16" i="14"/>
  <c r="HT16" i="14"/>
  <c r="HP16" i="14"/>
  <c r="HL16" i="14"/>
  <c r="HH16" i="14"/>
  <c r="HD16" i="14"/>
  <c r="GZ16" i="14"/>
  <c r="GV16" i="14"/>
  <c r="GR16" i="14"/>
  <c r="GN16" i="14"/>
  <c r="GJ16" i="14"/>
  <c r="GF16" i="14"/>
  <c r="GB16" i="14"/>
  <c r="FX16" i="14"/>
  <c r="FT16" i="14"/>
  <c r="FP16" i="14"/>
  <c r="FL16" i="14"/>
  <c r="FH16" i="14"/>
  <c r="FD16" i="14"/>
  <c r="EZ16" i="14"/>
  <c r="EV16" i="14"/>
  <c r="ER16" i="14"/>
  <c r="EN16" i="14"/>
  <c r="EJ16" i="14"/>
  <c r="EF16" i="14"/>
  <c r="EB16" i="14"/>
  <c r="DX16" i="14"/>
  <c r="DT16" i="14"/>
  <c r="DP16" i="14"/>
  <c r="DL16" i="14"/>
  <c r="DH16" i="14"/>
  <c r="DD16" i="14"/>
  <c r="CZ16" i="14"/>
  <c r="CV16" i="14"/>
  <c r="CR16" i="14"/>
  <c r="CN16" i="14"/>
  <c r="CJ16" i="14"/>
  <c r="CF16" i="14"/>
  <c r="CB16" i="14"/>
  <c r="BX16" i="14"/>
  <c r="BT16" i="14"/>
  <c r="BP16" i="14"/>
  <c r="BL16" i="14"/>
  <c r="BH16" i="14"/>
  <c r="BD16" i="14"/>
  <c r="AZ16" i="14"/>
  <c r="AV16" i="14"/>
  <c r="AR16" i="14"/>
  <c r="AN16" i="14"/>
  <c r="AJ16" i="14"/>
  <c r="AF16" i="14"/>
  <c r="AB16" i="14"/>
  <c r="X16" i="14"/>
  <c r="T16" i="14"/>
  <c r="P16" i="14"/>
  <c r="KB15" i="14"/>
  <c r="JX15" i="14"/>
  <c r="JT15" i="14"/>
  <c r="JP15" i="14"/>
  <c r="JL15" i="14"/>
  <c r="JH15" i="14"/>
  <c r="JD15" i="14"/>
  <c r="IZ15" i="14"/>
  <c r="IV15" i="14"/>
  <c r="IR15" i="14"/>
  <c r="IN15" i="14"/>
  <c r="IJ15" i="14"/>
  <c r="IF15" i="14"/>
  <c r="IB15" i="14"/>
  <c r="HX15" i="14"/>
  <c r="HT15" i="14"/>
  <c r="HP15" i="14"/>
  <c r="HL15" i="14"/>
  <c r="HH15" i="14"/>
  <c r="HD15" i="14"/>
  <c r="GZ15" i="14"/>
  <c r="GV15" i="14"/>
  <c r="GR15" i="14"/>
  <c r="GN15" i="14"/>
  <c r="GJ15" i="14"/>
  <c r="GF15" i="14"/>
  <c r="GB15" i="14"/>
  <c r="FX15" i="14"/>
  <c r="FT15" i="14"/>
  <c r="FP15" i="14"/>
  <c r="FL15" i="14"/>
  <c r="FH15" i="14"/>
  <c r="FD15" i="14"/>
  <c r="EZ15" i="14"/>
  <c r="EV15" i="14"/>
  <c r="ER15" i="14"/>
  <c r="EN15" i="14"/>
  <c r="EJ15" i="14"/>
  <c r="EF15" i="14"/>
  <c r="EB15" i="14"/>
  <c r="DX15" i="14"/>
  <c r="DT15" i="14"/>
  <c r="DP15" i="14"/>
  <c r="DL15" i="14"/>
  <c r="DH15" i="14"/>
  <c r="DD15" i="14"/>
  <c r="CZ15" i="14"/>
  <c r="CV15" i="14"/>
  <c r="CR15" i="14"/>
  <c r="CN15" i="14"/>
  <c r="CJ15" i="14"/>
  <c r="CF15" i="14"/>
  <c r="CB15" i="14"/>
  <c r="BX15" i="14"/>
  <c r="BT15" i="14"/>
  <c r="BP15" i="14"/>
  <c r="BL15" i="14"/>
  <c r="BH15" i="14"/>
  <c r="BD15" i="14"/>
  <c r="AZ15" i="14"/>
  <c r="AV15" i="14"/>
  <c r="AR15" i="14"/>
  <c r="AN15" i="14"/>
  <c r="AJ15" i="14"/>
  <c r="AF15" i="14"/>
  <c r="AB15" i="14"/>
  <c r="X15" i="14"/>
  <c r="T15" i="14"/>
  <c r="P15" i="14"/>
  <c r="KB14" i="14"/>
  <c r="JX14" i="14"/>
  <c r="JT14" i="14"/>
  <c r="JP14" i="14"/>
  <c r="JL14" i="14"/>
  <c r="JH14" i="14"/>
  <c r="JD14" i="14"/>
  <c r="IZ14" i="14"/>
  <c r="IV14" i="14"/>
  <c r="IR14" i="14"/>
  <c r="IN14" i="14"/>
  <c r="IJ14" i="14"/>
  <c r="IF14" i="14"/>
  <c r="IB14" i="14"/>
  <c r="HX14" i="14"/>
  <c r="HT14" i="14"/>
  <c r="HP14" i="14"/>
  <c r="HL14" i="14"/>
  <c r="HH14" i="14"/>
  <c r="HD14" i="14"/>
  <c r="GZ14" i="14"/>
  <c r="GV14" i="14"/>
  <c r="GR14" i="14"/>
  <c r="GN14" i="14"/>
  <c r="GJ14" i="14"/>
  <c r="GF14" i="14"/>
  <c r="GB14" i="14"/>
  <c r="FX14" i="14"/>
  <c r="FT14" i="14"/>
  <c r="FP14" i="14"/>
  <c r="FL14" i="14"/>
  <c r="FH14" i="14"/>
  <c r="FD14" i="14"/>
  <c r="EZ14" i="14"/>
  <c r="EV14" i="14"/>
  <c r="ER14" i="14"/>
  <c r="EN14" i="14"/>
  <c r="EJ14" i="14"/>
  <c r="EF14" i="14"/>
  <c r="EB14" i="14"/>
  <c r="DX14" i="14"/>
  <c r="DT14" i="14"/>
  <c r="DP14" i="14"/>
  <c r="DL14" i="14"/>
  <c r="DH14" i="14"/>
  <c r="DD14" i="14"/>
  <c r="CZ14" i="14"/>
  <c r="CV14" i="14"/>
  <c r="CR14" i="14"/>
  <c r="CN14" i="14"/>
  <c r="CJ14" i="14"/>
  <c r="CF14" i="14"/>
  <c r="CB14" i="14"/>
  <c r="BX14" i="14"/>
  <c r="BT14" i="14"/>
  <c r="BP14" i="14"/>
  <c r="BL14" i="14"/>
  <c r="BH14" i="14"/>
  <c r="BD14" i="14"/>
  <c r="AZ14" i="14"/>
  <c r="AV14" i="14"/>
  <c r="AR14" i="14"/>
  <c r="AN14" i="14"/>
  <c r="AJ14" i="14"/>
  <c r="AF14" i="14"/>
  <c r="AB14" i="14"/>
  <c r="X14" i="14"/>
  <c r="T14" i="14"/>
  <c r="P14" i="14"/>
  <c r="KB13" i="14"/>
  <c r="JX13" i="14"/>
  <c r="JT13" i="14"/>
  <c r="JP13" i="14"/>
  <c r="JL13" i="14"/>
  <c r="JH13" i="14"/>
  <c r="JD13" i="14"/>
  <c r="IZ13" i="14"/>
  <c r="IV13" i="14"/>
  <c r="IR13" i="14"/>
  <c r="IN13" i="14"/>
  <c r="IJ13" i="14"/>
  <c r="IF13" i="14"/>
  <c r="IB13" i="14"/>
  <c r="HX13" i="14"/>
  <c r="HT13" i="14"/>
  <c r="HP13" i="14"/>
  <c r="HL13" i="14"/>
  <c r="HH13" i="14"/>
  <c r="HD13" i="14"/>
  <c r="GZ13" i="14"/>
  <c r="GV13" i="14"/>
  <c r="GR13" i="14"/>
  <c r="GN13" i="14"/>
  <c r="GJ13" i="14"/>
  <c r="GF13" i="14"/>
  <c r="GB13" i="14"/>
  <c r="FX13" i="14"/>
  <c r="FT13" i="14"/>
  <c r="FP13" i="14"/>
  <c r="FL13" i="14"/>
  <c r="FH13" i="14"/>
  <c r="FD13" i="14"/>
  <c r="EZ13" i="14"/>
  <c r="EV13" i="14"/>
  <c r="ER13" i="14"/>
  <c r="EN13" i="14"/>
  <c r="EJ13" i="14"/>
  <c r="EF13" i="14"/>
  <c r="EB13" i="14"/>
  <c r="DX13" i="14"/>
  <c r="DT13" i="14"/>
  <c r="DP13" i="14"/>
  <c r="DL13" i="14"/>
  <c r="DH13" i="14"/>
  <c r="DD13" i="14"/>
  <c r="CZ13" i="14"/>
  <c r="CV13" i="14"/>
  <c r="CR13" i="14"/>
  <c r="CN13" i="14"/>
  <c r="CJ13" i="14"/>
  <c r="CF13" i="14"/>
  <c r="CB13" i="14"/>
  <c r="BX13" i="14"/>
  <c r="BT13" i="14"/>
  <c r="BP13" i="14"/>
  <c r="BL13" i="14"/>
  <c r="BH13" i="14"/>
  <c r="BD13" i="14"/>
  <c r="AZ13" i="14"/>
  <c r="AV13" i="14"/>
  <c r="AR13" i="14"/>
  <c r="AN13" i="14"/>
  <c r="AJ13" i="14"/>
  <c r="AF13" i="14"/>
  <c r="AB13" i="14"/>
  <c r="X13" i="14"/>
  <c r="T13" i="14"/>
  <c r="P13" i="14"/>
  <c r="JZ12" i="14"/>
  <c r="JV12" i="14"/>
  <c r="JR12" i="14"/>
  <c r="JN12" i="14"/>
  <c r="JJ12" i="14"/>
  <c r="JF12" i="14"/>
  <c r="JB12" i="14"/>
  <c r="IX12" i="14"/>
  <c r="IT12" i="14"/>
  <c r="IP12" i="14"/>
  <c r="IL12" i="14"/>
  <c r="IH12" i="14"/>
  <c r="ID12" i="14"/>
  <c r="HZ12" i="14"/>
  <c r="HV12" i="14"/>
  <c r="HR12" i="14"/>
  <c r="HN12" i="14"/>
  <c r="HJ12" i="14"/>
  <c r="HF12" i="14"/>
  <c r="HB12" i="14"/>
  <c r="GX12" i="14"/>
  <c r="GT12" i="14"/>
  <c r="GP12" i="14"/>
  <c r="GL12" i="14"/>
  <c r="GH12" i="14"/>
  <c r="GD12" i="14"/>
  <c r="FZ12" i="14"/>
  <c r="FV12" i="14"/>
  <c r="FR12" i="14"/>
  <c r="FN12" i="14"/>
  <c r="FJ12" i="14"/>
  <c r="FF12" i="14"/>
  <c r="FB12" i="14"/>
  <c r="EX12" i="14"/>
  <c r="ET12" i="14"/>
  <c r="EP12" i="14"/>
  <c r="EL12" i="14"/>
  <c r="EH12" i="14"/>
  <c r="ED12" i="14"/>
  <c r="DZ12" i="14"/>
  <c r="DV12" i="14"/>
  <c r="DR12" i="14"/>
  <c r="DN12" i="14"/>
  <c r="DJ12" i="14"/>
  <c r="DF12" i="14"/>
  <c r="DB12" i="14"/>
  <c r="CX12" i="14"/>
  <c r="CT12" i="14"/>
  <c r="CP12" i="14"/>
  <c r="CL12" i="14"/>
  <c r="CH12" i="14"/>
  <c r="CD12" i="14"/>
  <c r="BZ12" i="14"/>
  <c r="BV12" i="14"/>
  <c r="BR12" i="14"/>
  <c r="BN12" i="14"/>
  <c r="BJ12" i="14"/>
  <c r="BF12" i="14"/>
  <c r="BB12" i="14"/>
  <c r="AX12" i="14"/>
  <c r="AT12" i="14"/>
  <c r="AP12" i="14"/>
  <c r="AL12" i="14"/>
  <c r="AH12" i="14"/>
  <c r="AD12" i="14"/>
  <c r="Z12" i="14"/>
  <c r="V12" i="14"/>
  <c r="R12" i="14"/>
  <c r="O1" i="14"/>
  <c r="K1" i="14"/>
  <c r="L12" i="14"/>
  <c r="K12" i="14" s="1"/>
  <c r="N12" i="14"/>
  <c r="L13" i="14"/>
  <c r="L14" i="14"/>
  <c r="L15" i="14"/>
  <c r="L16" i="14"/>
  <c r="H16" i="14"/>
  <c r="H15" i="14"/>
  <c r="H14" i="14"/>
  <c r="H13" i="14"/>
  <c r="J12" i="14"/>
  <c r="H12" i="14"/>
  <c r="G12" i="14" s="1"/>
  <c r="D15" i="14"/>
  <c r="G1" i="14"/>
  <c r="AA11" i="15"/>
  <c r="AA10" i="15"/>
  <c r="F12" i="14"/>
  <c r="D16" i="14"/>
  <c r="D14" i="14"/>
  <c r="D13" i="14"/>
  <c r="D4" i="13"/>
  <c r="D5" i="13"/>
  <c r="D6" i="13"/>
  <c r="D7" i="13"/>
  <c r="D8" i="13"/>
  <c r="E8" i="13" s="1"/>
  <c r="D9" i="13"/>
  <c r="E9" i="13" s="1"/>
  <c r="D3" i="13"/>
  <c r="E3" i="13" s="1"/>
  <c r="B3" i="13"/>
  <c r="E4" i="13"/>
  <c r="E5" i="13"/>
  <c r="E6" i="13"/>
  <c r="E7" i="13"/>
  <c r="B25" i="4"/>
  <c r="B21" i="4"/>
  <c r="G4" i="13"/>
  <c r="G5" i="13"/>
  <c r="G6" i="13"/>
  <c r="G7" i="13"/>
  <c r="G8" i="13"/>
  <c r="G9" i="13"/>
  <c r="B9" i="13" s="1"/>
  <c r="B4" i="13"/>
  <c r="B5" i="13"/>
  <c r="B6" i="13"/>
  <c r="B7" i="13"/>
  <c r="B8" i="13"/>
  <c r="G3" i="13"/>
  <c r="L4" i="10"/>
  <c r="P4" i="10"/>
  <c r="T4" i="10"/>
  <c r="X4" i="10"/>
  <c r="AB4" i="10"/>
  <c r="AF4" i="10"/>
  <c r="AJ4" i="10"/>
  <c r="AN4" i="10"/>
  <c r="AR4" i="10"/>
  <c r="AV4" i="10"/>
  <c r="AZ4" i="10"/>
  <c r="BD4" i="10"/>
  <c r="BD26" i="10" s="1"/>
  <c r="BH4" i="10"/>
  <c r="BL4" i="10"/>
  <c r="BP4" i="10"/>
  <c r="BT4" i="10"/>
  <c r="BX4" i="10"/>
  <c r="CB4" i="10"/>
  <c r="CF4" i="10"/>
  <c r="CJ4" i="10"/>
  <c r="CN4" i="10"/>
  <c r="CR4" i="10"/>
  <c r="CV4" i="10"/>
  <c r="CZ4" i="10"/>
  <c r="CZ23" i="10" s="1"/>
  <c r="DD4" i="10"/>
  <c r="DH4" i="10"/>
  <c r="DH3" i="10" s="1"/>
  <c r="DH28" i="10" s="1"/>
  <c r="DL4" i="10"/>
  <c r="DP4" i="10"/>
  <c r="DT4" i="10"/>
  <c r="DX4" i="10"/>
  <c r="EB4" i="10"/>
  <c r="EF4" i="10"/>
  <c r="EJ4" i="10"/>
  <c r="EN4" i="10"/>
  <c r="ER4" i="10"/>
  <c r="EV4" i="10"/>
  <c r="EZ4" i="10"/>
  <c r="FD4" i="10"/>
  <c r="FD3" i="10" s="1"/>
  <c r="FD28" i="10" s="1"/>
  <c r="FH4" i="10"/>
  <c r="FL4" i="10"/>
  <c r="FP4" i="10"/>
  <c r="FT4" i="10"/>
  <c r="FX4" i="10"/>
  <c r="GB4" i="10"/>
  <c r="GF4" i="10"/>
  <c r="GJ4" i="10"/>
  <c r="GN4" i="10"/>
  <c r="GR4" i="10"/>
  <c r="GV4" i="10"/>
  <c r="GZ4" i="10"/>
  <c r="GZ3" i="10" s="1"/>
  <c r="GZ28" i="10" s="1"/>
  <c r="HD4" i="10"/>
  <c r="HH4" i="10"/>
  <c r="HH3" i="10" s="1"/>
  <c r="HL4" i="10"/>
  <c r="HP4" i="10"/>
  <c r="HT4" i="10"/>
  <c r="HX4" i="10"/>
  <c r="IB4" i="10"/>
  <c r="IF4" i="10"/>
  <c r="IJ4" i="10"/>
  <c r="IJ3" i="10" s="1"/>
  <c r="IJ28" i="10" s="1"/>
  <c r="IN4" i="10"/>
  <c r="IR4" i="10"/>
  <c r="IR23" i="10" s="1"/>
  <c r="IV4" i="10"/>
  <c r="IV3" i="10" s="1"/>
  <c r="IV28" i="10" s="1"/>
  <c r="IZ4" i="10"/>
  <c r="JD4" i="10"/>
  <c r="JD3" i="10" s="1"/>
  <c r="JH4" i="10"/>
  <c r="JL4" i="10"/>
  <c r="JP4" i="10"/>
  <c r="JT4" i="10"/>
  <c r="JX4" i="10"/>
  <c r="KB4" i="10"/>
  <c r="KF4" i="10"/>
  <c r="KF3" i="10" s="1"/>
  <c r="L5" i="10"/>
  <c r="P5" i="10"/>
  <c r="T5" i="10"/>
  <c r="X5" i="10"/>
  <c r="AB5" i="10"/>
  <c r="AF5" i="10"/>
  <c r="AJ5" i="10"/>
  <c r="AN5" i="10"/>
  <c r="AR5" i="10"/>
  <c r="AV5" i="10"/>
  <c r="AZ5" i="10"/>
  <c r="BD5" i="10"/>
  <c r="BH5" i="10"/>
  <c r="BL5" i="10"/>
  <c r="BP5" i="10"/>
  <c r="BT5" i="10"/>
  <c r="BX5" i="10"/>
  <c r="CB5" i="10"/>
  <c r="CF5" i="10"/>
  <c r="CJ5" i="10"/>
  <c r="CN5" i="10"/>
  <c r="CR5" i="10"/>
  <c r="CV5" i="10"/>
  <c r="CZ5" i="10"/>
  <c r="DD5" i="10"/>
  <c r="DH5" i="10"/>
  <c r="DL5" i="10"/>
  <c r="DP5" i="10"/>
  <c r="DT5" i="10"/>
  <c r="DX5" i="10"/>
  <c r="EB5" i="10"/>
  <c r="EF5" i="10"/>
  <c r="EJ5" i="10"/>
  <c r="EN5" i="10"/>
  <c r="ER5" i="10"/>
  <c r="EV5" i="10"/>
  <c r="EZ5" i="10"/>
  <c r="FD5" i="10"/>
  <c r="FH5" i="10"/>
  <c r="FL5" i="10"/>
  <c r="FP5" i="10"/>
  <c r="FT5" i="10"/>
  <c r="FX5" i="10"/>
  <c r="GB5" i="10"/>
  <c r="GF5" i="10"/>
  <c r="GJ5" i="10"/>
  <c r="GN5" i="10"/>
  <c r="GR5" i="10"/>
  <c r="GV5" i="10"/>
  <c r="GZ5" i="10"/>
  <c r="HD5" i="10"/>
  <c r="HH5" i="10"/>
  <c r="HL5" i="10"/>
  <c r="HP5" i="10"/>
  <c r="HT5" i="10"/>
  <c r="HX5" i="10"/>
  <c r="IB5" i="10"/>
  <c r="IF5" i="10"/>
  <c r="IJ5" i="10"/>
  <c r="IN5" i="10"/>
  <c r="IR5" i="10"/>
  <c r="IV5" i="10"/>
  <c r="IZ5" i="10"/>
  <c r="JD5" i="10"/>
  <c r="JH5" i="10"/>
  <c r="JL5" i="10"/>
  <c r="JP5" i="10"/>
  <c r="JT5" i="10"/>
  <c r="JX5" i="10"/>
  <c r="KB5" i="10"/>
  <c r="KF5" i="10"/>
  <c r="N12" i="10"/>
  <c r="M12" i="10" s="1"/>
  <c r="R12" i="10"/>
  <c r="Q12" i="10" s="1"/>
  <c r="V12" i="10"/>
  <c r="U12" i="10" s="1"/>
  <c r="Z12" i="10"/>
  <c r="Y12" i="10" s="1"/>
  <c r="AD12" i="10"/>
  <c r="AC12" i="10" s="1"/>
  <c r="AH12" i="10"/>
  <c r="AG12" i="10" s="1"/>
  <c r="AL12" i="10"/>
  <c r="AK12" i="10" s="1"/>
  <c r="AP12" i="10"/>
  <c r="AO12" i="10" s="1"/>
  <c r="AT12" i="10"/>
  <c r="AS12" i="10" s="1"/>
  <c r="AX12" i="10"/>
  <c r="AW12" i="10" s="1"/>
  <c r="BB12" i="10"/>
  <c r="BA12" i="10" s="1"/>
  <c r="BF12" i="10"/>
  <c r="BE12" i="10" s="1"/>
  <c r="BJ12" i="10"/>
  <c r="BI12" i="10" s="1"/>
  <c r="BN12" i="10"/>
  <c r="BM12" i="10" s="1"/>
  <c r="BR12" i="10"/>
  <c r="BQ12" i="10" s="1"/>
  <c r="BV12" i="10"/>
  <c r="BU12" i="10" s="1"/>
  <c r="BZ12" i="10"/>
  <c r="BY12" i="10" s="1"/>
  <c r="CD12" i="10"/>
  <c r="CC12" i="10" s="1"/>
  <c r="CH12" i="10"/>
  <c r="CG12" i="10" s="1"/>
  <c r="CL12" i="10"/>
  <c r="CK12" i="10" s="1"/>
  <c r="CP12" i="10"/>
  <c r="CO12" i="10" s="1"/>
  <c r="CT12" i="10"/>
  <c r="CS12" i="10" s="1"/>
  <c r="CX12" i="10"/>
  <c r="CW12" i="10" s="1"/>
  <c r="DB12" i="10"/>
  <c r="DA12" i="10" s="1"/>
  <c r="DF12" i="10"/>
  <c r="DE12" i="10" s="1"/>
  <c r="DJ12" i="10"/>
  <c r="DI12" i="10" s="1"/>
  <c r="DN12" i="10"/>
  <c r="DM12" i="10" s="1"/>
  <c r="DR12" i="10"/>
  <c r="DQ12" i="10" s="1"/>
  <c r="DV12" i="10"/>
  <c r="DU12" i="10" s="1"/>
  <c r="DZ12" i="10"/>
  <c r="DY12" i="10" s="1"/>
  <c r="ED12" i="10"/>
  <c r="EC12" i="10" s="1"/>
  <c r="EH12" i="10"/>
  <c r="EG12" i="10" s="1"/>
  <c r="EL12" i="10"/>
  <c r="EK12" i="10" s="1"/>
  <c r="EP12" i="10"/>
  <c r="EO12" i="10" s="1"/>
  <c r="ET12" i="10"/>
  <c r="ES12" i="10" s="1"/>
  <c r="EX12" i="10"/>
  <c r="EW12" i="10" s="1"/>
  <c r="FB12" i="10"/>
  <c r="FA12" i="10" s="1"/>
  <c r="FF12" i="10"/>
  <c r="FE12" i="10" s="1"/>
  <c r="FJ12" i="10"/>
  <c r="FI12" i="10" s="1"/>
  <c r="FN12" i="10"/>
  <c r="FM12" i="10" s="1"/>
  <c r="FR12" i="10"/>
  <c r="FQ12" i="10" s="1"/>
  <c r="FV12" i="10"/>
  <c r="FU12" i="10" s="1"/>
  <c r="FZ12" i="10"/>
  <c r="FY12" i="10" s="1"/>
  <c r="GD12" i="10"/>
  <c r="GC12" i="10" s="1"/>
  <c r="GH12" i="10"/>
  <c r="GG12" i="10" s="1"/>
  <c r="GL12" i="10"/>
  <c r="GK12" i="10" s="1"/>
  <c r="GP12" i="10"/>
  <c r="GO12" i="10" s="1"/>
  <c r="GT12" i="10"/>
  <c r="GS12" i="10" s="1"/>
  <c r="GX12" i="10"/>
  <c r="GW12" i="10" s="1"/>
  <c r="HB12" i="10"/>
  <c r="HA12" i="10" s="1"/>
  <c r="HF12" i="10"/>
  <c r="HE12" i="10" s="1"/>
  <c r="HJ12" i="10"/>
  <c r="HI12" i="10" s="1"/>
  <c r="HN12" i="10"/>
  <c r="HM12" i="10" s="1"/>
  <c r="HR12" i="10"/>
  <c r="HQ12" i="10" s="1"/>
  <c r="HV12" i="10"/>
  <c r="HU12" i="10" s="1"/>
  <c r="HZ12" i="10"/>
  <c r="HY12" i="10" s="1"/>
  <c r="ID12" i="10"/>
  <c r="IC12" i="10" s="1"/>
  <c r="IH12" i="10"/>
  <c r="IG12" i="10" s="1"/>
  <c r="IL12" i="10"/>
  <c r="IK12" i="10" s="1"/>
  <c r="IP12" i="10"/>
  <c r="IO12" i="10" s="1"/>
  <c r="IT12" i="10"/>
  <c r="IS12" i="10" s="1"/>
  <c r="IX12" i="10"/>
  <c r="IW12" i="10" s="1"/>
  <c r="JB12" i="10"/>
  <c r="JA12" i="10" s="1"/>
  <c r="JF12" i="10"/>
  <c r="JE12" i="10" s="1"/>
  <c r="JJ12" i="10"/>
  <c r="JI12" i="10" s="1"/>
  <c r="JN12" i="10"/>
  <c r="JM12" i="10" s="1"/>
  <c r="JR12" i="10"/>
  <c r="JQ12" i="10" s="1"/>
  <c r="JV12" i="10"/>
  <c r="JU12" i="10" s="1"/>
  <c r="JZ12" i="10"/>
  <c r="JY12" i="10" s="1"/>
  <c r="KD12" i="10"/>
  <c r="KC12" i="10" s="1"/>
  <c r="KH12" i="10"/>
  <c r="KG12" i="10" s="1"/>
  <c r="L17" i="10"/>
  <c r="P17" i="10"/>
  <c r="T17" i="10"/>
  <c r="X17" i="10"/>
  <c r="AB17" i="10"/>
  <c r="AF17" i="10"/>
  <c r="AJ17" i="10"/>
  <c r="AN17" i="10"/>
  <c r="AR17" i="10"/>
  <c r="AV17" i="10"/>
  <c r="AZ17" i="10"/>
  <c r="BD17" i="10"/>
  <c r="BH17" i="10"/>
  <c r="BL17" i="10"/>
  <c r="BP17" i="10"/>
  <c r="BT17" i="10"/>
  <c r="BX17" i="10"/>
  <c r="CB17" i="10"/>
  <c r="CF17" i="10"/>
  <c r="CJ17" i="10"/>
  <c r="CN17" i="10"/>
  <c r="CR17" i="10"/>
  <c r="CV17" i="10"/>
  <c r="CZ17" i="10"/>
  <c r="DD17" i="10"/>
  <c r="DH17" i="10"/>
  <c r="DL17" i="10"/>
  <c r="DP17" i="10"/>
  <c r="DT17" i="10"/>
  <c r="DX17" i="10"/>
  <c r="EB17" i="10"/>
  <c r="EF17" i="10"/>
  <c r="EJ17" i="10"/>
  <c r="EN17" i="10"/>
  <c r="ER17" i="10"/>
  <c r="EV17" i="10"/>
  <c r="EZ17" i="10"/>
  <c r="FD17" i="10"/>
  <c r="FH17" i="10"/>
  <c r="FL17" i="10"/>
  <c r="FP17" i="10"/>
  <c r="FT17" i="10"/>
  <c r="FX17" i="10"/>
  <c r="GB17" i="10"/>
  <c r="GF17" i="10"/>
  <c r="GJ17" i="10"/>
  <c r="GN17" i="10"/>
  <c r="GR17" i="10"/>
  <c r="GV17" i="10"/>
  <c r="GZ17" i="10"/>
  <c r="HD17" i="10"/>
  <c r="HH17" i="10"/>
  <c r="HL17" i="10"/>
  <c r="HP17" i="10"/>
  <c r="HT17" i="10"/>
  <c r="HX17" i="10"/>
  <c r="IB17" i="10"/>
  <c r="IF17" i="10"/>
  <c r="IJ17" i="10"/>
  <c r="IN17" i="10"/>
  <c r="IR17" i="10"/>
  <c r="IV17" i="10"/>
  <c r="IZ17" i="10"/>
  <c r="JD17" i="10"/>
  <c r="JH17" i="10"/>
  <c r="JL17" i="10"/>
  <c r="JP17" i="10"/>
  <c r="JT17" i="10"/>
  <c r="JX17" i="10"/>
  <c r="KB17" i="10"/>
  <c r="KF17" i="10"/>
  <c r="L18" i="10"/>
  <c r="P18" i="10"/>
  <c r="T18" i="10"/>
  <c r="X18" i="10"/>
  <c r="AB18" i="10"/>
  <c r="AF18" i="10"/>
  <c r="AJ18" i="10"/>
  <c r="AN18" i="10"/>
  <c r="AR18" i="10"/>
  <c r="AV18" i="10"/>
  <c r="AZ18" i="10"/>
  <c r="BD18" i="10"/>
  <c r="BH18" i="10"/>
  <c r="BL18" i="10"/>
  <c r="BP18" i="10"/>
  <c r="BT18" i="10"/>
  <c r="BX18" i="10"/>
  <c r="CB18" i="10"/>
  <c r="CF18" i="10"/>
  <c r="CJ18" i="10"/>
  <c r="CN18" i="10"/>
  <c r="CR18" i="10"/>
  <c r="CV18" i="10"/>
  <c r="CZ18" i="10"/>
  <c r="DD18" i="10"/>
  <c r="DH18" i="10"/>
  <c r="DL18" i="10"/>
  <c r="DP18" i="10"/>
  <c r="DT18" i="10"/>
  <c r="DX18" i="10"/>
  <c r="EB18" i="10"/>
  <c r="EF18" i="10"/>
  <c r="EJ18" i="10"/>
  <c r="EN18" i="10"/>
  <c r="ER18" i="10"/>
  <c r="EV18" i="10"/>
  <c r="EZ18" i="10"/>
  <c r="FD18" i="10"/>
  <c r="FH18" i="10"/>
  <c r="FL18" i="10"/>
  <c r="FP18" i="10"/>
  <c r="FT18" i="10"/>
  <c r="FX18" i="10"/>
  <c r="GB18" i="10"/>
  <c r="GF18" i="10"/>
  <c r="GJ18" i="10"/>
  <c r="GN18" i="10"/>
  <c r="GR18" i="10"/>
  <c r="GV18" i="10"/>
  <c r="GZ18" i="10"/>
  <c r="HD18" i="10"/>
  <c r="HH18" i="10"/>
  <c r="HL18" i="10"/>
  <c r="HP18" i="10"/>
  <c r="HT18" i="10"/>
  <c r="HX18" i="10"/>
  <c r="IB18" i="10"/>
  <c r="IF18" i="10"/>
  <c r="IJ18" i="10"/>
  <c r="IN18" i="10"/>
  <c r="IR18" i="10"/>
  <c r="IV18" i="10"/>
  <c r="IZ18" i="10"/>
  <c r="JD18" i="10"/>
  <c r="JH18" i="10"/>
  <c r="JL18" i="10"/>
  <c r="JP18" i="10"/>
  <c r="JT18" i="10"/>
  <c r="JX18" i="10"/>
  <c r="KB18" i="10"/>
  <c r="KF18" i="10"/>
  <c r="L19" i="10"/>
  <c r="P19" i="10"/>
  <c r="T19" i="10"/>
  <c r="X19" i="10"/>
  <c r="AB19" i="10"/>
  <c r="AF19" i="10"/>
  <c r="AJ19" i="10"/>
  <c r="AN19" i="10"/>
  <c r="AR19" i="10"/>
  <c r="AV19" i="10"/>
  <c r="AZ19" i="10"/>
  <c r="BD19" i="10"/>
  <c r="BH19" i="10"/>
  <c r="BL19" i="10"/>
  <c r="BP19" i="10"/>
  <c r="BT19" i="10"/>
  <c r="BX19" i="10"/>
  <c r="CB19" i="10"/>
  <c r="CF19" i="10"/>
  <c r="CJ19" i="10"/>
  <c r="CN19" i="10"/>
  <c r="CR19" i="10"/>
  <c r="CV19" i="10"/>
  <c r="CZ19" i="10"/>
  <c r="DD19" i="10"/>
  <c r="DH19" i="10"/>
  <c r="DL19" i="10"/>
  <c r="DP19" i="10"/>
  <c r="DT19" i="10"/>
  <c r="DX19" i="10"/>
  <c r="EB19" i="10"/>
  <c r="EF19" i="10"/>
  <c r="EJ19" i="10"/>
  <c r="EN19" i="10"/>
  <c r="ER19" i="10"/>
  <c r="EV19" i="10"/>
  <c r="EZ19" i="10"/>
  <c r="FD19" i="10"/>
  <c r="FH19" i="10"/>
  <c r="FL19" i="10"/>
  <c r="FP19" i="10"/>
  <c r="FT19" i="10"/>
  <c r="FX19" i="10"/>
  <c r="GB19" i="10"/>
  <c r="GF19" i="10"/>
  <c r="GJ19" i="10"/>
  <c r="GN19" i="10"/>
  <c r="GR19" i="10"/>
  <c r="GV19" i="10"/>
  <c r="GZ19" i="10"/>
  <c r="HD19" i="10"/>
  <c r="HH19" i="10"/>
  <c r="HL19" i="10"/>
  <c r="HP19" i="10"/>
  <c r="HT19" i="10"/>
  <c r="HX19" i="10"/>
  <c r="IB19" i="10"/>
  <c r="IF19" i="10"/>
  <c r="IJ19" i="10"/>
  <c r="IN19" i="10"/>
  <c r="IR19" i="10"/>
  <c r="IV19" i="10"/>
  <c r="IZ19" i="10"/>
  <c r="JD19" i="10"/>
  <c r="JH19" i="10"/>
  <c r="JL19" i="10"/>
  <c r="JP19" i="10"/>
  <c r="JT19" i="10"/>
  <c r="JX19" i="10"/>
  <c r="KB19" i="10"/>
  <c r="KF19" i="10"/>
  <c r="L21" i="10"/>
  <c r="P21" i="10"/>
  <c r="T21" i="10"/>
  <c r="X21" i="10"/>
  <c r="AB21" i="10"/>
  <c r="AF21" i="10"/>
  <c r="AJ21" i="10"/>
  <c r="AN21" i="10"/>
  <c r="AR21" i="10"/>
  <c r="AV21" i="10"/>
  <c r="AZ21" i="10"/>
  <c r="BD21" i="10"/>
  <c r="BH21" i="10"/>
  <c r="BL21" i="10"/>
  <c r="BP21" i="10"/>
  <c r="BT21" i="10"/>
  <c r="BX21" i="10"/>
  <c r="CB21" i="10"/>
  <c r="CF21" i="10"/>
  <c r="CJ21" i="10"/>
  <c r="CN21" i="10"/>
  <c r="CR21" i="10"/>
  <c r="CV21" i="10"/>
  <c r="CZ21" i="10"/>
  <c r="DD21" i="10"/>
  <c r="DH21" i="10"/>
  <c r="DL21" i="10"/>
  <c r="DP21" i="10"/>
  <c r="DT21" i="10"/>
  <c r="DX21" i="10"/>
  <c r="EB21" i="10"/>
  <c r="EF21" i="10"/>
  <c r="EJ21" i="10"/>
  <c r="EN21" i="10"/>
  <c r="ER21" i="10"/>
  <c r="EV21" i="10"/>
  <c r="EZ21" i="10"/>
  <c r="FD21" i="10"/>
  <c r="FH21" i="10"/>
  <c r="FL21" i="10"/>
  <c r="FP21" i="10"/>
  <c r="FT21" i="10"/>
  <c r="FX21" i="10"/>
  <c r="GB21" i="10"/>
  <c r="GF21" i="10"/>
  <c r="GJ21" i="10"/>
  <c r="GN21" i="10"/>
  <c r="GR21" i="10"/>
  <c r="GV21" i="10"/>
  <c r="GZ21" i="10"/>
  <c r="HD21" i="10"/>
  <c r="HH21" i="10"/>
  <c r="HL21" i="10"/>
  <c r="HP21" i="10"/>
  <c r="HT21" i="10"/>
  <c r="HX21" i="10"/>
  <c r="IB21" i="10"/>
  <c r="IF21" i="10"/>
  <c r="IJ21" i="10"/>
  <c r="IN21" i="10"/>
  <c r="IR21" i="10"/>
  <c r="IV21" i="10"/>
  <c r="IZ21" i="10"/>
  <c r="JD21" i="10"/>
  <c r="JH21" i="10"/>
  <c r="JL21" i="10"/>
  <c r="JP21" i="10"/>
  <c r="JT21" i="10"/>
  <c r="JX21" i="10"/>
  <c r="KB21" i="10"/>
  <c r="KF21" i="10"/>
  <c r="X23" i="10"/>
  <c r="AB23" i="10"/>
  <c r="AF23" i="10"/>
  <c r="AJ23" i="10"/>
  <c r="AN23" i="10"/>
  <c r="AV23" i="10"/>
  <c r="AZ23" i="10"/>
  <c r="BT23" i="10"/>
  <c r="BX23" i="10"/>
  <c r="CB23" i="10"/>
  <c r="CV23" i="10"/>
  <c r="DP23" i="10"/>
  <c r="DT23" i="10"/>
  <c r="DX23" i="10"/>
  <c r="EB23" i="10"/>
  <c r="EF23" i="10"/>
  <c r="FL23" i="10"/>
  <c r="FP23" i="10"/>
  <c r="FT23" i="10"/>
  <c r="HH23" i="10"/>
  <c r="HL23" i="10"/>
  <c r="HP23" i="10"/>
  <c r="JD23" i="10"/>
  <c r="JH23" i="10"/>
  <c r="JL23" i="10"/>
  <c r="T24" i="10"/>
  <c r="X24" i="10"/>
  <c r="AB24" i="10"/>
  <c r="AF24" i="10"/>
  <c r="AJ24" i="10"/>
  <c r="AN24" i="10"/>
  <c r="BP24" i="10"/>
  <c r="BT24" i="10"/>
  <c r="BX24" i="10"/>
  <c r="CB24" i="10"/>
  <c r="DL24" i="10"/>
  <c r="DP24" i="10"/>
  <c r="DT24" i="10"/>
  <c r="DX24" i="10"/>
  <c r="FH24" i="10"/>
  <c r="FL24" i="10"/>
  <c r="FP24" i="10"/>
  <c r="FT24" i="10"/>
  <c r="FX24" i="10"/>
  <c r="GZ24" i="10"/>
  <c r="HD24" i="10"/>
  <c r="HH24" i="10"/>
  <c r="HL24" i="10"/>
  <c r="HP24" i="10"/>
  <c r="IZ24" i="10"/>
  <c r="JD24" i="10"/>
  <c r="JH24" i="10"/>
  <c r="JL24" i="10"/>
  <c r="T25" i="10"/>
  <c r="X25" i="10"/>
  <c r="AB25" i="10"/>
  <c r="AF25" i="10"/>
  <c r="AJ25" i="10"/>
  <c r="AZ25" i="10"/>
  <c r="BP25" i="10"/>
  <c r="BT25" i="10"/>
  <c r="BX25" i="10"/>
  <c r="CB25" i="10"/>
  <c r="CV25" i="10"/>
  <c r="DD25" i="10"/>
  <c r="DH25" i="10"/>
  <c r="DL25" i="10"/>
  <c r="DP25" i="10"/>
  <c r="DT25" i="10"/>
  <c r="DX25" i="10"/>
  <c r="EB25" i="10"/>
  <c r="EF25" i="10"/>
  <c r="ER25" i="10"/>
  <c r="FH25" i="10"/>
  <c r="FL25" i="10"/>
  <c r="FP25" i="10"/>
  <c r="FT25" i="10"/>
  <c r="GN25" i="10"/>
  <c r="HD25" i="10"/>
  <c r="HH25" i="10"/>
  <c r="HL25" i="10"/>
  <c r="HP25" i="10"/>
  <c r="HT25" i="10"/>
  <c r="IJ25" i="10"/>
  <c r="IZ25" i="10"/>
  <c r="JD25" i="10"/>
  <c r="JH25" i="10"/>
  <c r="JL25" i="10"/>
  <c r="KF25" i="10"/>
  <c r="L26" i="10"/>
  <c r="T26" i="10"/>
  <c r="X26" i="10"/>
  <c r="AB26" i="10"/>
  <c r="AF26" i="10"/>
  <c r="AJ26" i="10"/>
  <c r="AN26" i="10"/>
  <c r="AR26" i="10"/>
  <c r="AV26" i="10"/>
  <c r="AZ26" i="10"/>
  <c r="BH26" i="10"/>
  <c r="BP26" i="10"/>
  <c r="BT26" i="10"/>
  <c r="BX26" i="10"/>
  <c r="CB26" i="10"/>
  <c r="CF26" i="10"/>
  <c r="CJ26" i="10"/>
  <c r="CN26" i="10"/>
  <c r="CR26" i="10"/>
  <c r="CV26" i="10"/>
  <c r="DD26" i="10"/>
  <c r="DL26" i="10"/>
  <c r="DP26" i="10"/>
  <c r="DT26" i="10"/>
  <c r="DX26" i="10"/>
  <c r="EB26" i="10"/>
  <c r="EF26" i="10"/>
  <c r="EJ26" i="10"/>
  <c r="ER26" i="10"/>
  <c r="FH26" i="10"/>
  <c r="FL26" i="10"/>
  <c r="FP26" i="10"/>
  <c r="FT26" i="10"/>
  <c r="GF26" i="10"/>
  <c r="GN26" i="10"/>
  <c r="HD26" i="10"/>
  <c r="HH26" i="10"/>
  <c r="HL26" i="10"/>
  <c r="HP26" i="10"/>
  <c r="IB26" i="10"/>
  <c r="IJ26" i="10"/>
  <c r="IZ26" i="10"/>
  <c r="JD26" i="10"/>
  <c r="JH26" i="10"/>
  <c r="JL26" i="10"/>
  <c r="JX26" i="10"/>
  <c r="KF26" i="10"/>
  <c r="L27" i="10"/>
  <c r="X27" i="10"/>
  <c r="AB27" i="10"/>
  <c r="AF27" i="10"/>
  <c r="AJ27" i="10"/>
  <c r="AR27" i="10"/>
  <c r="AV27" i="10"/>
  <c r="AZ27" i="10"/>
  <c r="BP27" i="10"/>
  <c r="BT27" i="10"/>
  <c r="BX27" i="10"/>
  <c r="CB27" i="10"/>
  <c r="CF27" i="10"/>
  <c r="CN27" i="10"/>
  <c r="CR27" i="10"/>
  <c r="CV27" i="10"/>
  <c r="DL27" i="10"/>
  <c r="DP27" i="10"/>
  <c r="DT27" i="10"/>
  <c r="DX27" i="10"/>
  <c r="EB27" i="10"/>
  <c r="EJ27" i="10"/>
  <c r="EN27" i="10"/>
  <c r="ER27" i="10"/>
  <c r="FH27" i="10"/>
  <c r="FL27" i="10"/>
  <c r="FP27" i="10"/>
  <c r="FT27" i="10"/>
  <c r="FX27" i="10"/>
  <c r="GF27" i="10"/>
  <c r="GJ27" i="10"/>
  <c r="GN27" i="10"/>
  <c r="HD27" i="10"/>
  <c r="HH27" i="10"/>
  <c r="HL27" i="10"/>
  <c r="HP27" i="10"/>
  <c r="HT27" i="10"/>
  <c r="IB27" i="10"/>
  <c r="IF27" i="10"/>
  <c r="IJ27" i="10"/>
  <c r="IZ27" i="10"/>
  <c r="JD27" i="10"/>
  <c r="JH27" i="10"/>
  <c r="JL27" i="10"/>
  <c r="JP27" i="10"/>
  <c r="JX27" i="10"/>
  <c r="KB27" i="10"/>
  <c r="KF27" i="10"/>
  <c r="HH28" i="10"/>
  <c r="JD28" i="10"/>
  <c r="G1" i="10"/>
  <c r="K1" i="10" s="1"/>
  <c r="H4" i="10"/>
  <c r="H27" i="10" s="1"/>
  <c r="H5" i="10"/>
  <c r="J12" i="10"/>
  <c r="I12" i="10" s="1"/>
  <c r="H17" i="10"/>
  <c r="H18" i="10"/>
  <c r="H19" i="10"/>
  <c r="H21" i="10"/>
  <c r="D5" i="10"/>
  <c r="D3" i="10" s="1"/>
  <c r="D10" i="10"/>
  <c r="D11" i="10"/>
  <c r="F12" i="10"/>
  <c r="E12" i="10" s="1"/>
  <c r="D13" i="10"/>
  <c r="D14" i="10"/>
  <c r="D15" i="10"/>
  <c r="D17" i="10"/>
  <c r="D18" i="10"/>
  <c r="D19" i="10"/>
  <c r="D21" i="10"/>
  <c r="D23" i="10"/>
  <c r="D24" i="10"/>
  <c r="D25" i="10"/>
  <c r="D26" i="10"/>
  <c r="D27" i="10"/>
  <c r="B27" i="4"/>
  <c r="C19" i="4"/>
  <c r="B19" i="4" s="1"/>
  <c r="B16" i="4"/>
  <c r="B15" i="4"/>
  <c r="B11" i="4"/>
  <c r="B12" i="4" s="1"/>
  <c r="B9" i="4"/>
  <c r="B5" i="4"/>
  <c r="B4" i="4"/>
  <c r="B24" i="4" s="1"/>
  <c r="B10" i="7"/>
  <c r="C4" i="7"/>
  <c r="R158" i="1"/>
  <c r="R157" i="1"/>
  <c r="Q157" i="1"/>
  <c r="P157" i="1"/>
  <c r="O157" i="1"/>
  <c r="N157" i="1"/>
  <c r="M157" i="1"/>
  <c r="L157" i="1"/>
  <c r="K157" i="1"/>
  <c r="J157" i="1"/>
  <c r="I157" i="1"/>
  <c r="J149" i="1"/>
  <c r="K149" i="1" s="1"/>
  <c r="L149" i="1" s="1"/>
  <c r="M149" i="1" s="1"/>
  <c r="N149" i="1" s="1"/>
  <c r="O149" i="1" s="1"/>
  <c r="P149" i="1" s="1"/>
  <c r="Q149" i="1" s="1"/>
  <c r="R149" i="1" s="1"/>
  <c r="S148" i="1"/>
  <c r="H148" i="1"/>
  <c r="R135" i="1"/>
  <c r="R39" i="1" s="1"/>
  <c r="Q135" i="1"/>
  <c r="P135" i="1"/>
  <c r="P39" i="1" s="1"/>
  <c r="O135" i="1"/>
  <c r="N135" i="1"/>
  <c r="N39" i="1" s="1"/>
  <c r="M135" i="1"/>
  <c r="L135" i="1"/>
  <c r="L39" i="1" s="1"/>
  <c r="K135" i="1"/>
  <c r="J135" i="1"/>
  <c r="R133" i="1"/>
  <c r="Q133" i="1"/>
  <c r="P133" i="1"/>
  <c r="O133" i="1"/>
  <c r="N133" i="1"/>
  <c r="M133" i="1"/>
  <c r="L133" i="1"/>
  <c r="K133" i="1"/>
  <c r="J133" i="1"/>
  <c r="I133" i="1"/>
  <c r="H130" i="1"/>
  <c r="I128" i="1" s="1"/>
  <c r="N125" i="1"/>
  <c r="M125" i="1"/>
  <c r="L125" i="1"/>
  <c r="I125" i="1"/>
  <c r="R124" i="1"/>
  <c r="R125" i="1" s="1"/>
  <c r="Q124" i="1"/>
  <c r="Q125" i="1" s="1"/>
  <c r="P124" i="1"/>
  <c r="P125" i="1" s="1"/>
  <c r="O124" i="1"/>
  <c r="O125" i="1" s="1"/>
  <c r="N124" i="1"/>
  <c r="M124" i="1"/>
  <c r="L124" i="1"/>
  <c r="K124" i="1"/>
  <c r="K125" i="1" s="1"/>
  <c r="J124" i="1"/>
  <c r="J125" i="1" s="1"/>
  <c r="I124" i="1"/>
  <c r="D117" i="1"/>
  <c r="D137" i="1" s="1"/>
  <c r="R113" i="1"/>
  <c r="Q113" i="1"/>
  <c r="P113" i="1"/>
  <c r="O113" i="1"/>
  <c r="N113" i="1"/>
  <c r="M113" i="1"/>
  <c r="L113" i="1"/>
  <c r="K113" i="1"/>
  <c r="J113" i="1"/>
  <c r="I113" i="1"/>
  <c r="H113" i="1"/>
  <c r="G113" i="1"/>
  <c r="F113" i="1"/>
  <c r="E113" i="1"/>
  <c r="D113" i="1"/>
  <c r="G109" i="1"/>
  <c r="H109" i="1" s="1"/>
  <c r="I109" i="1" s="1"/>
  <c r="J109" i="1" s="1"/>
  <c r="K109" i="1" s="1"/>
  <c r="L109" i="1" s="1"/>
  <c r="M109" i="1" s="1"/>
  <c r="N109" i="1" s="1"/>
  <c r="O109" i="1" s="1"/>
  <c r="P109" i="1" s="1"/>
  <c r="Q109" i="1" s="1"/>
  <c r="R109" i="1" s="1"/>
  <c r="G108" i="1"/>
  <c r="H108" i="1" s="1"/>
  <c r="I108" i="1" s="1"/>
  <c r="H105" i="1"/>
  <c r="I103" i="1" s="1"/>
  <c r="G105" i="1"/>
  <c r="H103" i="1" s="1"/>
  <c r="F105" i="1"/>
  <c r="G103" i="1" s="1"/>
  <c r="E105" i="1"/>
  <c r="D105" i="1"/>
  <c r="E103" i="1" s="1"/>
  <c r="R104" i="1"/>
  <c r="Q104" i="1"/>
  <c r="P104" i="1"/>
  <c r="O104" i="1"/>
  <c r="N104" i="1"/>
  <c r="M104" i="1"/>
  <c r="L104" i="1"/>
  <c r="K104" i="1"/>
  <c r="J104" i="1"/>
  <c r="I104" i="1"/>
  <c r="H104" i="1"/>
  <c r="G104" i="1"/>
  <c r="F104" i="1"/>
  <c r="E104" i="1"/>
  <c r="D104" i="1"/>
  <c r="F103" i="1"/>
  <c r="R100" i="1"/>
  <c r="Q100" i="1"/>
  <c r="Q158" i="1" s="1"/>
  <c r="P100" i="1"/>
  <c r="P158" i="1" s="1"/>
  <c r="O100" i="1"/>
  <c r="O158" i="1" s="1"/>
  <c r="N100" i="1"/>
  <c r="N158" i="1" s="1"/>
  <c r="M100" i="1"/>
  <c r="M158" i="1" s="1"/>
  <c r="L100" i="1"/>
  <c r="L158" i="1" s="1"/>
  <c r="K100" i="1"/>
  <c r="K158" i="1" s="1"/>
  <c r="J100" i="1"/>
  <c r="J158" i="1" s="1"/>
  <c r="I100" i="1"/>
  <c r="I158" i="1" s="1"/>
  <c r="H100" i="1"/>
  <c r="G100" i="1"/>
  <c r="F100" i="1"/>
  <c r="E100" i="1"/>
  <c r="H98" i="1"/>
  <c r="G98" i="1"/>
  <c r="F98" i="1"/>
  <c r="E98" i="1"/>
  <c r="D98" i="1"/>
  <c r="H97" i="1"/>
  <c r="G97" i="1"/>
  <c r="F97" i="1"/>
  <c r="E97" i="1"/>
  <c r="D97" i="1"/>
  <c r="H96" i="1"/>
  <c r="G96" i="1"/>
  <c r="F96" i="1"/>
  <c r="E96" i="1"/>
  <c r="D96" i="1"/>
  <c r="D93" i="1"/>
  <c r="E93" i="1" s="1"/>
  <c r="F93" i="1" s="1"/>
  <c r="G93" i="1" s="1"/>
  <c r="H93" i="1" s="1"/>
  <c r="I93" i="1" s="1"/>
  <c r="J93" i="1" s="1"/>
  <c r="K93" i="1" s="1"/>
  <c r="L93" i="1" s="1"/>
  <c r="M93" i="1" s="1"/>
  <c r="N93" i="1" s="1"/>
  <c r="O93" i="1" s="1"/>
  <c r="P93" i="1" s="1"/>
  <c r="Q93" i="1" s="1"/>
  <c r="R93" i="1" s="1"/>
  <c r="H91" i="1"/>
  <c r="G91" i="1"/>
  <c r="H90" i="1" s="1"/>
  <c r="F91" i="1"/>
  <c r="G90" i="1" s="1"/>
  <c r="E91" i="1"/>
  <c r="D91" i="1"/>
  <c r="E90" i="1" s="1"/>
  <c r="R82" i="1"/>
  <c r="Q82" i="1"/>
  <c r="P82" i="1"/>
  <c r="O82" i="1"/>
  <c r="N82" i="1"/>
  <c r="M82" i="1"/>
  <c r="L82" i="1"/>
  <c r="K82" i="1"/>
  <c r="J82" i="1"/>
  <c r="I82" i="1"/>
  <c r="H82" i="1"/>
  <c r="G82" i="1"/>
  <c r="F82" i="1"/>
  <c r="E82" i="1"/>
  <c r="D82" i="1"/>
  <c r="R79" i="1"/>
  <c r="Q79" i="1"/>
  <c r="P79" i="1"/>
  <c r="O79" i="1"/>
  <c r="N79" i="1"/>
  <c r="M79" i="1"/>
  <c r="L79" i="1"/>
  <c r="K79" i="1"/>
  <c r="J79" i="1"/>
  <c r="I79" i="1"/>
  <c r="H79" i="1"/>
  <c r="G79" i="1"/>
  <c r="F79" i="1"/>
  <c r="E79" i="1"/>
  <c r="D79" i="1"/>
  <c r="R77" i="1"/>
  <c r="Q77" i="1"/>
  <c r="P77" i="1"/>
  <c r="O77" i="1"/>
  <c r="N77" i="1"/>
  <c r="M77" i="1"/>
  <c r="L77" i="1"/>
  <c r="K77" i="1"/>
  <c r="J77" i="1"/>
  <c r="I77" i="1"/>
  <c r="H77" i="1"/>
  <c r="G77" i="1"/>
  <c r="F77" i="1"/>
  <c r="E77" i="1"/>
  <c r="D77" i="1"/>
  <c r="H76" i="1"/>
  <c r="G76" i="1"/>
  <c r="F76" i="1"/>
  <c r="E76" i="1"/>
  <c r="D72" i="1"/>
  <c r="E72" i="1" s="1"/>
  <c r="F72" i="1" s="1"/>
  <c r="G72" i="1" s="1"/>
  <c r="H72" i="1" s="1"/>
  <c r="I72" i="1" s="1"/>
  <c r="J72" i="1" s="1"/>
  <c r="K72" i="1" s="1"/>
  <c r="L72" i="1" s="1"/>
  <c r="M72" i="1" s="1"/>
  <c r="N72" i="1" s="1"/>
  <c r="O72" i="1" s="1"/>
  <c r="P72" i="1" s="1"/>
  <c r="Q72" i="1" s="1"/>
  <c r="R72" i="1" s="1"/>
  <c r="F67" i="1"/>
  <c r="F69" i="1" s="1"/>
  <c r="J66" i="1"/>
  <c r="I66" i="1"/>
  <c r="I64" i="1" s="1"/>
  <c r="H64" i="1"/>
  <c r="G64" i="1"/>
  <c r="F64" i="1"/>
  <c r="E64" i="1"/>
  <c r="E67" i="1" s="1"/>
  <c r="E69" i="1" s="1"/>
  <c r="D64" i="1"/>
  <c r="D67" i="1" s="1"/>
  <c r="D69" i="1" s="1"/>
  <c r="I63" i="1"/>
  <c r="J63" i="1" s="1"/>
  <c r="K63" i="1" s="1"/>
  <c r="L63" i="1" s="1"/>
  <c r="M63" i="1" s="1"/>
  <c r="N63" i="1" s="1"/>
  <c r="O63" i="1" s="1"/>
  <c r="P63" i="1" s="1"/>
  <c r="Q63" i="1" s="1"/>
  <c r="R63" i="1" s="1"/>
  <c r="H60" i="1"/>
  <c r="G60" i="1"/>
  <c r="F60" i="1"/>
  <c r="E60" i="1"/>
  <c r="D60" i="1"/>
  <c r="I57" i="1"/>
  <c r="J57" i="1" s="1"/>
  <c r="K57" i="1" s="1"/>
  <c r="L57" i="1" s="1"/>
  <c r="M57" i="1" s="1"/>
  <c r="N57" i="1" s="1"/>
  <c r="O57" i="1" s="1"/>
  <c r="P57" i="1" s="1"/>
  <c r="Q57" i="1" s="1"/>
  <c r="R57" i="1" s="1"/>
  <c r="H55" i="1"/>
  <c r="H58" i="1" s="1"/>
  <c r="G55" i="1"/>
  <c r="G58" i="1" s="1"/>
  <c r="F55" i="1"/>
  <c r="F58" i="1" s="1"/>
  <c r="E55" i="1"/>
  <c r="E58" i="1" s="1"/>
  <c r="D55" i="1"/>
  <c r="J54" i="1"/>
  <c r="K54" i="1" s="1"/>
  <c r="L54" i="1" s="1"/>
  <c r="M54" i="1" s="1"/>
  <c r="N54" i="1" s="1"/>
  <c r="O54" i="1" s="1"/>
  <c r="P54" i="1" s="1"/>
  <c r="Q54" i="1" s="1"/>
  <c r="R54" i="1" s="1"/>
  <c r="I54" i="1"/>
  <c r="H50" i="1"/>
  <c r="G50" i="1"/>
  <c r="F50" i="1"/>
  <c r="E50" i="1"/>
  <c r="D50" i="1"/>
  <c r="D58" i="1" s="1"/>
  <c r="D48" i="1"/>
  <c r="E48" i="1" s="1"/>
  <c r="F48" i="1" s="1"/>
  <c r="G48" i="1" s="1"/>
  <c r="H48" i="1" s="1"/>
  <c r="I48" i="1" s="1"/>
  <c r="J48" i="1" s="1"/>
  <c r="K48" i="1" s="1"/>
  <c r="L48" i="1" s="1"/>
  <c r="M48" i="1" s="1"/>
  <c r="N48" i="1" s="1"/>
  <c r="O48" i="1" s="1"/>
  <c r="P48" i="1" s="1"/>
  <c r="Q48" i="1" s="1"/>
  <c r="R48" i="1" s="1"/>
  <c r="R41" i="1"/>
  <c r="Q41" i="1"/>
  <c r="P41" i="1"/>
  <c r="O41" i="1"/>
  <c r="N41" i="1"/>
  <c r="M41" i="1"/>
  <c r="L41" i="1"/>
  <c r="K41" i="1"/>
  <c r="J41" i="1"/>
  <c r="I41" i="1"/>
  <c r="H41" i="1"/>
  <c r="G41" i="1"/>
  <c r="F41" i="1"/>
  <c r="E41" i="1"/>
  <c r="D41" i="1"/>
  <c r="Q39" i="1"/>
  <c r="O39" i="1"/>
  <c r="M39" i="1"/>
  <c r="K39" i="1"/>
  <c r="J39" i="1"/>
  <c r="D39" i="1"/>
  <c r="H37" i="1"/>
  <c r="G37" i="1"/>
  <c r="F37" i="1"/>
  <c r="E37" i="1"/>
  <c r="D37" i="1"/>
  <c r="I35" i="1"/>
  <c r="J35" i="1" s="1"/>
  <c r="K35" i="1" s="1"/>
  <c r="L35" i="1" s="1"/>
  <c r="M35" i="1" s="1"/>
  <c r="N35" i="1" s="1"/>
  <c r="O35" i="1" s="1"/>
  <c r="P35" i="1" s="1"/>
  <c r="Q35" i="1" s="1"/>
  <c r="R35" i="1" s="1"/>
  <c r="I33" i="1"/>
  <c r="J33" i="1" s="1"/>
  <c r="K33" i="1" s="1"/>
  <c r="L33" i="1" s="1"/>
  <c r="M33" i="1" s="1"/>
  <c r="N33" i="1" s="1"/>
  <c r="O33" i="1" s="1"/>
  <c r="P33" i="1" s="1"/>
  <c r="Q33" i="1" s="1"/>
  <c r="R33" i="1" s="1"/>
  <c r="I31" i="1"/>
  <c r="I53" i="1" s="1"/>
  <c r="I97" i="1" s="1"/>
  <c r="H30" i="1"/>
  <c r="H32" i="1" s="1"/>
  <c r="H34" i="1" s="1"/>
  <c r="H36" i="1" s="1"/>
  <c r="I28" i="1"/>
  <c r="J28" i="1" s="1"/>
  <c r="I27" i="1"/>
  <c r="I30" i="1" s="1"/>
  <c r="I32" i="1" s="1"/>
  <c r="I34" i="1" s="1"/>
  <c r="I36" i="1" s="1"/>
  <c r="H27" i="1"/>
  <c r="G27" i="1"/>
  <c r="F27" i="1"/>
  <c r="E27" i="1"/>
  <c r="R26" i="1"/>
  <c r="R52" i="1" s="1"/>
  <c r="R96" i="1" s="1"/>
  <c r="Q26" i="1"/>
  <c r="P26" i="1"/>
  <c r="P52" i="1" s="1"/>
  <c r="P96" i="1" s="1"/>
  <c r="O26" i="1"/>
  <c r="N26" i="1"/>
  <c r="M26" i="1"/>
  <c r="M52" i="1" s="1"/>
  <c r="M96" i="1" s="1"/>
  <c r="L26" i="1"/>
  <c r="L52" i="1" s="1"/>
  <c r="L96" i="1" s="1"/>
  <c r="K26" i="1"/>
  <c r="K52" i="1" s="1"/>
  <c r="K96" i="1" s="1"/>
  <c r="J26" i="1"/>
  <c r="J52" i="1" s="1"/>
  <c r="J96" i="1" s="1"/>
  <c r="I26" i="1"/>
  <c r="I52" i="1" s="1"/>
  <c r="I96" i="1" s="1"/>
  <c r="H26" i="1"/>
  <c r="G26" i="1"/>
  <c r="G30" i="1" s="1"/>
  <c r="G32" i="1" s="1"/>
  <c r="G34" i="1" s="1"/>
  <c r="G36" i="1" s="1"/>
  <c r="F26" i="1"/>
  <c r="E26" i="1"/>
  <c r="E24" i="1"/>
  <c r="F24" i="1" s="1"/>
  <c r="G24" i="1" s="1"/>
  <c r="H24" i="1" s="1"/>
  <c r="I24" i="1" s="1"/>
  <c r="J24" i="1" s="1"/>
  <c r="K24" i="1" s="1"/>
  <c r="L24" i="1" s="1"/>
  <c r="M24" i="1" s="1"/>
  <c r="N24" i="1" s="1"/>
  <c r="O24" i="1" s="1"/>
  <c r="P24" i="1" s="1"/>
  <c r="Q24" i="1" s="1"/>
  <c r="R24" i="1" s="1"/>
  <c r="D24" i="1"/>
  <c r="D22" i="1"/>
  <c r="E22" i="1" s="1"/>
  <c r="F22" i="1" s="1"/>
  <c r="G22" i="1" s="1"/>
  <c r="H22" i="1" s="1"/>
  <c r="I22" i="1" s="1"/>
  <c r="J22" i="1" s="1"/>
  <c r="K22" i="1" s="1"/>
  <c r="L22" i="1" s="1"/>
  <c r="M22" i="1" s="1"/>
  <c r="N22" i="1" s="1"/>
  <c r="O22" i="1" s="1"/>
  <c r="P22" i="1" s="1"/>
  <c r="Q22" i="1" s="1"/>
  <c r="R22" i="1" s="1"/>
  <c r="D19" i="1"/>
  <c r="D10" i="1"/>
  <c r="D114" i="1" s="1"/>
  <c r="D6" i="1"/>
  <c r="D3" i="1"/>
  <c r="E3" i="1" s="1"/>
  <c r="F3" i="1" s="1"/>
  <c r="G3" i="1" s="1"/>
  <c r="H3" i="1" s="1"/>
  <c r="I3" i="1" s="1"/>
  <c r="J3" i="1" s="1"/>
  <c r="K3" i="1" s="1"/>
  <c r="L3" i="1" s="1"/>
  <c r="M3" i="1" s="1"/>
  <c r="N3" i="1" s="1"/>
  <c r="O3" i="1" s="1"/>
  <c r="P3" i="1" s="1"/>
  <c r="Q3" i="1" s="1"/>
  <c r="R3" i="1" s="1"/>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I15" i="6"/>
  <c r="D15" i="6"/>
  <c r="F12" i="6"/>
  <c r="B7" i="6"/>
  <c r="C1" i="6"/>
  <c r="D1" i="6" s="1"/>
  <c r="E1" i="6" s="1"/>
  <c r="F1" i="6" s="1"/>
  <c r="G1" i="6" s="1"/>
  <c r="H1" i="6" s="1"/>
  <c r="T4" i="14" l="1"/>
  <c r="T24" i="14" s="1"/>
  <c r="FT4" i="14"/>
  <c r="FT24" i="14" s="1"/>
  <c r="HP4" i="14"/>
  <c r="HP24" i="14" s="1"/>
  <c r="AN4" i="14"/>
  <c r="AN24" i="14" s="1"/>
  <c r="DL4" i="14"/>
  <c r="DL24" i="14" s="1"/>
  <c r="FH4" i="14"/>
  <c r="FH24" i="14" s="1"/>
  <c r="HL4" i="14"/>
  <c r="HL24" i="14" s="1"/>
  <c r="HX4" i="14"/>
  <c r="HX24" i="14" s="1"/>
  <c r="GF4" i="14"/>
  <c r="GF24" i="14" s="1"/>
  <c r="IB4" i="14"/>
  <c r="IB24" i="14" s="1"/>
  <c r="IF4" i="14"/>
  <c r="IF8" i="14" s="1"/>
  <c r="D4" i="14"/>
  <c r="D24" i="14" s="1"/>
  <c r="HD4" i="14"/>
  <c r="HD24" i="14" s="1"/>
  <c r="FP4" i="14"/>
  <c r="FP24" i="14" s="1"/>
  <c r="DT4" i="14"/>
  <c r="DT24" i="14" s="1"/>
  <c r="JH4" i="14"/>
  <c r="JH24" i="14" s="1"/>
  <c r="GN20" i="14"/>
  <c r="JT19" i="14"/>
  <c r="EF4" i="14"/>
  <c r="EF24" i="14" s="1"/>
  <c r="GB4" i="14"/>
  <c r="GB24" i="14" s="1"/>
  <c r="IZ4" i="14"/>
  <c r="IZ24" i="14" s="1"/>
  <c r="JX4" i="14"/>
  <c r="JX24" i="14" s="1"/>
  <c r="AN19" i="14"/>
  <c r="Q12" i="14"/>
  <c r="HX19" i="14"/>
  <c r="AW12" i="14"/>
  <c r="CC12" i="14"/>
  <c r="JI12" i="14"/>
  <c r="EO12" i="14"/>
  <c r="IG12" i="14"/>
  <c r="BM12" i="14"/>
  <c r="BQ12" i="14"/>
  <c r="GG12" i="14"/>
  <c r="HQ12" i="14"/>
  <c r="D19" i="14"/>
  <c r="HL22" i="14"/>
  <c r="GO12" i="14"/>
  <c r="D20" i="14"/>
  <c r="D22" i="14"/>
  <c r="D21" i="14"/>
  <c r="H4" i="14"/>
  <c r="H24" i="14" s="1"/>
  <c r="AA15" i="15"/>
  <c r="X4" i="14"/>
  <c r="X24" i="14" s="1"/>
  <c r="BT4" i="14"/>
  <c r="BT24" i="14" s="1"/>
  <c r="DP4" i="14"/>
  <c r="DP8" i="14" s="1"/>
  <c r="FL4" i="14"/>
  <c r="FL24" i="14" s="1"/>
  <c r="HH4" i="14"/>
  <c r="HH24" i="14" s="1"/>
  <c r="JD4" i="14"/>
  <c r="JD24" i="14" s="1"/>
  <c r="CJ4" i="14"/>
  <c r="CJ24" i="14" s="1"/>
  <c r="BH4" i="14"/>
  <c r="BH24" i="14" s="1"/>
  <c r="DD4" i="14"/>
  <c r="DD24" i="14" s="1"/>
  <c r="EZ4" i="14"/>
  <c r="EZ24" i="14" s="1"/>
  <c r="GV4" i="14"/>
  <c r="GV8" i="14" s="1"/>
  <c r="IR4" i="14"/>
  <c r="IR24" i="14" s="1"/>
  <c r="P4" i="14"/>
  <c r="P24" i="14" s="1"/>
  <c r="BL4" i="14"/>
  <c r="BL24" i="14" s="1"/>
  <c r="DH4" i="14"/>
  <c r="DH8" i="14" s="1"/>
  <c r="FD4" i="14"/>
  <c r="FD8" i="14" s="1"/>
  <c r="GZ4" i="14"/>
  <c r="GZ8" i="14" s="1"/>
  <c r="IV4" i="14"/>
  <c r="IV24" i="14" s="1"/>
  <c r="AJ4" i="14"/>
  <c r="AJ24" i="14" s="1"/>
  <c r="CF4" i="14"/>
  <c r="CF8" i="14" s="1"/>
  <c r="EB4" i="14"/>
  <c r="EB24" i="14" s="1"/>
  <c r="FX4" i="14"/>
  <c r="FX24" i="14" s="1"/>
  <c r="HT4" i="14"/>
  <c r="HT24" i="14" s="1"/>
  <c r="JP4" i="14"/>
  <c r="JP24" i="14" s="1"/>
  <c r="AB8" i="14"/>
  <c r="L4" i="14"/>
  <c r="L8" i="14" s="1"/>
  <c r="BX8" i="14"/>
  <c r="P12" i="14"/>
  <c r="O12" i="14" s="1"/>
  <c r="L22" i="14"/>
  <c r="AV24" i="14"/>
  <c r="AV8" i="14"/>
  <c r="CR24" i="14"/>
  <c r="CR8" i="14"/>
  <c r="EN24" i="14"/>
  <c r="EN8" i="14"/>
  <c r="GJ24" i="14"/>
  <c r="GJ8" i="14"/>
  <c r="KB20" i="14"/>
  <c r="KB21" i="14"/>
  <c r="KB22" i="14"/>
  <c r="KB23" i="14"/>
  <c r="KB19" i="14"/>
  <c r="AZ21" i="14"/>
  <c r="AZ22" i="14"/>
  <c r="AZ23" i="14"/>
  <c r="AZ19" i="14"/>
  <c r="CV21" i="14"/>
  <c r="CV22" i="14"/>
  <c r="CV23" i="14"/>
  <c r="CV19" i="14"/>
  <c r="ER21" i="14"/>
  <c r="ER22" i="14"/>
  <c r="ER23" i="14"/>
  <c r="ER19" i="14"/>
  <c r="GN21" i="14"/>
  <c r="GN22" i="14"/>
  <c r="GN23" i="14"/>
  <c r="GN19" i="14"/>
  <c r="IJ21" i="14"/>
  <c r="IJ22" i="14"/>
  <c r="IJ23" i="14"/>
  <c r="IJ19" i="14"/>
  <c r="IJ20" i="14"/>
  <c r="S1" i="14"/>
  <c r="KB4" i="14"/>
  <c r="BD21" i="14"/>
  <c r="BD22" i="14"/>
  <c r="BD23" i="14"/>
  <c r="BD19" i="14"/>
  <c r="BD20" i="14"/>
  <c r="CZ21" i="14"/>
  <c r="CZ22" i="14"/>
  <c r="CZ23" i="14"/>
  <c r="CZ19" i="14"/>
  <c r="CZ20" i="14"/>
  <c r="EV21" i="14"/>
  <c r="EV22" i="14"/>
  <c r="EV23" i="14"/>
  <c r="EV19" i="14"/>
  <c r="EV20" i="14"/>
  <c r="GR21" i="14"/>
  <c r="GR22" i="14"/>
  <c r="GR23" i="14"/>
  <c r="GR19" i="14"/>
  <c r="GR20" i="14"/>
  <c r="IN21" i="14"/>
  <c r="IN22" i="14"/>
  <c r="IN23" i="14"/>
  <c r="IN19" i="14"/>
  <c r="IN20" i="14"/>
  <c r="AF8" i="14"/>
  <c r="CB8" i="14"/>
  <c r="DX8" i="14"/>
  <c r="JL8" i="14"/>
  <c r="AN23" i="14"/>
  <c r="BH21" i="14"/>
  <c r="BH22" i="14"/>
  <c r="BH23" i="14"/>
  <c r="BH19" i="14"/>
  <c r="BH20" i="14"/>
  <c r="DD21" i="14"/>
  <c r="DD22" i="14"/>
  <c r="DD23" i="14"/>
  <c r="DD19" i="14"/>
  <c r="DD20" i="14"/>
  <c r="EZ21" i="14"/>
  <c r="EZ22" i="14"/>
  <c r="EZ23" i="14"/>
  <c r="EZ19" i="14"/>
  <c r="EZ20" i="14"/>
  <c r="GV21" i="14"/>
  <c r="GV22" i="14"/>
  <c r="GV23" i="14"/>
  <c r="GV19" i="14"/>
  <c r="GV20" i="14"/>
  <c r="IR21" i="14"/>
  <c r="IR22" i="14"/>
  <c r="IR23" i="14"/>
  <c r="IR19" i="14"/>
  <c r="IR20" i="14"/>
  <c r="CJ23" i="14"/>
  <c r="IF20" i="14"/>
  <c r="IF21" i="14"/>
  <c r="IF22" i="14"/>
  <c r="IF23" i="14"/>
  <c r="IF19" i="14"/>
  <c r="AZ4" i="14"/>
  <c r="CV4" i="14"/>
  <c r="ER4" i="14"/>
  <c r="GN4" i="14"/>
  <c r="IJ4" i="14"/>
  <c r="P22" i="14"/>
  <c r="P23" i="14"/>
  <c r="P19" i="14"/>
  <c r="P20" i="14"/>
  <c r="BL22" i="14"/>
  <c r="BL23" i="14"/>
  <c r="BL19" i="14"/>
  <c r="BL20" i="14"/>
  <c r="DH22" i="14"/>
  <c r="DH23" i="14"/>
  <c r="DH19" i="14"/>
  <c r="DH20" i="14"/>
  <c r="FD22" i="14"/>
  <c r="FD23" i="14"/>
  <c r="FD19" i="14"/>
  <c r="FD20" i="14"/>
  <c r="GZ22" i="14"/>
  <c r="GZ23" i="14"/>
  <c r="GZ19" i="14"/>
  <c r="GZ20" i="14"/>
  <c r="IV22" i="14"/>
  <c r="IV23" i="14"/>
  <c r="IV19" i="14"/>
  <c r="IV20" i="14"/>
  <c r="AN8" i="14"/>
  <c r="JT8" i="14"/>
  <c r="DH21" i="14"/>
  <c r="EF23" i="14"/>
  <c r="CR20" i="14"/>
  <c r="CR21" i="14"/>
  <c r="CR22" i="14"/>
  <c r="CR23" i="14"/>
  <c r="CR19" i="14"/>
  <c r="T22" i="14"/>
  <c r="T23" i="14"/>
  <c r="T19" i="14"/>
  <c r="T20" i="14"/>
  <c r="T21" i="14"/>
  <c r="BP22" i="14"/>
  <c r="BP23" i="14"/>
  <c r="BP19" i="14"/>
  <c r="BP20" i="14"/>
  <c r="BP21" i="14"/>
  <c r="DL22" i="14"/>
  <c r="DL23" i="14"/>
  <c r="DL19" i="14"/>
  <c r="DL20" i="14"/>
  <c r="DL21" i="14"/>
  <c r="FH22" i="14"/>
  <c r="FH23" i="14"/>
  <c r="FH19" i="14"/>
  <c r="FH20" i="14"/>
  <c r="FH21" i="14"/>
  <c r="HD22" i="14"/>
  <c r="HD23" i="14"/>
  <c r="HD19" i="14"/>
  <c r="HD20" i="14"/>
  <c r="HD21" i="14"/>
  <c r="IZ22" i="14"/>
  <c r="IZ23" i="14"/>
  <c r="IZ19" i="14"/>
  <c r="IZ20" i="14"/>
  <c r="IZ21" i="14"/>
  <c r="AR8" i="14"/>
  <c r="CN8" i="14"/>
  <c r="EJ8" i="14"/>
  <c r="FD21" i="14"/>
  <c r="GB23" i="14"/>
  <c r="EN20" i="14"/>
  <c r="EN21" i="14"/>
  <c r="EN22" i="14"/>
  <c r="EN23" i="14"/>
  <c r="EN19" i="14"/>
  <c r="BD4" i="14"/>
  <c r="CZ4" i="14"/>
  <c r="EV4" i="14"/>
  <c r="GR4" i="14"/>
  <c r="IN4" i="14"/>
  <c r="X22" i="14"/>
  <c r="X23" i="14"/>
  <c r="X19" i="14"/>
  <c r="X20" i="14"/>
  <c r="X21" i="14"/>
  <c r="BT22" i="14"/>
  <c r="BT23" i="14"/>
  <c r="BT19" i="14"/>
  <c r="BT20" i="14"/>
  <c r="BT21" i="14"/>
  <c r="DP22" i="14"/>
  <c r="DP23" i="14"/>
  <c r="DP19" i="14"/>
  <c r="DP20" i="14"/>
  <c r="DP21" i="14"/>
  <c r="FL22" i="14"/>
  <c r="FL23" i="14"/>
  <c r="FL19" i="14"/>
  <c r="FL20" i="14"/>
  <c r="FL21" i="14"/>
  <c r="HH22" i="14"/>
  <c r="HH23" i="14"/>
  <c r="HH19" i="14"/>
  <c r="HH20" i="14"/>
  <c r="HH21" i="14"/>
  <c r="JD22" i="14"/>
  <c r="JD23" i="14"/>
  <c r="JD19" i="14"/>
  <c r="JD20" i="14"/>
  <c r="JD21" i="14"/>
  <c r="GZ21" i="14"/>
  <c r="HX23" i="14"/>
  <c r="AV20" i="14"/>
  <c r="AV21" i="14"/>
  <c r="AV22" i="14"/>
  <c r="AV23" i="14"/>
  <c r="AV19" i="14"/>
  <c r="AB23" i="14"/>
  <c r="AB19" i="14"/>
  <c r="AB20" i="14"/>
  <c r="AB21" i="14"/>
  <c r="BX23" i="14"/>
  <c r="BX19" i="14"/>
  <c r="BX20" i="14"/>
  <c r="BX21" i="14"/>
  <c r="DT23" i="14"/>
  <c r="DT19" i="14"/>
  <c r="DT20" i="14"/>
  <c r="DT21" i="14"/>
  <c r="FP23" i="14"/>
  <c r="FP19" i="14"/>
  <c r="FP20" i="14"/>
  <c r="FP21" i="14"/>
  <c r="HL23" i="14"/>
  <c r="HL19" i="14"/>
  <c r="HL20" i="14"/>
  <c r="HL21" i="14"/>
  <c r="JH23" i="14"/>
  <c r="JH19" i="14"/>
  <c r="JH20" i="14"/>
  <c r="JH21" i="14"/>
  <c r="IV21" i="14"/>
  <c r="JT23" i="14"/>
  <c r="AF23" i="14"/>
  <c r="AF19" i="14"/>
  <c r="AF20" i="14"/>
  <c r="AF21" i="14"/>
  <c r="AF22" i="14"/>
  <c r="CB23" i="14"/>
  <c r="CB19" i="14"/>
  <c r="CB20" i="14"/>
  <c r="CB21" i="14"/>
  <c r="CB22" i="14"/>
  <c r="DX23" i="14"/>
  <c r="DX19" i="14"/>
  <c r="DX20" i="14"/>
  <c r="DX21" i="14"/>
  <c r="DX22" i="14"/>
  <c r="FT23" i="14"/>
  <c r="FT19" i="14"/>
  <c r="FT20" i="14"/>
  <c r="FT21" i="14"/>
  <c r="FT22" i="14"/>
  <c r="HP23" i="14"/>
  <c r="HP19" i="14"/>
  <c r="HP20" i="14"/>
  <c r="HP21" i="14"/>
  <c r="HP22" i="14"/>
  <c r="JL23" i="14"/>
  <c r="JL19" i="14"/>
  <c r="JL20" i="14"/>
  <c r="JL21" i="14"/>
  <c r="JL22" i="14"/>
  <c r="AB22" i="14"/>
  <c r="GJ20" i="14"/>
  <c r="GJ21" i="14"/>
  <c r="GJ22" i="14"/>
  <c r="GJ23" i="14"/>
  <c r="GJ19" i="14"/>
  <c r="AJ23" i="14"/>
  <c r="AJ19" i="14"/>
  <c r="AJ20" i="14"/>
  <c r="AJ21" i="14"/>
  <c r="AJ22" i="14"/>
  <c r="CF23" i="14"/>
  <c r="CF19" i="14"/>
  <c r="CF20" i="14"/>
  <c r="CF21" i="14"/>
  <c r="CF22" i="14"/>
  <c r="EB23" i="14"/>
  <c r="EB19" i="14"/>
  <c r="EB20" i="14"/>
  <c r="EB21" i="14"/>
  <c r="EB22" i="14"/>
  <c r="FX23" i="14"/>
  <c r="FX19" i="14"/>
  <c r="FX20" i="14"/>
  <c r="FX21" i="14"/>
  <c r="FX22" i="14"/>
  <c r="HT23" i="14"/>
  <c r="HT19" i="14"/>
  <c r="HT20" i="14"/>
  <c r="HT21" i="14"/>
  <c r="HT22" i="14"/>
  <c r="JP23" i="14"/>
  <c r="JP19" i="14"/>
  <c r="JP20" i="14"/>
  <c r="JP21" i="14"/>
  <c r="JP22" i="14"/>
  <c r="AZ20" i="14"/>
  <c r="BX22" i="14"/>
  <c r="AN20" i="14"/>
  <c r="AN21" i="14"/>
  <c r="AN22" i="14"/>
  <c r="CJ20" i="14"/>
  <c r="CJ21" i="14"/>
  <c r="CJ22" i="14"/>
  <c r="EF20" i="14"/>
  <c r="EF21" i="14"/>
  <c r="EF22" i="14"/>
  <c r="GB20" i="14"/>
  <c r="GB21" i="14"/>
  <c r="GB22" i="14"/>
  <c r="HX20" i="14"/>
  <c r="HX21" i="14"/>
  <c r="HX22" i="14"/>
  <c r="JT20" i="14"/>
  <c r="JT21" i="14"/>
  <c r="JT22" i="14"/>
  <c r="CV20" i="14"/>
  <c r="DT22" i="14"/>
  <c r="AR20" i="14"/>
  <c r="AR21" i="14"/>
  <c r="AR22" i="14"/>
  <c r="AR23" i="14"/>
  <c r="AR19" i="14"/>
  <c r="CN20" i="14"/>
  <c r="CN21" i="14"/>
  <c r="CN22" i="14"/>
  <c r="CN23" i="14"/>
  <c r="CN19" i="14"/>
  <c r="EJ20" i="14"/>
  <c r="EJ21" i="14"/>
  <c r="EJ22" i="14"/>
  <c r="EJ23" i="14"/>
  <c r="EJ19" i="14"/>
  <c r="GF20" i="14"/>
  <c r="GF21" i="14"/>
  <c r="GF22" i="14"/>
  <c r="GF23" i="14"/>
  <c r="GF19" i="14"/>
  <c r="IB20" i="14"/>
  <c r="IB21" i="14"/>
  <c r="IB22" i="14"/>
  <c r="IB23" i="14"/>
  <c r="IB19" i="14"/>
  <c r="JX20" i="14"/>
  <c r="JX21" i="14"/>
  <c r="JX22" i="14"/>
  <c r="JX23" i="14"/>
  <c r="JX19" i="14"/>
  <c r="T8" i="14"/>
  <c r="BP8" i="14"/>
  <c r="ER20" i="14"/>
  <c r="FP22" i="14"/>
  <c r="L21" i="14"/>
  <c r="L20" i="14"/>
  <c r="L19" i="14"/>
  <c r="H19" i="14"/>
  <c r="H20" i="14"/>
  <c r="H21" i="14"/>
  <c r="H22" i="14"/>
  <c r="H23" i="14"/>
  <c r="D12" i="14"/>
  <c r="F9" i="13"/>
  <c r="F8" i="13"/>
  <c r="F7" i="13"/>
  <c r="F6" i="13"/>
  <c r="F5" i="13"/>
  <c r="F4" i="13"/>
  <c r="F3" i="13"/>
  <c r="CZ26" i="10"/>
  <c r="H12" i="10"/>
  <c r="G12" i="10" s="1"/>
  <c r="G16" i="10" s="1"/>
  <c r="FL3" i="10"/>
  <c r="FL28" i="10" s="1"/>
  <c r="DP3" i="10"/>
  <c r="DP28" i="10" s="1"/>
  <c r="BL3" i="10"/>
  <c r="BL28" i="10" s="1"/>
  <c r="P3" i="10"/>
  <c r="P28" i="10" s="1"/>
  <c r="O1" i="10"/>
  <c r="S1" i="10" s="1"/>
  <c r="L12" i="10"/>
  <c r="L16" i="10" s="1"/>
  <c r="GZ26" i="10"/>
  <c r="FD25" i="10"/>
  <c r="BL24" i="10"/>
  <c r="KB3" i="10"/>
  <c r="KB28" i="10" s="1"/>
  <c r="IF3" i="10"/>
  <c r="IF28" i="10" s="1"/>
  <c r="GJ3" i="10"/>
  <c r="GJ28" i="10" s="1"/>
  <c r="EN3" i="10"/>
  <c r="EN28" i="10" s="1"/>
  <c r="CR3" i="10"/>
  <c r="CR28" i="10" s="1"/>
  <c r="AV3" i="10"/>
  <c r="AV28" i="10" s="1"/>
  <c r="IV27" i="10"/>
  <c r="BL27" i="10"/>
  <c r="DH23" i="10"/>
  <c r="JX3" i="10"/>
  <c r="JX28" i="10" s="1"/>
  <c r="IB3" i="10"/>
  <c r="IB28" i="10" s="1"/>
  <c r="GF3" i="10"/>
  <c r="GF28" i="10" s="1"/>
  <c r="EJ3" i="10"/>
  <c r="EJ28" i="10" s="1"/>
  <c r="CN3" i="10"/>
  <c r="CN28" i="10" s="1"/>
  <c r="AR3" i="10"/>
  <c r="AR28" i="10" s="1"/>
  <c r="FD24" i="10"/>
  <c r="JT3" i="10"/>
  <c r="HX3" i="10"/>
  <c r="GB3" i="10"/>
  <c r="GB7" i="10" s="1"/>
  <c r="EF3" i="10"/>
  <c r="CJ3" i="10"/>
  <c r="AN3" i="10"/>
  <c r="BL25" i="10"/>
  <c r="IV24" i="10"/>
  <c r="GZ23" i="10"/>
  <c r="P23" i="10"/>
  <c r="JP3" i="10"/>
  <c r="JP28" i="10" s="1"/>
  <c r="HT3" i="10"/>
  <c r="HT28" i="10" s="1"/>
  <c r="FX3" i="10"/>
  <c r="FX28" i="10" s="1"/>
  <c r="EB3" i="10"/>
  <c r="EB28" i="10" s="1"/>
  <c r="CF3" i="10"/>
  <c r="CF28" i="10" s="1"/>
  <c r="AJ3" i="10"/>
  <c r="AJ28" i="10" s="1"/>
  <c r="H3" i="10"/>
  <c r="DH27" i="10"/>
  <c r="DH26" i="10"/>
  <c r="BL26" i="10"/>
  <c r="P26" i="10"/>
  <c r="JL3" i="10"/>
  <c r="JL28" i="10" s="1"/>
  <c r="HP3" i="10"/>
  <c r="HP28" i="10" s="1"/>
  <c r="FT3" i="10"/>
  <c r="FT28" i="10" s="1"/>
  <c r="DX3" i="10"/>
  <c r="DX28" i="10" s="1"/>
  <c r="CB3" i="10"/>
  <c r="CB28" i="10" s="1"/>
  <c r="AF3" i="10"/>
  <c r="AF28" i="10" s="1"/>
  <c r="IV26" i="10"/>
  <c r="JH3" i="10"/>
  <c r="HL3" i="10"/>
  <c r="FP3" i="10"/>
  <c r="DT3" i="10"/>
  <c r="BX3" i="10"/>
  <c r="BX7" i="10" s="1"/>
  <c r="AB3" i="10"/>
  <c r="AB28" i="10" s="1"/>
  <c r="GZ25" i="10"/>
  <c r="BT3" i="10"/>
  <c r="BT28" i="10" s="1"/>
  <c r="X3" i="10"/>
  <c r="X28" i="10" s="1"/>
  <c r="FD27" i="10"/>
  <c r="FD26" i="10"/>
  <c r="DH24" i="10"/>
  <c r="P24" i="10"/>
  <c r="FD23" i="10"/>
  <c r="BL23" i="10"/>
  <c r="P27" i="10"/>
  <c r="GV3" i="10"/>
  <c r="GV28" i="10" s="1"/>
  <c r="EZ3" i="10"/>
  <c r="EZ28" i="10" s="1"/>
  <c r="DD3" i="10"/>
  <c r="DD28" i="10" s="1"/>
  <c r="BH3" i="10"/>
  <c r="L3" i="10"/>
  <c r="L28" i="10" s="1"/>
  <c r="GZ27" i="10"/>
  <c r="P25" i="10"/>
  <c r="IN3" i="10"/>
  <c r="GR3" i="10"/>
  <c r="EV3" i="10"/>
  <c r="EV28" i="10" s="1"/>
  <c r="CZ3" i="10"/>
  <c r="BD3" i="10"/>
  <c r="IV25" i="10"/>
  <c r="IV23" i="10"/>
  <c r="GN3" i="10"/>
  <c r="GN28" i="10" s="1"/>
  <c r="ER3" i="10"/>
  <c r="CV3" i="10"/>
  <c r="CV7" i="10" s="1"/>
  <c r="AZ3" i="10"/>
  <c r="AZ28" i="10" s="1"/>
  <c r="IR26" i="10"/>
  <c r="GR26" i="10"/>
  <c r="JP25" i="10"/>
  <c r="EZ25" i="10"/>
  <c r="CF25" i="10"/>
  <c r="HX24" i="10"/>
  <c r="CJ24" i="10"/>
  <c r="HT23" i="10"/>
  <c r="EZ23" i="10"/>
  <c r="CF23" i="10"/>
  <c r="EZ26" i="10"/>
  <c r="IN26" i="10"/>
  <c r="HT24" i="10"/>
  <c r="CF24" i="10"/>
  <c r="EV23" i="10"/>
  <c r="IR27" i="10"/>
  <c r="BH27" i="10"/>
  <c r="L23" i="10"/>
  <c r="IN27" i="10"/>
  <c r="GR27" i="10"/>
  <c r="EV27" i="10"/>
  <c r="CZ27" i="10"/>
  <c r="BD27" i="10"/>
  <c r="HX26" i="10"/>
  <c r="FX26" i="10"/>
  <c r="JT24" i="10"/>
  <c r="EF24" i="10"/>
  <c r="L24" i="10"/>
  <c r="GV27" i="10"/>
  <c r="L25" i="10"/>
  <c r="EZ24" i="10"/>
  <c r="JT26" i="10"/>
  <c r="HT26" i="10"/>
  <c r="GB25" i="10"/>
  <c r="JP24" i="10"/>
  <c r="EB24" i="10"/>
  <c r="JT23" i="10"/>
  <c r="GV23" i="10"/>
  <c r="BH23" i="10"/>
  <c r="JP26" i="10"/>
  <c r="IR25" i="10"/>
  <c r="FX25" i="10"/>
  <c r="BH25" i="10"/>
  <c r="JP23" i="10"/>
  <c r="GB23" i="10"/>
  <c r="BD23" i="10"/>
  <c r="DD27" i="10"/>
  <c r="GV24" i="10"/>
  <c r="BH24" i="10"/>
  <c r="FX23" i="10"/>
  <c r="EZ27" i="10"/>
  <c r="GB26" i="10"/>
  <c r="GV25" i="10"/>
  <c r="JT27" i="10"/>
  <c r="HX27" i="10"/>
  <c r="GB27" i="10"/>
  <c r="EF27" i="10"/>
  <c r="CJ27" i="10"/>
  <c r="AN27" i="10"/>
  <c r="HX25" i="10"/>
  <c r="AN25" i="10"/>
  <c r="GB24" i="10"/>
  <c r="BD24" i="10"/>
  <c r="DD23" i="10"/>
  <c r="GV26" i="10"/>
  <c r="EV26" i="10"/>
  <c r="JT25" i="10"/>
  <c r="CJ25" i="10"/>
  <c r="IR24" i="10"/>
  <c r="DD24" i="10"/>
  <c r="HX23" i="10"/>
  <c r="CJ23" i="10"/>
  <c r="JH7" i="10"/>
  <c r="JH28" i="10"/>
  <c r="DT28" i="10"/>
  <c r="DT7" i="10"/>
  <c r="H25" i="10"/>
  <c r="H24" i="10"/>
  <c r="H23" i="10"/>
  <c r="IR3" i="10"/>
  <c r="IR28" i="10" s="1"/>
  <c r="H26" i="10"/>
  <c r="HL28" i="10"/>
  <c r="HL7" i="10"/>
  <c r="FP7" i="10"/>
  <c r="FP28" i="10"/>
  <c r="AB7" i="10"/>
  <c r="IN24" i="10"/>
  <c r="GR24" i="10"/>
  <c r="EV24" i="10"/>
  <c r="CZ24" i="10"/>
  <c r="KF23" i="10"/>
  <c r="IF23" i="10"/>
  <c r="GF23" i="10"/>
  <c r="IN25" i="10"/>
  <c r="GR25" i="10"/>
  <c r="EV25" i="10"/>
  <c r="CZ25" i="10"/>
  <c r="BD25" i="10"/>
  <c r="KF24" i="10"/>
  <c r="IJ24" i="10"/>
  <c r="GN24" i="10"/>
  <c r="ER24" i="10"/>
  <c r="CV24" i="10"/>
  <c r="AZ24" i="10"/>
  <c r="KB23" i="10"/>
  <c r="IB23" i="10"/>
  <c r="KB24" i="10"/>
  <c r="IF24" i="10"/>
  <c r="GJ24" i="10"/>
  <c r="EN24" i="10"/>
  <c r="CR24" i="10"/>
  <c r="AV24" i="10"/>
  <c r="JX23" i="10"/>
  <c r="KB25" i="10"/>
  <c r="IF25" i="10"/>
  <c r="GJ25" i="10"/>
  <c r="EN25" i="10"/>
  <c r="CR25" i="10"/>
  <c r="AV25" i="10"/>
  <c r="JX24" i="10"/>
  <c r="IB24" i="10"/>
  <c r="GF24" i="10"/>
  <c r="EJ24" i="10"/>
  <c r="CN24" i="10"/>
  <c r="AR24" i="10"/>
  <c r="KB26" i="10"/>
  <c r="IF26" i="10"/>
  <c r="GJ26" i="10"/>
  <c r="EN26" i="10"/>
  <c r="JX25" i="10"/>
  <c r="IB25" i="10"/>
  <c r="GF25" i="10"/>
  <c r="EJ25" i="10"/>
  <c r="CN25" i="10"/>
  <c r="AR25" i="10"/>
  <c r="GR23" i="10"/>
  <c r="ER23" i="10"/>
  <c r="CR23" i="10"/>
  <c r="AR23" i="10"/>
  <c r="IN23" i="10"/>
  <c r="GN23" i="10"/>
  <c r="EN23" i="10"/>
  <c r="CN23" i="10"/>
  <c r="IJ23" i="10"/>
  <c r="GJ23" i="10"/>
  <c r="EJ23" i="10"/>
  <c r="IN28" i="10"/>
  <c r="IN7" i="10"/>
  <c r="GR28" i="10"/>
  <c r="GR7" i="10"/>
  <c r="EV7" i="10"/>
  <c r="CZ28" i="10"/>
  <c r="CZ7" i="10"/>
  <c r="BD28" i="10"/>
  <c r="BD7" i="10"/>
  <c r="JP7" i="10"/>
  <c r="KF7" i="10"/>
  <c r="IF7" i="10"/>
  <c r="GJ7" i="10"/>
  <c r="EN7" i="10"/>
  <c r="CR7" i="10"/>
  <c r="AV7" i="10"/>
  <c r="BH7" i="10"/>
  <c r="JX7" i="10"/>
  <c r="IB7" i="10"/>
  <c r="GF7" i="10"/>
  <c r="CN7" i="10"/>
  <c r="AR7" i="10"/>
  <c r="HT7" i="10"/>
  <c r="AJ7" i="10"/>
  <c r="IJ7" i="10"/>
  <c r="KF28" i="10"/>
  <c r="JT7" i="10"/>
  <c r="JT28" i="10"/>
  <c r="HX7" i="10"/>
  <c r="HX28" i="10"/>
  <c r="EF7" i="10"/>
  <c r="EF28" i="10"/>
  <c r="CJ7" i="10"/>
  <c r="CJ28" i="10"/>
  <c r="AN7" i="10"/>
  <c r="AN28" i="10"/>
  <c r="GN7" i="10"/>
  <c r="BH28" i="10"/>
  <c r="P12" i="10"/>
  <c r="L7" i="10"/>
  <c r="ER7" i="10"/>
  <c r="JL7" i="10"/>
  <c r="HP7" i="10"/>
  <c r="FT7" i="10"/>
  <c r="DX7" i="10"/>
  <c r="CB7" i="10"/>
  <c r="FX7" i="10"/>
  <c r="AZ7" i="10"/>
  <c r="CV28" i="10"/>
  <c r="JD7" i="10"/>
  <c r="HH7" i="10"/>
  <c r="FL7" i="10"/>
  <c r="DP7" i="10"/>
  <c r="BT7" i="10"/>
  <c r="X7" i="10"/>
  <c r="EZ7" i="10"/>
  <c r="IZ3" i="10"/>
  <c r="IZ23" i="10"/>
  <c r="HD3" i="10"/>
  <c r="HD23" i="10"/>
  <c r="FH3" i="10"/>
  <c r="FH23" i="10"/>
  <c r="DL3" i="10"/>
  <c r="DL23" i="10"/>
  <c r="BP3" i="10"/>
  <c r="BP23" i="10"/>
  <c r="T3" i="10"/>
  <c r="T27" i="10"/>
  <c r="T23" i="10"/>
  <c r="EB7" i="10"/>
  <c r="ER28" i="10"/>
  <c r="IV7" i="10"/>
  <c r="GZ7" i="10"/>
  <c r="FD7" i="10"/>
  <c r="DH7" i="10"/>
  <c r="BL7" i="10"/>
  <c r="P7" i="10"/>
  <c r="DD7" i="10"/>
  <c r="W1" i="10"/>
  <c r="T12" i="10"/>
  <c r="H7" i="10"/>
  <c r="I22" i="10" s="1"/>
  <c r="H28" i="10"/>
  <c r="D28" i="10"/>
  <c r="D7" i="10"/>
  <c r="E22" i="10" s="1"/>
  <c r="D22" i="10" s="1"/>
  <c r="D12" i="10"/>
  <c r="C5" i="7"/>
  <c r="B5" i="7" s="1"/>
  <c r="E117" i="1"/>
  <c r="E137" i="1" s="1"/>
  <c r="E30" i="1"/>
  <c r="E32" i="1" s="1"/>
  <c r="E34" i="1" s="1"/>
  <c r="E36" i="1" s="1"/>
  <c r="J31" i="1"/>
  <c r="F30" i="1"/>
  <c r="F32" i="1" s="1"/>
  <c r="F34" i="1" s="1"/>
  <c r="F36" i="1" s="1"/>
  <c r="F40" i="1" s="1"/>
  <c r="F44" i="1" s="1"/>
  <c r="F75" i="1" s="1"/>
  <c r="F74" i="1" s="1"/>
  <c r="F89" i="1" s="1"/>
  <c r="F87" i="1" s="1"/>
  <c r="G67" i="1"/>
  <c r="G69" i="1" s="1"/>
  <c r="B4" i="7"/>
  <c r="H67" i="1"/>
  <c r="H69" i="1" s="1"/>
  <c r="B14" i="4"/>
  <c r="B22" i="4"/>
  <c r="E40" i="1"/>
  <c r="E44" i="1" s="1"/>
  <c r="E75" i="1" s="1"/>
  <c r="E74" i="1" s="1"/>
  <c r="E46" i="1"/>
  <c r="N52" i="1"/>
  <c r="N96" i="1" s="1"/>
  <c r="H40" i="1"/>
  <c r="H44" i="1" s="1"/>
  <c r="H75" i="1" s="1"/>
  <c r="H74" i="1" s="1"/>
  <c r="H89" i="1" s="1"/>
  <c r="H87" i="1" s="1"/>
  <c r="H46" i="1"/>
  <c r="I38" i="1"/>
  <c r="J108" i="1"/>
  <c r="K108" i="1" s="1"/>
  <c r="L108" i="1" s="1"/>
  <c r="M108" i="1" s="1"/>
  <c r="N108" i="1" s="1"/>
  <c r="O108" i="1" s="1"/>
  <c r="P108" i="1" s="1"/>
  <c r="Q108" i="1" s="1"/>
  <c r="R108" i="1" s="1"/>
  <c r="G40" i="1"/>
  <c r="G44" i="1" s="1"/>
  <c r="G75" i="1" s="1"/>
  <c r="G74" i="1" s="1"/>
  <c r="G89" i="1" s="1"/>
  <c r="G87" i="1" s="1"/>
  <c r="G46" i="1"/>
  <c r="K28" i="1"/>
  <c r="J27" i="1"/>
  <c r="J30" i="1" s="1"/>
  <c r="J32" i="1" s="1"/>
  <c r="J34" i="1" s="1"/>
  <c r="J36" i="1" s="1"/>
  <c r="D45" i="1"/>
  <c r="D76" i="1" s="1"/>
  <c r="D115" i="1"/>
  <c r="E112" i="1" s="1"/>
  <c r="J64" i="1"/>
  <c r="K66" i="1"/>
  <c r="E89" i="1"/>
  <c r="E87" i="1" s="1"/>
  <c r="F117" i="1"/>
  <c r="O52" i="1"/>
  <c r="O96" i="1" s="1"/>
  <c r="I62" i="1"/>
  <c r="I98" i="1" s="1"/>
  <c r="I90" i="1"/>
  <c r="K31" i="1"/>
  <c r="F90" i="1"/>
  <c r="Q52" i="1"/>
  <c r="Q96" i="1" s="1"/>
  <c r="HP8" i="14" l="1"/>
  <c r="FT8" i="14"/>
  <c r="FH8" i="14"/>
  <c r="HL8" i="14"/>
  <c r="GF8" i="14"/>
  <c r="HD8" i="14"/>
  <c r="IF24" i="14"/>
  <c r="DL8" i="14"/>
  <c r="DT8" i="14"/>
  <c r="HX8" i="14"/>
  <c r="H8" i="14"/>
  <c r="IB8" i="14"/>
  <c r="EF8" i="14"/>
  <c r="JX8" i="14"/>
  <c r="FP8" i="14"/>
  <c r="JH8" i="14"/>
  <c r="IZ8" i="14"/>
  <c r="D8" i="14"/>
  <c r="GB8" i="14"/>
  <c r="DP24" i="14"/>
  <c r="L24" i="14"/>
  <c r="DH24" i="14"/>
  <c r="CJ8" i="14"/>
  <c r="BT8" i="14"/>
  <c r="IV8" i="14"/>
  <c r="FD24" i="14"/>
  <c r="BL8" i="14"/>
  <c r="DD8" i="14"/>
  <c r="BH8" i="14"/>
  <c r="JP8" i="14"/>
  <c r="JD8" i="14"/>
  <c r="P8" i="14"/>
  <c r="X8" i="14"/>
  <c r="AJ8" i="14"/>
  <c r="CF24" i="14"/>
  <c r="GV24" i="14"/>
  <c r="EZ8" i="14"/>
  <c r="GZ24" i="14"/>
  <c r="HT8" i="14"/>
  <c r="HH8" i="14"/>
  <c r="IR8" i="14"/>
  <c r="FX8" i="14"/>
  <c r="FL8" i="14"/>
  <c r="EB8" i="14"/>
  <c r="ER24" i="14"/>
  <c r="ER8" i="14"/>
  <c r="IN24" i="14"/>
  <c r="IN8" i="14"/>
  <c r="CV24" i="14"/>
  <c r="CV8" i="14"/>
  <c r="KB24" i="14"/>
  <c r="KB8" i="14"/>
  <c r="GR24" i="14"/>
  <c r="GR8" i="14"/>
  <c r="AZ24" i="14"/>
  <c r="AZ8" i="14"/>
  <c r="T12" i="14"/>
  <c r="W1" i="14"/>
  <c r="EV24" i="14"/>
  <c r="EV8" i="14"/>
  <c r="CZ24" i="14"/>
  <c r="CZ8" i="14"/>
  <c r="BD24" i="14"/>
  <c r="BD8" i="14"/>
  <c r="GN24" i="14"/>
  <c r="GN8" i="14"/>
  <c r="IJ8" i="14"/>
  <c r="IJ24" i="14"/>
  <c r="E12" i="14"/>
  <c r="C12" i="14"/>
  <c r="H16" i="10"/>
  <c r="K12" i="10"/>
  <c r="K16" i="10" s="1"/>
  <c r="BX28" i="10"/>
  <c r="KB7" i="10"/>
  <c r="EJ7" i="10"/>
  <c r="GV7" i="10"/>
  <c r="GB28" i="10"/>
  <c r="CF7" i="10"/>
  <c r="AF7" i="10"/>
  <c r="IR7" i="10"/>
  <c r="JM22" i="10" s="1"/>
  <c r="JL22" i="10" s="1"/>
  <c r="IZ7" i="10"/>
  <c r="KC22" i="10" s="1"/>
  <c r="KB22" i="10" s="1"/>
  <c r="IZ28" i="10"/>
  <c r="JA22" i="10"/>
  <c r="IZ22" i="10" s="1"/>
  <c r="Q22" i="10"/>
  <c r="P22" i="10" s="1"/>
  <c r="M22" i="10"/>
  <c r="L22" i="10" s="1"/>
  <c r="L30" i="10" s="1"/>
  <c r="M3" i="10" s="1"/>
  <c r="T7" i="10"/>
  <c r="Y22" i="10" s="1"/>
  <c r="X22" i="10" s="1"/>
  <c r="T28" i="10"/>
  <c r="S12" i="10"/>
  <c r="S16" i="10" s="1"/>
  <c r="T16" i="10"/>
  <c r="AA1" i="10"/>
  <c r="X12" i="10"/>
  <c r="BP7" i="10"/>
  <c r="DA22" i="10" s="1"/>
  <c r="CZ22" i="10" s="1"/>
  <c r="BP28" i="10"/>
  <c r="JQ22" i="10"/>
  <c r="JP22" i="10" s="1"/>
  <c r="O12" i="10"/>
  <c r="O16" i="10" s="1"/>
  <c r="P16" i="10"/>
  <c r="KG22" i="10"/>
  <c r="KF22" i="10" s="1"/>
  <c r="DM22" i="10"/>
  <c r="DL22" i="10" s="1"/>
  <c r="HD7" i="10"/>
  <c r="HY22" i="10" s="1"/>
  <c r="HX22" i="10" s="1"/>
  <c r="HD28" i="10"/>
  <c r="DL7" i="10"/>
  <c r="DY22" i="10" s="1"/>
  <c r="DX22" i="10" s="1"/>
  <c r="DL28" i="10"/>
  <c r="CS22" i="10"/>
  <c r="CR22" i="10" s="1"/>
  <c r="EC22" i="10"/>
  <c r="EB22" i="10" s="1"/>
  <c r="JY22" i="10"/>
  <c r="JX22" i="10" s="1"/>
  <c r="BI22" i="10"/>
  <c r="BH22" i="10" s="1"/>
  <c r="FH7" i="10"/>
  <c r="FU22" i="10" s="1"/>
  <c r="FT22" i="10" s="1"/>
  <c r="FH28" i="10"/>
  <c r="JI22" i="10"/>
  <c r="JH22" i="10" s="1"/>
  <c r="JE22" i="10"/>
  <c r="JD22" i="10" s="1"/>
  <c r="ES22" i="10"/>
  <c r="ER22" i="10" s="1"/>
  <c r="H22" i="10"/>
  <c r="D16" i="10"/>
  <c r="D30" i="10" s="1"/>
  <c r="D21" i="1"/>
  <c r="B11" i="7"/>
  <c r="F46" i="1"/>
  <c r="J62" i="1"/>
  <c r="J98" i="1" s="1"/>
  <c r="J53" i="1"/>
  <c r="J97" i="1" s="1"/>
  <c r="B17" i="4"/>
  <c r="K27" i="1"/>
  <c r="K30" i="1" s="1"/>
  <c r="K32" i="1" s="1"/>
  <c r="K34" i="1" s="1"/>
  <c r="K36" i="1" s="1"/>
  <c r="L28" i="1"/>
  <c r="F137" i="1"/>
  <c r="G117" i="1"/>
  <c r="J38" i="1"/>
  <c r="E114" i="1"/>
  <c r="E115" i="1" s="1"/>
  <c r="F112" i="1" s="1"/>
  <c r="K53" i="1"/>
  <c r="K97" i="1" s="1"/>
  <c r="K62" i="1"/>
  <c r="K98" i="1" s="1"/>
  <c r="L31" i="1"/>
  <c r="K64" i="1"/>
  <c r="L66" i="1"/>
  <c r="M18" i="14" l="1"/>
  <c r="L18" i="14" s="1"/>
  <c r="L26" i="14" s="1"/>
  <c r="E18" i="14"/>
  <c r="D18" i="14" s="1"/>
  <c r="D26" i="14" s="1"/>
  <c r="D27" i="14" s="1"/>
  <c r="I18" i="14"/>
  <c r="H18" i="14" s="1"/>
  <c r="H26" i="14" s="1"/>
  <c r="I4" i="14" s="1"/>
  <c r="AK18" i="14"/>
  <c r="AJ18" i="14" s="1"/>
  <c r="Q18" i="14"/>
  <c r="P18" i="14" s="1"/>
  <c r="P26" i="14" s="1"/>
  <c r="Q4" i="14" s="1"/>
  <c r="U18" i="14"/>
  <c r="T18" i="14" s="1"/>
  <c r="T26" i="14" s="1"/>
  <c r="Y18" i="14"/>
  <c r="X18" i="14" s="1"/>
  <c r="HQ18" i="14"/>
  <c r="HP18" i="14" s="1"/>
  <c r="FQ18" i="14"/>
  <c r="FP18" i="14" s="1"/>
  <c r="AW18" i="14"/>
  <c r="AV18" i="14" s="1"/>
  <c r="AG18" i="14"/>
  <c r="AF18" i="14" s="1"/>
  <c r="AC18" i="14"/>
  <c r="AB18" i="14" s="1"/>
  <c r="AO18" i="14"/>
  <c r="AN18" i="14" s="1"/>
  <c r="AS18" i="14"/>
  <c r="AR18" i="14" s="1"/>
  <c r="BE18" i="14"/>
  <c r="BD18" i="14" s="1"/>
  <c r="CG18" i="14"/>
  <c r="CF18" i="14" s="1"/>
  <c r="CC18" i="14"/>
  <c r="CB18" i="14" s="1"/>
  <c r="FE18" i="14"/>
  <c r="FD18" i="14" s="1"/>
  <c r="GG18" i="14"/>
  <c r="GF18" i="14" s="1"/>
  <c r="FA18" i="14"/>
  <c r="EZ18" i="14" s="1"/>
  <c r="GW18" i="14"/>
  <c r="GV18" i="14" s="1"/>
  <c r="HM18" i="14"/>
  <c r="HL18" i="14" s="1"/>
  <c r="BI18" i="14"/>
  <c r="BH18" i="14" s="1"/>
  <c r="EW18" i="14"/>
  <c r="EV18" i="14" s="1"/>
  <c r="BU18" i="14"/>
  <c r="BT18" i="14" s="1"/>
  <c r="BA18" i="14"/>
  <c r="AZ18" i="14" s="1"/>
  <c r="GS18" i="14"/>
  <c r="GR18" i="14" s="1"/>
  <c r="JY18" i="14"/>
  <c r="JX18" i="14" s="1"/>
  <c r="BQ18" i="14"/>
  <c r="BP18" i="14" s="1"/>
  <c r="EK18" i="14"/>
  <c r="EJ18" i="14" s="1"/>
  <c r="DU18" i="14"/>
  <c r="DT18" i="14" s="1"/>
  <c r="EC18" i="14"/>
  <c r="EB18" i="14" s="1"/>
  <c r="DQ18" i="14"/>
  <c r="DP18" i="14" s="1"/>
  <c r="DE18" i="14"/>
  <c r="DD18" i="14" s="1"/>
  <c r="DY18" i="14"/>
  <c r="DX18" i="14" s="1"/>
  <c r="EG18" i="14"/>
  <c r="EF18" i="14" s="1"/>
  <c r="DA18" i="14"/>
  <c r="CZ18" i="14" s="1"/>
  <c r="IO18" i="14"/>
  <c r="IN18" i="14" s="1"/>
  <c r="X12" i="14"/>
  <c r="AA1" i="14"/>
  <c r="GK18" i="14"/>
  <c r="GJ18" i="14" s="1"/>
  <c r="FI18" i="14"/>
  <c r="FH18" i="14" s="1"/>
  <c r="JQ18" i="14"/>
  <c r="JP18" i="14" s="1"/>
  <c r="GO18" i="14"/>
  <c r="GN18" i="14" s="1"/>
  <c r="S12" i="14"/>
  <c r="IS18" i="14"/>
  <c r="IR18" i="14" s="1"/>
  <c r="HU18" i="14"/>
  <c r="HT18" i="14" s="1"/>
  <c r="HY18" i="14"/>
  <c r="HX18" i="14" s="1"/>
  <c r="JM18" i="14"/>
  <c r="JL18" i="14" s="1"/>
  <c r="HI18" i="14"/>
  <c r="HH18" i="14" s="1"/>
  <c r="GC18" i="14"/>
  <c r="GB18" i="14" s="1"/>
  <c r="CS18" i="14"/>
  <c r="CR18" i="14" s="1"/>
  <c r="JU18" i="14"/>
  <c r="JT18" i="14" s="1"/>
  <c r="EO18" i="14"/>
  <c r="EN18" i="14" s="1"/>
  <c r="DM18" i="14"/>
  <c r="DL18" i="14" s="1"/>
  <c r="JI18" i="14"/>
  <c r="JH18" i="14" s="1"/>
  <c r="CW18" i="14"/>
  <c r="CV18" i="14" s="1"/>
  <c r="FU18" i="14"/>
  <c r="FT18" i="14" s="1"/>
  <c r="BY18" i="14"/>
  <c r="BX18" i="14" s="1"/>
  <c r="CO18" i="14"/>
  <c r="CN18" i="14" s="1"/>
  <c r="IK18" i="14"/>
  <c r="IJ18" i="14" s="1"/>
  <c r="FY18" i="14"/>
  <c r="FX18" i="14" s="1"/>
  <c r="BM18" i="14"/>
  <c r="BL18" i="14" s="1"/>
  <c r="ES18" i="14"/>
  <c r="ER18" i="14" s="1"/>
  <c r="FM18" i="14"/>
  <c r="FL18" i="14" s="1"/>
  <c r="IG18" i="14"/>
  <c r="IF18" i="14" s="1"/>
  <c r="IC18" i="14"/>
  <c r="IB18" i="14" s="1"/>
  <c r="HA18" i="14"/>
  <c r="GZ18" i="14" s="1"/>
  <c r="HE18" i="14"/>
  <c r="HD18" i="14" s="1"/>
  <c r="KC18" i="14"/>
  <c r="KB18" i="14" s="1"/>
  <c r="DI18" i="14"/>
  <c r="DH18" i="14" s="1"/>
  <c r="IW18" i="14"/>
  <c r="IV18" i="14" s="1"/>
  <c r="JE18" i="14"/>
  <c r="JD18" i="14" s="1"/>
  <c r="CK18" i="14"/>
  <c r="CJ18" i="14" s="1"/>
  <c r="JA18" i="14"/>
  <c r="IZ18" i="14" s="1"/>
  <c r="H30" i="10"/>
  <c r="I3" i="10" s="1"/>
  <c r="E3" i="10"/>
  <c r="CW22" i="10"/>
  <c r="CV22" i="10" s="1"/>
  <c r="HU22" i="10"/>
  <c r="HT22" i="10" s="1"/>
  <c r="DQ22" i="10"/>
  <c r="DP22" i="10" s="1"/>
  <c r="GS22" i="10"/>
  <c r="GR22" i="10" s="1"/>
  <c r="EW22" i="10"/>
  <c r="EV22" i="10" s="1"/>
  <c r="BA22" i="10"/>
  <c r="AZ22" i="10" s="1"/>
  <c r="AW22" i="10"/>
  <c r="AV22" i="10" s="1"/>
  <c r="FI22" i="10"/>
  <c r="FH22" i="10" s="1"/>
  <c r="P30" i="10"/>
  <c r="Q3" i="10" s="1"/>
  <c r="DI22" i="10"/>
  <c r="DH22" i="10" s="1"/>
  <c r="BY22" i="10"/>
  <c r="BX22" i="10" s="1"/>
  <c r="CO22" i="10"/>
  <c r="CN22" i="10" s="1"/>
  <c r="IS22" i="10"/>
  <c r="IR22" i="10" s="1"/>
  <c r="IW22" i="10"/>
  <c r="IV22" i="10" s="1"/>
  <c r="W12" i="10"/>
  <c r="W16" i="10" s="1"/>
  <c r="X16" i="10"/>
  <c r="X30" i="10" s="1"/>
  <c r="BM22" i="10"/>
  <c r="BL22" i="10" s="1"/>
  <c r="AS22" i="10"/>
  <c r="AR22" i="10" s="1"/>
  <c r="HI22" i="10"/>
  <c r="HH22" i="10" s="1"/>
  <c r="CG22" i="10"/>
  <c r="CF22" i="10" s="1"/>
  <c r="AE1" i="10"/>
  <c r="AB12" i="10"/>
  <c r="IK22" i="10"/>
  <c r="IJ22" i="10" s="1"/>
  <c r="AO22" i="10"/>
  <c r="AN22" i="10" s="1"/>
  <c r="HA22" i="10"/>
  <c r="GZ22" i="10" s="1"/>
  <c r="FE22" i="10"/>
  <c r="FD22" i="10" s="1"/>
  <c r="IC22" i="10"/>
  <c r="IB22" i="10" s="1"/>
  <c r="FQ22" i="10"/>
  <c r="FP22" i="10" s="1"/>
  <c r="HE22" i="10"/>
  <c r="HD22" i="10" s="1"/>
  <c r="AK22" i="10"/>
  <c r="AJ22" i="10" s="1"/>
  <c r="CC22" i="10"/>
  <c r="CB22" i="10" s="1"/>
  <c r="HM22" i="10"/>
  <c r="HL22" i="10" s="1"/>
  <c r="DE22" i="10"/>
  <c r="DD22" i="10" s="1"/>
  <c r="BE22" i="10"/>
  <c r="BD22" i="10" s="1"/>
  <c r="IG22" i="10"/>
  <c r="IF22" i="10" s="1"/>
  <c r="FY22" i="10"/>
  <c r="FX22" i="10" s="1"/>
  <c r="BU22" i="10"/>
  <c r="BT22" i="10" s="1"/>
  <c r="EO22" i="10"/>
  <c r="EN22" i="10" s="1"/>
  <c r="FM22" i="10"/>
  <c r="FL22" i="10" s="1"/>
  <c r="AG22" i="10"/>
  <c r="AF22" i="10" s="1"/>
  <c r="GO22" i="10"/>
  <c r="GN22" i="10" s="1"/>
  <c r="GC22" i="10"/>
  <c r="GB22" i="10" s="1"/>
  <c r="EK22" i="10"/>
  <c r="EJ22" i="10" s="1"/>
  <c r="AC22" i="10"/>
  <c r="AB22" i="10" s="1"/>
  <c r="GK22" i="10"/>
  <c r="GJ22" i="10" s="1"/>
  <c r="CK22" i="10"/>
  <c r="CJ22" i="10" s="1"/>
  <c r="GG22" i="10"/>
  <c r="GF22" i="10" s="1"/>
  <c r="GW22" i="10"/>
  <c r="GV22" i="10" s="1"/>
  <c r="BQ22" i="10"/>
  <c r="BP22" i="10" s="1"/>
  <c r="JU22" i="10"/>
  <c r="JT22" i="10" s="1"/>
  <c r="L31" i="10"/>
  <c r="HQ22" i="10"/>
  <c r="HP22" i="10" s="1"/>
  <c r="EG22" i="10"/>
  <c r="EF22" i="10" s="1"/>
  <c r="FA22" i="10"/>
  <c r="EZ22" i="10" s="1"/>
  <c r="IO22" i="10"/>
  <c r="IN22" i="10" s="1"/>
  <c r="DU22" i="10"/>
  <c r="DT22" i="10" s="1"/>
  <c r="U22" i="10"/>
  <c r="T22" i="10" s="1"/>
  <c r="T30" i="10" s="1"/>
  <c r="U3" i="10" s="1"/>
  <c r="D31" i="10"/>
  <c r="D5" i="4"/>
  <c r="F114" i="1"/>
  <c r="F115" i="1" s="1"/>
  <c r="G112" i="1" s="1"/>
  <c r="J37" i="1"/>
  <c r="J40" i="1" s="1"/>
  <c r="K38" i="1"/>
  <c r="L53" i="1"/>
  <c r="L97" i="1" s="1"/>
  <c r="L62" i="1"/>
  <c r="L98" i="1" s="1"/>
  <c r="M31" i="1"/>
  <c r="L64" i="1"/>
  <c r="M66" i="1"/>
  <c r="G137" i="1"/>
  <c r="H117" i="1"/>
  <c r="L27" i="1"/>
  <c r="L30" i="1" s="1"/>
  <c r="L32" i="1" s="1"/>
  <c r="L34" i="1" s="1"/>
  <c r="L36" i="1" s="1"/>
  <c r="M28" i="1"/>
  <c r="H27" i="14" l="1"/>
  <c r="H31" i="14" s="1"/>
  <c r="H33" i="14" s="1"/>
  <c r="M4" i="14"/>
  <c r="L27" i="14"/>
  <c r="L31" i="14" s="1"/>
  <c r="L33" i="14" s="1"/>
  <c r="P27" i="14"/>
  <c r="P31" i="14" s="1"/>
  <c r="P33" i="14" s="1"/>
  <c r="D31" i="14"/>
  <c r="U4" i="14"/>
  <c r="T27" i="14"/>
  <c r="T31" i="14" s="1"/>
  <c r="T33" i="14" s="1"/>
  <c r="AB12" i="14"/>
  <c r="AE1" i="14"/>
  <c r="X26" i="14"/>
  <c r="W12" i="14"/>
  <c r="E4" i="14"/>
  <c r="H31" i="10"/>
  <c r="D33" i="10"/>
  <c r="P31" i="10"/>
  <c r="Y3" i="10"/>
  <c r="X31" i="10"/>
  <c r="AA12" i="10"/>
  <c r="AA16" i="10" s="1"/>
  <c r="AB16" i="10"/>
  <c r="AB30" i="10" s="1"/>
  <c r="AF12" i="10"/>
  <c r="AI1" i="10"/>
  <c r="T31" i="10"/>
  <c r="C12" i="10"/>
  <c r="C16" i="10" s="1"/>
  <c r="G114" i="1"/>
  <c r="G115" i="1"/>
  <c r="H112" i="1" s="1"/>
  <c r="M64" i="1"/>
  <c r="N66" i="1"/>
  <c r="M53" i="1"/>
  <c r="M97" i="1" s="1"/>
  <c r="M62" i="1"/>
  <c r="M98" i="1" s="1"/>
  <c r="N31" i="1"/>
  <c r="H137" i="1"/>
  <c r="I117" i="1"/>
  <c r="K37" i="1"/>
  <c r="K40" i="1" s="1"/>
  <c r="L38" i="1"/>
  <c r="J152" i="1"/>
  <c r="J44" i="1"/>
  <c r="J75" i="1" s="1"/>
  <c r="N28" i="1"/>
  <c r="M27" i="1"/>
  <c r="M30" i="1" s="1"/>
  <c r="M32" i="1" s="1"/>
  <c r="M34" i="1" s="1"/>
  <c r="M36" i="1" s="1"/>
  <c r="H34" i="14" l="1"/>
  <c r="Y4" i="14"/>
  <c r="X27" i="14"/>
  <c r="X31" i="14" s="1"/>
  <c r="X33" i="14" s="1"/>
  <c r="AI1" i="14"/>
  <c r="AF12" i="14"/>
  <c r="AB26" i="14"/>
  <c r="AA12" i="14"/>
  <c r="D29" i="14"/>
  <c r="H29" i="14" s="1"/>
  <c r="H33" i="10"/>
  <c r="L33" i="10" s="1"/>
  <c r="P33" i="10" s="1"/>
  <c r="T33" i="10" s="1"/>
  <c r="X33" i="10" s="1"/>
  <c r="AM1" i="10"/>
  <c r="AJ12" i="10"/>
  <c r="AB31" i="10"/>
  <c r="AC3" i="10"/>
  <c r="AE12" i="10"/>
  <c r="AE16" i="10" s="1"/>
  <c r="AF16" i="10"/>
  <c r="AF30" i="10" s="1"/>
  <c r="M38" i="1"/>
  <c r="L37" i="1"/>
  <c r="L40" i="1" s="1"/>
  <c r="N64" i="1"/>
  <c r="O66" i="1"/>
  <c r="N53" i="1"/>
  <c r="N97" i="1" s="1"/>
  <c r="N62" i="1"/>
  <c r="N98" i="1" s="1"/>
  <c r="O31" i="1"/>
  <c r="I137" i="1"/>
  <c r="I147" i="1" s="1"/>
  <c r="J117" i="1"/>
  <c r="H114" i="1"/>
  <c r="H115" i="1"/>
  <c r="I112" i="1" s="1"/>
  <c r="K152" i="1"/>
  <c r="K44" i="1"/>
  <c r="K75" i="1" s="1"/>
  <c r="O28" i="1"/>
  <c r="N27" i="1"/>
  <c r="N30" i="1" s="1"/>
  <c r="N32" i="1" s="1"/>
  <c r="N34" i="1" s="1"/>
  <c r="N36" i="1" s="1"/>
  <c r="J153" i="1"/>
  <c r="J154" i="1" s="1"/>
  <c r="L34" i="14" l="1"/>
  <c r="P34" i="14" s="1"/>
  <c r="T34" i="14" s="1"/>
  <c r="AF26" i="14"/>
  <c r="AE12" i="14"/>
  <c r="AM1" i="14"/>
  <c r="AJ12" i="14"/>
  <c r="AC4" i="14"/>
  <c r="AB27" i="14"/>
  <c r="AB31" i="14" s="1"/>
  <c r="AB33" i="14" s="1"/>
  <c r="AB33" i="10"/>
  <c r="AG3" i="10"/>
  <c r="AF31" i="10"/>
  <c r="AJ16" i="10"/>
  <c r="AJ30" i="10" s="1"/>
  <c r="AI12" i="10"/>
  <c r="AI16" i="10" s="1"/>
  <c r="AQ1" i="10"/>
  <c r="AN12" i="10"/>
  <c r="O53" i="1"/>
  <c r="O97" i="1" s="1"/>
  <c r="O62" i="1"/>
  <c r="O98" i="1" s="1"/>
  <c r="P31" i="1"/>
  <c r="O64" i="1"/>
  <c r="P66" i="1"/>
  <c r="L152" i="1"/>
  <c r="L44" i="1"/>
  <c r="L75" i="1" s="1"/>
  <c r="J137" i="1"/>
  <c r="J147" i="1" s="1"/>
  <c r="K117" i="1"/>
  <c r="P28" i="1"/>
  <c r="O27" i="1"/>
  <c r="O30" i="1" s="1"/>
  <c r="O32" i="1" s="1"/>
  <c r="O34" i="1" s="1"/>
  <c r="O36" i="1" s="1"/>
  <c r="K153" i="1"/>
  <c r="K154" i="1" s="1"/>
  <c r="I114" i="1"/>
  <c r="I115" i="1"/>
  <c r="N38" i="1"/>
  <c r="M37" i="1"/>
  <c r="M40" i="1" s="1"/>
  <c r="X34" i="14" l="1"/>
  <c r="AJ26" i="14"/>
  <c r="AI12" i="14"/>
  <c r="AN12" i="14"/>
  <c r="AQ1" i="14"/>
  <c r="AG4" i="14"/>
  <c r="AF27" i="14"/>
  <c r="AF31" i="14" s="1"/>
  <c r="AF33" i="14" s="1"/>
  <c r="L29" i="14"/>
  <c r="P29" i="14" s="1"/>
  <c r="T29" i="14" s="1"/>
  <c r="X29" i="14" s="1"/>
  <c r="AB29" i="14" s="1"/>
  <c r="AF33" i="10"/>
  <c r="AK3" i="10"/>
  <c r="AJ31" i="10"/>
  <c r="AM12" i="10"/>
  <c r="AM16" i="10" s="1"/>
  <c r="AN16" i="10"/>
  <c r="AN30" i="10" s="1"/>
  <c r="AR12" i="10"/>
  <c r="AU1" i="10"/>
  <c r="O38" i="1"/>
  <c r="N37" i="1"/>
  <c r="N40" i="1" s="1"/>
  <c r="L153" i="1"/>
  <c r="L154" i="1" s="1"/>
  <c r="P62" i="1"/>
  <c r="P98" i="1" s="1"/>
  <c r="Q31" i="1"/>
  <c r="P53" i="1"/>
  <c r="P97" i="1" s="1"/>
  <c r="M152" i="1"/>
  <c r="M44" i="1"/>
  <c r="M75" i="1" s="1"/>
  <c r="Q66" i="1"/>
  <c r="P64" i="1"/>
  <c r="Q28" i="1"/>
  <c r="P27" i="1"/>
  <c r="P30" i="1" s="1"/>
  <c r="P32" i="1" s="1"/>
  <c r="P34" i="1" s="1"/>
  <c r="P36" i="1" s="1"/>
  <c r="J112" i="1"/>
  <c r="I56" i="1"/>
  <c r="L117" i="1"/>
  <c r="K137" i="1"/>
  <c r="K147" i="1" s="1"/>
  <c r="AF29" i="14" l="1"/>
  <c r="AB34" i="14"/>
  <c r="AF34" i="14" s="1"/>
  <c r="AU1" i="14"/>
  <c r="AR12" i="14"/>
  <c r="AN26" i="14"/>
  <c r="AM12" i="14"/>
  <c r="AK4" i="14"/>
  <c r="AJ27" i="14"/>
  <c r="AJ31" i="14" s="1"/>
  <c r="AJ33" i="14" s="1"/>
  <c r="AJ33" i="10"/>
  <c r="AO3" i="10"/>
  <c r="AN31" i="10"/>
  <c r="AV12" i="10"/>
  <c r="AY1" i="10"/>
  <c r="AQ12" i="10"/>
  <c r="AQ16" i="10" s="1"/>
  <c r="AR16" i="10"/>
  <c r="AR30" i="10" s="1"/>
  <c r="R31" i="1"/>
  <c r="Q62" i="1"/>
  <c r="Q98" i="1" s="1"/>
  <c r="Q53" i="1"/>
  <c r="Q97" i="1" s="1"/>
  <c r="J114" i="1"/>
  <c r="J115" i="1"/>
  <c r="M117" i="1"/>
  <c r="L137" i="1"/>
  <c r="L147" i="1" s="1"/>
  <c r="I55" i="1"/>
  <c r="I45" i="1"/>
  <c r="R28" i="1"/>
  <c r="R27" i="1" s="1"/>
  <c r="R30" i="1" s="1"/>
  <c r="Q27" i="1"/>
  <c r="Q30" i="1" s="1"/>
  <c r="Q32" i="1" s="1"/>
  <c r="Q34" i="1" s="1"/>
  <c r="Q36" i="1" s="1"/>
  <c r="R66" i="1"/>
  <c r="R64" i="1" s="1"/>
  <c r="Q64" i="1"/>
  <c r="N152" i="1"/>
  <c r="N44" i="1"/>
  <c r="N75" i="1" s="1"/>
  <c r="P38" i="1"/>
  <c r="O37" i="1"/>
  <c r="O40" i="1" s="1"/>
  <c r="M153" i="1"/>
  <c r="M154" i="1" s="1"/>
  <c r="AJ34" i="14" l="1"/>
  <c r="AJ29" i="14"/>
  <c r="AO4" i="14"/>
  <c r="AN27" i="14"/>
  <c r="AN31" i="14" s="1"/>
  <c r="AR26" i="14"/>
  <c r="AQ12" i="14"/>
  <c r="AY1" i="14"/>
  <c r="AV12" i="14"/>
  <c r="AN33" i="10"/>
  <c r="AS3" i="10"/>
  <c r="AR31" i="10"/>
  <c r="BC1" i="10"/>
  <c r="AZ12" i="10"/>
  <c r="AU12" i="10"/>
  <c r="AU16" i="10" s="1"/>
  <c r="AV16" i="10"/>
  <c r="AV30" i="10" s="1"/>
  <c r="O44" i="1"/>
  <c r="O75" i="1" s="1"/>
  <c r="O152" i="1"/>
  <c r="I76" i="1"/>
  <c r="I155" i="1"/>
  <c r="I46" i="1"/>
  <c r="N117" i="1"/>
  <c r="M137" i="1"/>
  <c r="M147" i="1" s="1"/>
  <c r="K112" i="1"/>
  <c r="J56" i="1"/>
  <c r="R62" i="1"/>
  <c r="R98" i="1" s="1"/>
  <c r="R53" i="1"/>
  <c r="R97" i="1" s="1"/>
  <c r="P37" i="1"/>
  <c r="P40" i="1" s="1"/>
  <c r="Q38" i="1"/>
  <c r="N153" i="1"/>
  <c r="N154" i="1" s="1"/>
  <c r="R32" i="1"/>
  <c r="R34" i="1" s="1"/>
  <c r="R36" i="1" s="1"/>
  <c r="AN33" i="14" l="1"/>
  <c r="AN34" i="14" s="1"/>
  <c r="AS4" i="14"/>
  <c r="AR27" i="14"/>
  <c r="AR31" i="14" s="1"/>
  <c r="AR33" i="14" s="1"/>
  <c r="AV26" i="14"/>
  <c r="AU12" i="14"/>
  <c r="BC1" i="14"/>
  <c r="AZ12" i="14"/>
  <c r="AN29" i="14"/>
  <c r="AR33" i="10"/>
  <c r="AW3" i="10"/>
  <c r="AV31" i="10"/>
  <c r="AY12" i="10"/>
  <c r="AY16" i="10" s="1"/>
  <c r="AZ16" i="10"/>
  <c r="AZ30" i="10" s="1"/>
  <c r="BG1" i="10"/>
  <c r="BD12" i="10"/>
  <c r="J55" i="1"/>
  <c r="J45" i="1"/>
  <c r="K114" i="1"/>
  <c r="K115" i="1"/>
  <c r="O117" i="1"/>
  <c r="N137" i="1"/>
  <c r="N147" i="1" s="1"/>
  <c r="Q37" i="1"/>
  <c r="Q40" i="1" s="1"/>
  <c r="R38" i="1"/>
  <c r="R37" i="1" s="1"/>
  <c r="R40" i="1" s="1"/>
  <c r="P44" i="1"/>
  <c r="P75" i="1" s="1"/>
  <c r="P152" i="1"/>
  <c r="O153" i="1"/>
  <c r="O154" i="1"/>
  <c r="AR34" i="14" l="1"/>
  <c r="AR29" i="14"/>
  <c r="AZ26" i="14"/>
  <c r="AY12" i="14"/>
  <c r="BG1" i="14"/>
  <c r="BD12" i="14"/>
  <c r="AW4" i="14"/>
  <c r="AV27" i="14"/>
  <c r="AV31" i="14" s="1"/>
  <c r="AV33" i="14" s="1"/>
  <c r="AV33" i="10"/>
  <c r="BA3" i="10"/>
  <c r="AZ31" i="10"/>
  <c r="BC12" i="10"/>
  <c r="BC16" i="10" s="1"/>
  <c r="BD16" i="10"/>
  <c r="BD30" i="10" s="1"/>
  <c r="BK1" i="10"/>
  <c r="BH12" i="10"/>
  <c r="R152" i="1"/>
  <c r="R44" i="1"/>
  <c r="R75" i="1" s="1"/>
  <c r="Q44" i="1"/>
  <c r="Q75" i="1" s="1"/>
  <c r="Q152" i="1"/>
  <c r="P117" i="1"/>
  <c r="O137" i="1"/>
  <c r="O147" i="1" s="1"/>
  <c r="L112" i="1"/>
  <c r="K56" i="1"/>
  <c r="J76" i="1"/>
  <c r="J74" i="1" s="1"/>
  <c r="J89" i="1" s="1"/>
  <c r="J155" i="1"/>
  <c r="J156" i="1" s="1"/>
  <c r="J159" i="1" s="1"/>
  <c r="J160" i="1" s="1"/>
  <c r="J46" i="1"/>
  <c r="P153" i="1"/>
  <c r="P154" i="1" s="1"/>
  <c r="AV34" i="14" l="1"/>
  <c r="AV29" i="14"/>
  <c r="BD26" i="14"/>
  <c r="BC12" i="14"/>
  <c r="BH12" i="14"/>
  <c r="BK1" i="14"/>
  <c r="BA4" i="14"/>
  <c r="AZ27" i="14"/>
  <c r="AZ31" i="14" s="1"/>
  <c r="AZ33" i="10"/>
  <c r="BE3" i="10"/>
  <c r="BD31" i="10"/>
  <c r="BH16" i="10"/>
  <c r="BH30" i="10" s="1"/>
  <c r="BG12" i="10"/>
  <c r="BG16" i="10" s="1"/>
  <c r="BO1" i="10"/>
  <c r="BL12" i="10"/>
  <c r="L114" i="1"/>
  <c r="L115" i="1" s="1"/>
  <c r="Q153" i="1"/>
  <c r="Q154" i="1" s="1"/>
  <c r="K55" i="1"/>
  <c r="K45" i="1"/>
  <c r="P137" i="1"/>
  <c r="P147" i="1" s="1"/>
  <c r="Q117" i="1"/>
  <c r="R153" i="1"/>
  <c r="R154" i="1" s="1"/>
  <c r="C29" i="15" l="1"/>
  <c r="AZ33" i="14"/>
  <c r="AZ34" i="14" s="1"/>
  <c r="BL12" i="14"/>
  <c r="BO1" i="14"/>
  <c r="BH26" i="14"/>
  <c r="BG12" i="14"/>
  <c r="AZ29" i="14"/>
  <c r="BE4" i="14"/>
  <c r="BD27" i="14"/>
  <c r="BD31" i="14" s="1"/>
  <c r="BD33" i="14" s="1"/>
  <c r="BD33" i="10"/>
  <c r="BI3" i="10"/>
  <c r="BH31" i="10"/>
  <c r="BK12" i="10"/>
  <c r="BK16" i="10" s="1"/>
  <c r="BL16" i="10"/>
  <c r="BL30" i="10" s="1"/>
  <c r="BS1" i="10"/>
  <c r="BP12" i="10"/>
  <c r="M112" i="1"/>
  <c r="L56" i="1"/>
  <c r="Q137" i="1"/>
  <c r="Q147" i="1" s="1"/>
  <c r="R117" i="1"/>
  <c r="R137" i="1" s="1"/>
  <c r="R147" i="1" s="1"/>
  <c r="K76" i="1"/>
  <c r="K74" i="1" s="1"/>
  <c r="K89" i="1" s="1"/>
  <c r="K155" i="1"/>
  <c r="K156" i="1" s="1"/>
  <c r="K159" i="1" s="1"/>
  <c r="K160" i="1" s="1"/>
  <c r="K46" i="1"/>
  <c r="BD34" i="14" l="1"/>
  <c r="BD29" i="14"/>
  <c r="BI4" i="14"/>
  <c r="BH27" i="14"/>
  <c r="BH31" i="14" s="1"/>
  <c r="BH33" i="14" s="1"/>
  <c r="BP12" i="14"/>
  <c r="BS1" i="14"/>
  <c r="BK12" i="14"/>
  <c r="BL26" i="14"/>
  <c r="BH33" i="10"/>
  <c r="BM3" i="10"/>
  <c r="BL31" i="10"/>
  <c r="BW1" i="10"/>
  <c r="BT12" i="10"/>
  <c r="BO12" i="10"/>
  <c r="BO16" i="10" s="1"/>
  <c r="BP16" i="10"/>
  <c r="BP30" i="10" s="1"/>
  <c r="L55" i="1"/>
  <c r="L45" i="1"/>
  <c r="M114" i="1"/>
  <c r="M115" i="1" s="1"/>
  <c r="BH34" i="14" l="1"/>
  <c r="BP26" i="14"/>
  <c r="BO12" i="14"/>
  <c r="BM4" i="14"/>
  <c r="BL27" i="14"/>
  <c r="BL31" i="14" s="1"/>
  <c r="BL33" i="14" s="1"/>
  <c r="BT12" i="14"/>
  <c r="BW1" i="14"/>
  <c r="BH29" i="14"/>
  <c r="BL33" i="10"/>
  <c r="BQ3" i="10"/>
  <c r="BP31" i="10"/>
  <c r="BS12" i="10"/>
  <c r="BS16" i="10" s="1"/>
  <c r="BT16" i="10"/>
  <c r="BT30" i="10" s="1"/>
  <c r="CA1" i="10"/>
  <c r="BX12" i="10"/>
  <c r="N112" i="1"/>
  <c r="M56" i="1"/>
  <c r="L155" i="1"/>
  <c r="L156" i="1" s="1"/>
  <c r="L159" i="1" s="1"/>
  <c r="L160" i="1" s="1"/>
  <c r="L76" i="1"/>
  <c r="L74" i="1" s="1"/>
  <c r="L89" i="1" s="1"/>
  <c r="L46" i="1"/>
  <c r="BL34" i="14" l="1"/>
  <c r="BL29" i="14"/>
  <c r="BT26" i="14"/>
  <c r="BS12" i="14"/>
  <c r="BX12" i="14"/>
  <c r="CA1" i="14"/>
  <c r="BQ4" i="14"/>
  <c r="BP27" i="14"/>
  <c r="BP31" i="14" s="1"/>
  <c r="BP33" i="14" s="1"/>
  <c r="BP33" i="10"/>
  <c r="BU3" i="10"/>
  <c r="BT31" i="10"/>
  <c r="BW12" i="10"/>
  <c r="BW16" i="10" s="1"/>
  <c r="BX16" i="10"/>
  <c r="BX30" i="10" s="1"/>
  <c r="CB12" i="10"/>
  <c r="CE1" i="10"/>
  <c r="M55" i="1"/>
  <c r="M45" i="1"/>
  <c r="N114" i="1"/>
  <c r="N115" i="1" s="1"/>
  <c r="BP34" i="14" l="1"/>
  <c r="BX26" i="14"/>
  <c r="BW12" i="14"/>
  <c r="BT27" i="14"/>
  <c r="BT31" i="14" s="1"/>
  <c r="BT33" i="14" s="1"/>
  <c r="BU4" i="14"/>
  <c r="CB12" i="14"/>
  <c r="CE1" i="14"/>
  <c r="BP29" i="14"/>
  <c r="BT33" i="10"/>
  <c r="BY3" i="10"/>
  <c r="BX31" i="10"/>
  <c r="CI1" i="10"/>
  <c r="CF12" i="10"/>
  <c r="CA12" i="10"/>
  <c r="CA16" i="10" s="1"/>
  <c r="CB16" i="10"/>
  <c r="CB30" i="10" s="1"/>
  <c r="O112" i="1"/>
  <c r="N56" i="1"/>
  <c r="M155" i="1"/>
  <c r="M156" i="1" s="1"/>
  <c r="M159" i="1" s="1"/>
  <c r="M160" i="1" s="1"/>
  <c r="M76" i="1"/>
  <c r="M74" i="1" s="1"/>
  <c r="M89" i="1" s="1"/>
  <c r="M46" i="1"/>
  <c r="BT34" i="14" l="1"/>
  <c r="BT29" i="14"/>
  <c r="CI1" i="14"/>
  <c r="CF12" i="14"/>
  <c r="CB26" i="14"/>
  <c r="CA12" i="14"/>
  <c r="BY4" i="14"/>
  <c r="BX27" i="14"/>
  <c r="BX31" i="14" s="1"/>
  <c r="BX33" i="14" s="1"/>
  <c r="BX33" i="10"/>
  <c r="CC3" i="10"/>
  <c r="CB31" i="10"/>
  <c r="CF16" i="10"/>
  <c r="CF30" i="10" s="1"/>
  <c r="CE12" i="10"/>
  <c r="CE16" i="10" s="1"/>
  <c r="CM1" i="10"/>
  <c r="CJ12" i="10"/>
  <c r="N55" i="1"/>
  <c r="N45" i="1"/>
  <c r="O114" i="1"/>
  <c r="O115" i="1" s="1"/>
  <c r="BX34" i="14" l="1"/>
  <c r="CC4" i="14"/>
  <c r="CB27" i="14"/>
  <c r="CB31" i="14" s="1"/>
  <c r="CB33" i="14" s="1"/>
  <c r="CF26" i="14"/>
  <c r="CE12" i="14"/>
  <c r="CJ12" i="14"/>
  <c r="CM1" i="14"/>
  <c r="BX29" i="14"/>
  <c r="CB33" i="10"/>
  <c r="CG3" i="10"/>
  <c r="CF31" i="10"/>
  <c r="CN12" i="10"/>
  <c r="CQ1" i="10"/>
  <c r="CI12" i="10"/>
  <c r="CI16" i="10" s="1"/>
  <c r="CJ16" i="10"/>
  <c r="CJ30" i="10" s="1"/>
  <c r="O56" i="1"/>
  <c r="P112" i="1"/>
  <c r="N155" i="1"/>
  <c r="N156" i="1" s="1"/>
  <c r="N159" i="1" s="1"/>
  <c r="N160" i="1" s="1"/>
  <c r="N76" i="1"/>
  <c r="N74" i="1" s="1"/>
  <c r="N89" i="1" s="1"/>
  <c r="N46" i="1"/>
  <c r="CB34" i="14" l="1"/>
  <c r="CB29" i="14"/>
  <c r="CJ26" i="14"/>
  <c r="CI12" i="14"/>
  <c r="CG4" i="14"/>
  <c r="CF27" i="14"/>
  <c r="CF31" i="14" s="1"/>
  <c r="CF33" i="14" s="1"/>
  <c r="CQ1" i="14"/>
  <c r="CN12" i="14"/>
  <c r="CF33" i="10"/>
  <c r="CK3" i="10"/>
  <c r="CJ31" i="10"/>
  <c r="CR12" i="10"/>
  <c r="CU1" i="10"/>
  <c r="CM12" i="10"/>
  <c r="CM16" i="10" s="1"/>
  <c r="CN16" i="10"/>
  <c r="CN30" i="10" s="1"/>
  <c r="P114" i="1"/>
  <c r="P115" i="1" s="1"/>
  <c r="O45" i="1"/>
  <c r="O55" i="1"/>
  <c r="CF34" i="14" l="1"/>
  <c r="CN26" i="14"/>
  <c r="CM12" i="14"/>
  <c r="CF29" i="14"/>
  <c r="CU1" i="14"/>
  <c r="CR12" i="14"/>
  <c r="CK4" i="14"/>
  <c r="CJ27" i="14"/>
  <c r="CJ31" i="14" s="1"/>
  <c r="CJ33" i="14" s="1"/>
  <c r="CJ33" i="10"/>
  <c r="CO3" i="10"/>
  <c r="CN31" i="10"/>
  <c r="CY1" i="10"/>
  <c r="CV12" i="10"/>
  <c r="CQ12" i="10"/>
  <c r="CQ16" i="10" s="1"/>
  <c r="CR16" i="10"/>
  <c r="CR30" i="10" s="1"/>
  <c r="P56" i="1"/>
  <c r="Q112" i="1"/>
  <c r="O155" i="1"/>
  <c r="O156" i="1" s="1"/>
  <c r="O159" i="1" s="1"/>
  <c r="O160" i="1" s="1"/>
  <c r="O76" i="1"/>
  <c r="O74" i="1" s="1"/>
  <c r="O89" i="1" s="1"/>
  <c r="O46" i="1"/>
  <c r="CJ34" i="14" l="1"/>
  <c r="CJ29" i="14"/>
  <c r="CR26" i="14"/>
  <c r="CQ12" i="14"/>
  <c r="CY1" i="14"/>
  <c r="CV12" i="14"/>
  <c r="CO4" i="14"/>
  <c r="CN27" i="14"/>
  <c r="CN31" i="14" s="1"/>
  <c r="CN33" i="14" s="1"/>
  <c r="CN33" i="10"/>
  <c r="CS3" i="10"/>
  <c r="CR31" i="10"/>
  <c r="CU12" i="10"/>
  <c r="CU16" i="10" s="1"/>
  <c r="CV16" i="10"/>
  <c r="CV30" i="10" s="1"/>
  <c r="DC1" i="10"/>
  <c r="CZ12" i="10"/>
  <c r="Q114" i="1"/>
  <c r="Q115" i="1" s="1"/>
  <c r="P45" i="1"/>
  <c r="P55" i="1"/>
  <c r="CN34" i="14" l="1"/>
  <c r="CV26" i="14"/>
  <c r="CU12" i="14"/>
  <c r="CZ12" i="14"/>
  <c r="DC1" i="14"/>
  <c r="CS4" i="14"/>
  <c r="CR27" i="14"/>
  <c r="CR31" i="14" s="1"/>
  <c r="CR33" i="14" s="1"/>
  <c r="CN29" i="14"/>
  <c r="CR33" i="10"/>
  <c r="CW3" i="10"/>
  <c r="CV31" i="10"/>
  <c r="CY12" i="10"/>
  <c r="CY16" i="10" s="1"/>
  <c r="CZ16" i="10"/>
  <c r="CZ30" i="10" s="1"/>
  <c r="DG1" i="10"/>
  <c r="DD12" i="10"/>
  <c r="Q56" i="1"/>
  <c r="R112" i="1"/>
  <c r="P155" i="1"/>
  <c r="P156" i="1" s="1"/>
  <c r="P159" i="1" s="1"/>
  <c r="P160" i="1" s="1"/>
  <c r="P76" i="1"/>
  <c r="P74" i="1" s="1"/>
  <c r="P89" i="1" s="1"/>
  <c r="P46" i="1"/>
  <c r="CR34" i="14" l="1"/>
  <c r="CR29" i="14"/>
  <c r="DD12" i="14"/>
  <c r="DG1" i="14"/>
  <c r="CZ26" i="14"/>
  <c r="CY12" i="14"/>
  <c r="CW4" i="14"/>
  <c r="CV27" i="14"/>
  <c r="CV31" i="14" s="1"/>
  <c r="CV33" i="10"/>
  <c r="DA3" i="10"/>
  <c r="CZ31" i="10"/>
  <c r="DK1" i="10"/>
  <c r="DH12" i="10"/>
  <c r="DD16" i="10"/>
  <c r="DD30" i="10" s="1"/>
  <c r="DC12" i="10"/>
  <c r="DC16" i="10" s="1"/>
  <c r="R114" i="1"/>
  <c r="R115" i="1" s="1"/>
  <c r="R56" i="1" s="1"/>
  <c r="Q45" i="1"/>
  <c r="Q55" i="1"/>
  <c r="C30" i="15" l="1"/>
  <c r="CV33" i="14"/>
  <c r="CV34" i="14" s="1"/>
  <c r="DA4" i="14"/>
  <c r="CZ27" i="14"/>
  <c r="CZ31" i="14" s="1"/>
  <c r="CZ33" i="14" s="1"/>
  <c r="DH12" i="14"/>
  <c r="DK1" i="14"/>
  <c r="DD26" i="14"/>
  <c r="DC12" i="14"/>
  <c r="CV29" i="14"/>
  <c r="CZ33" i="10"/>
  <c r="DE3" i="10"/>
  <c r="DD31" i="10"/>
  <c r="DG12" i="10"/>
  <c r="DG16" i="10" s="1"/>
  <c r="DH16" i="10"/>
  <c r="DH30" i="10" s="1"/>
  <c r="DO1" i="10"/>
  <c r="DL12" i="10"/>
  <c r="R45" i="1"/>
  <c r="R55" i="1"/>
  <c r="Q155" i="1"/>
  <c r="Q156" i="1" s="1"/>
  <c r="Q159" i="1" s="1"/>
  <c r="Q160" i="1" s="1"/>
  <c r="Q76" i="1"/>
  <c r="Q74" i="1" s="1"/>
  <c r="Q89" i="1" s="1"/>
  <c r="Q46" i="1"/>
  <c r="CZ29" i="14" l="1"/>
  <c r="CZ34" i="14"/>
  <c r="DG12" i="14"/>
  <c r="DH26" i="14"/>
  <c r="DE4" i="14"/>
  <c r="DD27" i="14"/>
  <c r="DD31" i="14" s="1"/>
  <c r="DD33" i="14" s="1"/>
  <c r="DL12" i="14"/>
  <c r="DO1" i="14"/>
  <c r="DD33" i="10"/>
  <c r="DI3" i="10"/>
  <c r="DH31" i="10"/>
  <c r="DK12" i="10"/>
  <c r="DK16" i="10" s="1"/>
  <c r="DL16" i="10"/>
  <c r="DL30" i="10" s="1"/>
  <c r="DS1" i="10"/>
  <c r="DP12" i="10"/>
  <c r="R155" i="1"/>
  <c r="R156" i="1" s="1"/>
  <c r="R159" i="1" s="1"/>
  <c r="R160" i="1" s="1"/>
  <c r="R76" i="1"/>
  <c r="R74" i="1" s="1"/>
  <c r="R89" i="1" s="1"/>
  <c r="R46" i="1"/>
  <c r="DD34" i="14" l="1"/>
  <c r="DS1" i="14"/>
  <c r="DP12" i="14"/>
  <c r="DI4" i="14"/>
  <c r="DH27" i="14"/>
  <c r="DH31" i="14" s="1"/>
  <c r="DH33" i="14" s="1"/>
  <c r="DL26" i="14"/>
  <c r="DK12" i="14"/>
  <c r="DD29" i="14"/>
  <c r="DH33" i="10"/>
  <c r="DM3" i="10"/>
  <c r="DL31" i="10"/>
  <c r="DW1" i="10"/>
  <c r="DT12" i="10"/>
  <c r="DO12" i="10"/>
  <c r="DO16" i="10" s="1"/>
  <c r="DP16" i="10"/>
  <c r="DP30" i="10" s="1"/>
  <c r="DH34" i="14" l="1"/>
  <c r="DH29" i="14"/>
  <c r="DM4" i="14"/>
  <c r="DL27" i="14"/>
  <c r="DL31" i="14" s="1"/>
  <c r="DL33" i="14" s="1"/>
  <c r="DO12" i="14"/>
  <c r="DP26" i="14"/>
  <c r="DT12" i="14"/>
  <c r="DW1" i="14"/>
  <c r="DL33" i="10"/>
  <c r="DQ3" i="10"/>
  <c r="DP31" i="10"/>
  <c r="DS12" i="10"/>
  <c r="DS16" i="10" s="1"/>
  <c r="DT16" i="10"/>
  <c r="DT30" i="10" s="1"/>
  <c r="DX12" i="10"/>
  <c r="EA1" i="10"/>
  <c r="DL34" i="14" l="1"/>
  <c r="DX12" i="14"/>
  <c r="EA1" i="14"/>
  <c r="DT26" i="14"/>
  <c r="DS12" i="14"/>
  <c r="DP27" i="14"/>
  <c r="DP31" i="14" s="1"/>
  <c r="DP33" i="14" s="1"/>
  <c r="DQ4" i="14"/>
  <c r="DL29" i="14"/>
  <c r="DP33" i="10"/>
  <c r="EE1" i="10"/>
  <c r="EB12" i="10"/>
  <c r="DW12" i="10"/>
  <c r="DW16" i="10" s="1"/>
  <c r="DX16" i="10"/>
  <c r="DX30" i="10" s="1"/>
  <c r="DT31" i="10"/>
  <c r="DU3" i="10"/>
  <c r="DP34" i="14" l="1"/>
  <c r="DP29" i="14"/>
  <c r="DU4" i="14"/>
  <c r="DT27" i="14"/>
  <c r="DT31" i="14" s="1"/>
  <c r="DT33" i="14" s="1"/>
  <c r="EE1" i="14"/>
  <c r="EB12" i="14"/>
  <c r="DX26" i="14"/>
  <c r="DW12" i="14"/>
  <c r="DT33" i="10"/>
  <c r="DY3" i="10"/>
  <c r="DX31" i="10"/>
  <c r="EB16" i="10"/>
  <c r="EB30" i="10" s="1"/>
  <c r="EA12" i="10"/>
  <c r="EA16" i="10" s="1"/>
  <c r="EI1" i="10"/>
  <c r="EF12" i="10"/>
  <c r="DT34" i="14" l="1"/>
  <c r="EA12" i="14"/>
  <c r="EB26" i="14"/>
  <c r="EI1" i="14"/>
  <c r="EF12" i="14"/>
  <c r="DY4" i="14"/>
  <c r="DX27" i="14"/>
  <c r="DX31" i="14" s="1"/>
  <c r="DX33" i="14" s="1"/>
  <c r="DT29" i="14"/>
  <c r="DX33" i="10"/>
  <c r="EC3" i="10"/>
  <c r="EB31" i="10"/>
  <c r="EE12" i="10"/>
  <c r="EE16" i="10" s="1"/>
  <c r="EF16" i="10"/>
  <c r="EF30" i="10" s="1"/>
  <c r="EJ12" i="10"/>
  <c r="EM1" i="10"/>
  <c r="DX34" i="14" l="1"/>
  <c r="DX29" i="14"/>
  <c r="EJ12" i="14"/>
  <c r="EM1" i="14"/>
  <c r="EF26" i="14"/>
  <c r="EE12" i="14"/>
  <c r="EC4" i="14"/>
  <c r="EB27" i="14"/>
  <c r="EB31" i="14" s="1"/>
  <c r="EB33" i="14" s="1"/>
  <c r="EB33" i="10"/>
  <c r="EN12" i="10"/>
  <c r="EQ1" i="10"/>
  <c r="EG3" i="10"/>
  <c r="EF31" i="10"/>
  <c r="EI12" i="10"/>
  <c r="EI16" i="10" s="1"/>
  <c r="EJ16" i="10"/>
  <c r="EJ30" i="10" s="1"/>
  <c r="EB34" i="14" l="1"/>
  <c r="EG4" i="14"/>
  <c r="EF27" i="14"/>
  <c r="EF31" i="14" s="1"/>
  <c r="EF33" i="14" s="1"/>
  <c r="EN12" i="14"/>
  <c r="EQ1" i="14"/>
  <c r="EJ26" i="14"/>
  <c r="EI12" i="14"/>
  <c r="EB29" i="14"/>
  <c r="EK3" i="10"/>
  <c r="EJ31" i="10"/>
  <c r="ER12" i="10"/>
  <c r="EU1" i="10"/>
  <c r="EM12" i="10"/>
  <c r="EM16" i="10" s="1"/>
  <c r="EN16" i="10"/>
  <c r="EN30" i="10" s="1"/>
  <c r="EF33" i="10"/>
  <c r="EF34" i="14" l="1"/>
  <c r="EF29" i="14"/>
  <c r="EN26" i="14"/>
  <c r="EM12" i="14"/>
  <c r="EK4" i="14"/>
  <c r="EJ27" i="14"/>
  <c r="EJ31" i="14" s="1"/>
  <c r="EJ33" i="14" s="1"/>
  <c r="EU1" i="14"/>
  <c r="ER12" i="14"/>
  <c r="EJ33" i="10"/>
  <c r="EO3" i="10"/>
  <c r="EN31" i="10"/>
  <c r="EY1" i="10"/>
  <c r="EV12" i="10"/>
  <c r="EQ12" i="10"/>
  <c r="EQ16" i="10" s="1"/>
  <c r="ER16" i="10"/>
  <c r="ER30" i="10" s="1"/>
  <c r="EJ34" i="14" l="1"/>
  <c r="EV12" i="14"/>
  <c r="EY1" i="14"/>
  <c r="ER26" i="14"/>
  <c r="EQ12" i="14"/>
  <c r="EO4" i="14"/>
  <c r="EN27" i="14"/>
  <c r="EN31" i="14" s="1"/>
  <c r="EN33" i="14" s="1"/>
  <c r="EJ29" i="14"/>
  <c r="EN33" i="10"/>
  <c r="ES3" i="10"/>
  <c r="ER31" i="10"/>
  <c r="EU12" i="10"/>
  <c r="EU16" i="10" s="1"/>
  <c r="EV16" i="10"/>
  <c r="EV30" i="10" s="1"/>
  <c r="FC1" i="10"/>
  <c r="EZ12" i="10"/>
  <c r="EN34" i="14" l="1"/>
  <c r="EN29" i="14"/>
  <c r="ES4" i="14"/>
  <c r="ER27" i="14"/>
  <c r="ER31" i="14" s="1"/>
  <c r="EZ12" i="14"/>
  <c r="FC1" i="14"/>
  <c r="EV26" i="14"/>
  <c r="EU12" i="14"/>
  <c r="ER33" i="10"/>
  <c r="EW3" i="10"/>
  <c r="EV31" i="10"/>
  <c r="FG1" i="10"/>
  <c r="FD12" i="10"/>
  <c r="EZ16" i="10"/>
  <c r="EZ30" i="10" s="1"/>
  <c r="EY12" i="10"/>
  <c r="EY16" i="10" s="1"/>
  <c r="C31" i="15" l="1"/>
  <c r="ER33" i="14"/>
  <c r="ER34" i="14" s="1"/>
  <c r="EW4" i="14"/>
  <c r="EV27" i="14"/>
  <c r="EV31" i="14" s="1"/>
  <c r="EV33" i="14" s="1"/>
  <c r="FD12" i="14"/>
  <c r="FG1" i="14"/>
  <c r="EZ26" i="14"/>
  <c r="EY12" i="14"/>
  <c r="ER29" i="14"/>
  <c r="EV33" i="10"/>
  <c r="FA3" i="10"/>
  <c r="EZ31" i="10"/>
  <c r="FK1" i="10"/>
  <c r="FH12" i="10"/>
  <c r="FC12" i="10"/>
  <c r="FC16" i="10" s="1"/>
  <c r="FD16" i="10"/>
  <c r="FD30" i="10" s="1"/>
  <c r="EV29" i="14" l="1"/>
  <c r="EV34" i="14"/>
  <c r="FH12" i="14"/>
  <c r="FK1" i="14"/>
  <c r="FD26" i="14"/>
  <c r="FC12" i="14"/>
  <c r="FA4" i="14"/>
  <c r="EZ27" i="14"/>
  <c r="EZ31" i="14" s="1"/>
  <c r="EZ33" i="14" s="1"/>
  <c r="EZ33" i="10"/>
  <c r="FE3" i="10"/>
  <c r="FD31" i="10"/>
  <c r="FG12" i="10"/>
  <c r="FG16" i="10" s="1"/>
  <c r="FH16" i="10"/>
  <c r="FH30" i="10" s="1"/>
  <c r="FO1" i="10"/>
  <c r="FL12" i="10"/>
  <c r="EZ34" i="14" l="1"/>
  <c r="FD33" i="10"/>
  <c r="FL12" i="14"/>
  <c r="FO1" i="14"/>
  <c r="FE4" i="14"/>
  <c r="FD27" i="14"/>
  <c r="FD31" i="14" s="1"/>
  <c r="FD33" i="14" s="1"/>
  <c r="FG12" i="14"/>
  <c r="FH26" i="14"/>
  <c r="EZ29" i="14"/>
  <c r="FI3" i="10"/>
  <c r="FH31" i="10"/>
  <c r="FS1" i="10"/>
  <c r="FP12" i="10"/>
  <c r="FK12" i="10"/>
  <c r="FK16" i="10" s="1"/>
  <c r="FL16" i="10"/>
  <c r="FL30" i="10" s="1"/>
  <c r="FD29" i="14" l="1"/>
  <c r="FH33" i="10"/>
  <c r="FD34" i="14"/>
  <c r="FI4" i="14"/>
  <c r="FH27" i="14"/>
  <c r="FH31" i="14" s="1"/>
  <c r="FH33" i="14" s="1"/>
  <c r="FS1" i="14"/>
  <c r="FP12" i="14"/>
  <c r="FK12" i="14"/>
  <c r="FL26" i="14"/>
  <c r="FM3" i="10"/>
  <c r="FL31" i="10"/>
  <c r="FO12" i="10"/>
  <c r="FO16" i="10" s="1"/>
  <c r="FP16" i="10"/>
  <c r="FP30" i="10" s="1"/>
  <c r="FT12" i="10"/>
  <c r="FW1" i="10"/>
  <c r="FL33" i="10" l="1"/>
  <c r="FH34" i="14"/>
  <c r="FH29" i="14"/>
  <c r="FL27" i="14"/>
  <c r="FL31" i="14" s="1"/>
  <c r="FL33" i="14" s="1"/>
  <c r="FL34" i="14" s="1"/>
  <c r="FM4" i="14"/>
  <c r="FP26" i="14"/>
  <c r="FO12" i="14"/>
  <c r="FW1" i="14"/>
  <c r="FT12" i="14"/>
  <c r="GA1" i="10"/>
  <c r="FX12" i="10"/>
  <c r="FP31" i="10"/>
  <c r="FQ3" i="10"/>
  <c r="FS12" i="10"/>
  <c r="FS16" i="10" s="1"/>
  <c r="FT16" i="10"/>
  <c r="FT30" i="10" s="1"/>
  <c r="FP33" i="10" l="1"/>
  <c r="FL29" i="14"/>
  <c r="FX12" i="14"/>
  <c r="GA1" i="14"/>
  <c r="FT26" i="14"/>
  <c r="FS12" i="14"/>
  <c r="FP27" i="14"/>
  <c r="FP31" i="14" s="1"/>
  <c r="FP33" i="14" s="1"/>
  <c r="FP34" i="14" s="1"/>
  <c r="FQ4" i="14"/>
  <c r="FU3" i="10"/>
  <c r="FT31" i="10"/>
  <c r="FX16" i="10"/>
  <c r="FX30" i="10" s="1"/>
  <c r="FW12" i="10"/>
  <c r="FW16" i="10" s="1"/>
  <c r="GE1" i="10"/>
  <c r="GB12" i="10"/>
  <c r="FT33" i="10" l="1"/>
  <c r="FP29" i="14"/>
  <c r="FU4" i="14"/>
  <c r="FT27" i="14"/>
  <c r="FT31" i="14" s="1"/>
  <c r="FT33" i="14" s="1"/>
  <c r="FT34" i="14" s="1"/>
  <c r="GB12" i="14"/>
  <c r="GE1" i="14"/>
  <c r="FW12" i="14"/>
  <c r="FX26" i="14"/>
  <c r="FY3" i="10"/>
  <c r="FX31" i="10"/>
  <c r="GA12" i="10"/>
  <c r="GA16" i="10" s="1"/>
  <c r="GB16" i="10"/>
  <c r="GB30" i="10" s="1"/>
  <c r="GF12" i="10"/>
  <c r="GI1" i="10"/>
  <c r="FX33" i="10" l="1"/>
  <c r="FY4" i="14"/>
  <c r="FX27" i="14"/>
  <c r="FX31" i="14" s="1"/>
  <c r="FX33" i="14" s="1"/>
  <c r="FX34" i="14" s="1"/>
  <c r="GI1" i="14"/>
  <c r="GF12" i="14"/>
  <c r="GB26" i="14"/>
  <c r="GA12" i="14"/>
  <c r="FT29" i="14"/>
  <c r="GC3" i="10"/>
  <c r="GB31" i="10"/>
  <c r="GE12" i="10"/>
  <c r="GE16" i="10" s="1"/>
  <c r="GF16" i="10"/>
  <c r="GF30" i="10" s="1"/>
  <c r="GJ12" i="10"/>
  <c r="GM1" i="10"/>
  <c r="GB33" i="10" l="1"/>
  <c r="FX29" i="14"/>
  <c r="GC4" i="14"/>
  <c r="GB27" i="14"/>
  <c r="GB31" i="14" s="1"/>
  <c r="GB33" i="14" s="1"/>
  <c r="GB34" i="14" s="1"/>
  <c r="GM1" i="14"/>
  <c r="GJ12" i="14"/>
  <c r="GF26" i="14"/>
  <c r="GE12" i="14"/>
  <c r="GG3" i="10"/>
  <c r="GF31" i="10"/>
  <c r="GI12" i="10"/>
  <c r="GI16" i="10" s="1"/>
  <c r="GJ16" i="10"/>
  <c r="GJ30" i="10" s="1"/>
  <c r="GQ1" i="10"/>
  <c r="GN12" i="10"/>
  <c r="GF33" i="10" l="1"/>
  <c r="GJ26" i="14"/>
  <c r="GI12" i="14"/>
  <c r="GQ1" i="14"/>
  <c r="GN12" i="14"/>
  <c r="GG4" i="14"/>
  <c r="GF27" i="14"/>
  <c r="GF31" i="14" s="1"/>
  <c r="GF33" i="14" s="1"/>
  <c r="GF34" i="14" s="1"/>
  <c r="GB29" i="14"/>
  <c r="GK3" i="10"/>
  <c r="GJ31" i="10"/>
  <c r="GM12" i="10"/>
  <c r="GM16" i="10" s="1"/>
  <c r="GN16" i="10"/>
  <c r="GN30" i="10" s="1"/>
  <c r="GU1" i="10"/>
  <c r="GR12" i="10"/>
  <c r="GJ33" i="10" l="1"/>
  <c r="GF29" i="14"/>
  <c r="GR12" i="14"/>
  <c r="GU1" i="14"/>
  <c r="GN26" i="14"/>
  <c r="GM12" i="14"/>
  <c r="GK4" i="14"/>
  <c r="GJ27" i="14"/>
  <c r="GJ31" i="14" s="1"/>
  <c r="GJ33" i="14" s="1"/>
  <c r="GJ34" i="14" s="1"/>
  <c r="GO3" i="10"/>
  <c r="GN31" i="10"/>
  <c r="GY1" i="10"/>
  <c r="GV12" i="10"/>
  <c r="GQ12" i="10"/>
  <c r="GQ16" i="10" s="1"/>
  <c r="GR16" i="10"/>
  <c r="GR30" i="10" s="1"/>
  <c r="GN33" i="10" l="1"/>
  <c r="GO4" i="14"/>
  <c r="GN27" i="14"/>
  <c r="GN31" i="14" s="1"/>
  <c r="GV12" i="14"/>
  <c r="GY1" i="14"/>
  <c r="GR26" i="14"/>
  <c r="GQ12" i="14"/>
  <c r="GJ29" i="14"/>
  <c r="GS3" i="10"/>
  <c r="GR31" i="10"/>
  <c r="HC1" i="10"/>
  <c r="GZ12" i="10"/>
  <c r="GV16" i="10"/>
  <c r="GV30" i="10" s="1"/>
  <c r="GU12" i="10"/>
  <c r="GU16" i="10" s="1"/>
  <c r="GR33" i="10" l="1"/>
  <c r="GN29" i="14"/>
  <c r="C32" i="15"/>
  <c r="GN33" i="14"/>
  <c r="GN34" i="14" s="1"/>
  <c r="GV26" i="14"/>
  <c r="GU12" i="14"/>
  <c r="GS4" i="14"/>
  <c r="GR27" i="14"/>
  <c r="GR31" i="14" s="1"/>
  <c r="GR33" i="14" s="1"/>
  <c r="GZ12" i="14"/>
  <c r="HC1" i="14"/>
  <c r="GY12" i="10"/>
  <c r="GY16" i="10" s="1"/>
  <c r="GZ16" i="10"/>
  <c r="GZ30" i="10" s="1"/>
  <c r="GW3" i="10"/>
  <c r="GV31" i="10"/>
  <c r="HG1" i="10"/>
  <c r="HD12" i="10"/>
  <c r="GR34" i="14" l="1"/>
  <c r="HD12" i="14"/>
  <c r="HG1" i="14"/>
  <c r="GR29" i="14"/>
  <c r="GY12" i="14"/>
  <c r="GZ26" i="14"/>
  <c r="GW4" i="14"/>
  <c r="GV27" i="14"/>
  <c r="GV31" i="14" s="1"/>
  <c r="GV33" i="14" s="1"/>
  <c r="HC12" i="10"/>
  <c r="HC16" i="10" s="1"/>
  <c r="HD16" i="10"/>
  <c r="HD30" i="10" s="1"/>
  <c r="HA3" i="10"/>
  <c r="GZ31" i="10"/>
  <c r="HK1" i="10"/>
  <c r="HH12" i="10"/>
  <c r="GV33" i="10"/>
  <c r="GV34" i="14" l="1"/>
  <c r="HA4" i="14"/>
  <c r="GZ27" i="14"/>
  <c r="GZ31" i="14" s="1"/>
  <c r="GZ33" i="14" s="1"/>
  <c r="GV29" i="14"/>
  <c r="HK1" i="14"/>
  <c r="HH12" i="14"/>
  <c r="HC12" i="14"/>
  <c r="HD26" i="14"/>
  <c r="GZ33" i="10"/>
  <c r="HG12" i="10"/>
  <c r="HG16" i="10" s="1"/>
  <c r="HH16" i="10"/>
  <c r="HH30" i="10" s="1"/>
  <c r="HE3" i="10"/>
  <c r="HD31" i="10"/>
  <c r="HO1" i="10"/>
  <c r="HL12" i="10"/>
  <c r="GZ34" i="14" l="1"/>
  <c r="GZ29" i="14"/>
  <c r="HE4" i="14"/>
  <c r="HD27" i="14"/>
  <c r="HD31" i="14" s="1"/>
  <c r="HD33" i="14" s="1"/>
  <c r="HL12" i="14"/>
  <c r="HO1" i="14"/>
  <c r="HG12" i="14"/>
  <c r="HH26" i="14"/>
  <c r="HD33" i="10"/>
  <c r="HI3" i="10"/>
  <c r="HH31" i="10"/>
  <c r="HP12" i="10"/>
  <c r="HS1" i="10"/>
  <c r="HK12" i="10"/>
  <c r="HK16" i="10" s="1"/>
  <c r="HL16" i="10"/>
  <c r="HL30" i="10" s="1"/>
  <c r="HD34" i="14" l="1"/>
  <c r="HD29" i="14"/>
  <c r="HH27" i="14"/>
  <c r="HH31" i="14" s="1"/>
  <c r="HH33" i="14" s="1"/>
  <c r="HI4" i="14"/>
  <c r="HP12" i="14"/>
  <c r="HS1" i="14"/>
  <c r="HL26" i="14"/>
  <c r="HK12" i="14"/>
  <c r="HH33" i="10"/>
  <c r="HL31" i="10"/>
  <c r="HM3" i="10"/>
  <c r="HO12" i="10"/>
  <c r="HO16" i="10" s="1"/>
  <c r="HP16" i="10"/>
  <c r="HP30" i="10" s="1"/>
  <c r="HW1" i="10"/>
  <c r="HT12" i="10"/>
  <c r="HH34" i="14" l="1"/>
  <c r="HH29" i="14"/>
  <c r="HP26" i="14"/>
  <c r="HO12" i="14"/>
  <c r="HL27" i="14"/>
  <c r="HL31" i="14" s="1"/>
  <c r="HL33" i="14" s="1"/>
  <c r="HM4" i="14"/>
  <c r="HT12" i="14"/>
  <c r="HW1" i="14"/>
  <c r="HL33" i="10"/>
  <c r="HQ3" i="10"/>
  <c r="HP31" i="10"/>
  <c r="IA1" i="10"/>
  <c r="HX12" i="10"/>
  <c r="HT16" i="10"/>
  <c r="HT30" i="10" s="1"/>
  <c r="HS12" i="10"/>
  <c r="HS16" i="10" s="1"/>
  <c r="HL34" i="14" l="1"/>
  <c r="HL29" i="14"/>
  <c r="IA1" i="14"/>
  <c r="HX12" i="14"/>
  <c r="HS12" i="14"/>
  <c r="HT26" i="14"/>
  <c r="HQ4" i="14"/>
  <c r="HP27" i="14"/>
  <c r="HP31" i="14" s="1"/>
  <c r="HP33" i="14" s="1"/>
  <c r="HP33" i="10"/>
  <c r="HU3" i="10"/>
  <c r="HT31" i="10"/>
  <c r="IB12" i="10"/>
  <c r="IE1" i="10"/>
  <c r="HW12" i="10"/>
  <c r="HW16" i="10" s="1"/>
  <c r="HX16" i="10"/>
  <c r="HX30" i="10" s="1"/>
  <c r="HP34" i="14" l="1"/>
  <c r="HX26" i="14"/>
  <c r="HW12" i="14"/>
  <c r="HU4" i="14"/>
  <c r="HT27" i="14"/>
  <c r="HT31" i="14" s="1"/>
  <c r="HT33" i="14" s="1"/>
  <c r="IE1" i="14"/>
  <c r="IB12" i="14"/>
  <c r="HP29" i="14"/>
  <c r="HT33" i="10"/>
  <c r="IF12" i="10"/>
  <c r="II1" i="10"/>
  <c r="HY3" i="10"/>
  <c r="HX31" i="10"/>
  <c r="IA12" i="10"/>
  <c r="IA16" i="10" s="1"/>
  <c r="IB16" i="10"/>
  <c r="IB30" i="10" s="1"/>
  <c r="HT34" i="14" l="1"/>
  <c r="HT29" i="14"/>
  <c r="IB26" i="14"/>
  <c r="IA12" i="14"/>
  <c r="II1" i="14"/>
  <c r="IF12" i="14"/>
  <c r="HY4" i="14"/>
  <c r="HX27" i="14"/>
  <c r="HX31" i="14" s="1"/>
  <c r="HX33" i="14" s="1"/>
  <c r="HX33" i="10"/>
  <c r="IC3" i="10"/>
  <c r="IB31" i="10"/>
  <c r="IM1" i="10"/>
  <c r="IJ12" i="10"/>
  <c r="IE12" i="10"/>
  <c r="IE16" i="10" s="1"/>
  <c r="IF16" i="10"/>
  <c r="IF30" i="10" s="1"/>
  <c r="HX34" i="14" l="1"/>
  <c r="IF26" i="14"/>
  <c r="IE12" i="14"/>
  <c r="HX29" i="14"/>
  <c r="IM1" i="14"/>
  <c r="IJ12" i="14"/>
  <c r="IC4" i="14"/>
  <c r="IB27" i="14"/>
  <c r="IB31" i="14" s="1"/>
  <c r="IB33" i="14" s="1"/>
  <c r="IB33" i="10"/>
  <c r="IG3" i="10"/>
  <c r="IF31" i="10"/>
  <c r="II12" i="10"/>
  <c r="II16" i="10" s="1"/>
  <c r="IJ16" i="10"/>
  <c r="IJ30" i="10" s="1"/>
  <c r="IQ1" i="10"/>
  <c r="IN12" i="10"/>
  <c r="IB34" i="14" l="1"/>
  <c r="IB29" i="14"/>
  <c r="IQ1" i="14"/>
  <c r="IN12" i="14"/>
  <c r="IJ26" i="14"/>
  <c r="II12" i="14"/>
  <c r="IG4" i="14"/>
  <c r="IF27" i="14"/>
  <c r="IF31" i="14" s="1"/>
  <c r="IF33" i="14" s="1"/>
  <c r="IF33" i="10"/>
  <c r="IK3" i="10"/>
  <c r="IJ31" i="10"/>
  <c r="IU1" i="10"/>
  <c r="IR12" i="10"/>
  <c r="IM12" i="10"/>
  <c r="IM16" i="10" s="1"/>
  <c r="IN16" i="10"/>
  <c r="IN30" i="10" s="1"/>
  <c r="IF34" i="14" l="1"/>
  <c r="IN26" i="14"/>
  <c r="IM12" i="14"/>
  <c r="IR12" i="14"/>
  <c r="IU1" i="14"/>
  <c r="IK4" i="14"/>
  <c r="IJ27" i="14"/>
  <c r="IJ31" i="14" s="1"/>
  <c r="IF29" i="14"/>
  <c r="IJ33" i="10"/>
  <c r="IO3" i="10"/>
  <c r="IN31" i="10"/>
  <c r="IR16" i="10"/>
  <c r="IR30" i="10" s="1"/>
  <c r="IQ12" i="10"/>
  <c r="IQ16" i="10" s="1"/>
  <c r="IY1" i="10"/>
  <c r="IV12" i="10"/>
  <c r="C33" i="15" l="1"/>
  <c r="IJ33" i="14"/>
  <c r="IJ34" i="14" s="1"/>
  <c r="IJ29" i="14"/>
  <c r="IV12" i="14"/>
  <c r="IY1" i="14"/>
  <c r="IR26" i="14"/>
  <c r="IQ12" i="14"/>
  <c r="IO4" i="14"/>
  <c r="IN27" i="14"/>
  <c r="IN31" i="14" s="1"/>
  <c r="IN33" i="14" s="1"/>
  <c r="IN33" i="10"/>
  <c r="IS3" i="10"/>
  <c r="IR31" i="10"/>
  <c r="IU12" i="10"/>
  <c r="IU16" i="10" s="1"/>
  <c r="IV16" i="10"/>
  <c r="IV30" i="10" s="1"/>
  <c r="JC1" i="10"/>
  <c r="IZ12" i="10"/>
  <c r="IN34" i="14" l="1"/>
  <c r="IN29" i="14"/>
  <c r="JC1" i="14"/>
  <c r="IZ12" i="14"/>
  <c r="IS4" i="14"/>
  <c r="IR27" i="14"/>
  <c r="IR31" i="14" s="1"/>
  <c r="IR33" i="14" s="1"/>
  <c r="IU12" i="14"/>
  <c r="IV26" i="14"/>
  <c r="IR33" i="10"/>
  <c r="IW3" i="10"/>
  <c r="IV31" i="10"/>
  <c r="IY12" i="10"/>
  <c r="IY16" i="10" s="1"/>
  <c r="IZ16" i="10"/>
  <c r="IZ30" i="10" s="1"/>
  <c r="JG1" i="10"/>
  <c r="JD12" i="10"/>
  <c r="IR34" i="14" l="1"/>
  <c r="IW4" i="14"/>
  <c r="IV27" i="14"/>
  <c r="IV31" i="14" s="1"/>
  <c r="IV33" i="14" s="1"/>
  <c r="IY12" i="14"/>
  <c r="IZ26" i="14"/>
  <c r="JD12" i="14"/>
  <c r="JG1" i="14"/>
  <c r="IR29" i="14"/>
  <c r="IV33" i="10"/>
  <c r="JA3" i="10"/>
  <c r="IZ31" i="10"/>
  <c r="JC12" i="10"/>
  <c r="JC16" i="10" s="1"/>
  <c r="JD16" i="10"/>
  <c r="JD30" i="10" s="1"/>
  <c r="JK1" i="10"/>
  <c r="JH12" i="10"/>
  <c r="IV34" i="14" l="1"/>
  <c r="IV29" i="14"/>
  <c r="JA4" i="14"/>
  <c r="IZ27" i="14"/>
  <c r="IZ31" i="14" s="1"/>
  <c r="IZ33" i="14" s="1"/>
  <c r="IZ34" i="14" s="1"/>
  <c r="JH12" i="14"/>
  <c r="JK1" i="14"/>
  <c r="JC12" i="14"/>
  <c r="JD26" i="14"/>
  <c r="IZ33" i="10"/>
  <c r="JE3" i="10"/>
  <c r="JD31" i="10"/>
  <c r="JL12" i="10"/>
  <c r="JO1" i="10"/>
  <c r="JG12" i="10"/>
  <c r="JG16" i="10" s="1"/>
  <c r="JH16" i="10"/>
  <c r="JH30" i="10" s="1"/>
  <c r="JH26" i="14" l="1"/>
  <c r="JG12" i="14"/>
  <c r="JE4" i="14"/>
  <c r="JD27" i="14"/>
  <c r="JD31" i="14" s="1"/>
  <c r="JD33" i="14" s="1"/>
  <c r="JD34" i="14" s="1"/>
  <c r="JO1" i="14"/>
  <c r="JL12" i="14"/>
  <c r="IZ29" i="14"/>
  <c r="JD33" i="10"/>
  <c r="JH31" i="10"/>
  <c r="JI3" i="10"/>
  <c r="JK12" i="10"/>
  <c r="JK16" i="10" s="1"/>
  <c r="JL16" i="10"/>
  <c r="JL30" i="10" s="1"/>
  <c r="JS1" i="10"/>
  <c r="JP12" i="10"/>
  <c r="JD29" i="14" l="1"/>
  <c r="JS1" i="14"/>
  <c r="JP12" i="14"/>
  <c r="JL26" i="14"/>
  <c r="JK12" i="14"/>
  <c r="JH27" i="14"/>
  <c r="JH31" i="14" s="1"/>
  <c r="JH33" i="14" s="1"/>
  <c r="JH34" i="14" s="1"/>
  <c r="JI4" i="14"/>
  <c r="JH33" i="10"/>
  <c r="JM3" i="10"/>
  <c r="JL31" i="10"/>
  <c r="JP16" i="10"/>
  <c r="JP30" i="10" s="1"/>
  <c r="JO12" i="10"/>
  <c r="JO16" i="10" s="1"/>
  <c r="JW1" i="10"/>
  <c r="JT12" i="10"/>
  <c r="JM4" i="14" l="1"/>
  <c r="JL27" i="14"/>
  <c r="JL31" i="14" s="1"/>
  <c r="JL33" i="14" s="1"/>
  <c r="JL34" i="14" s="1"/>
  <c r="JO12" i="14"/>
  <c r="JP26" i="14"/>
  <c r="JW1" i="14"/>
  <c r="JT12" i="14"/>
  <c r="JH29" i="14"/>
  <c r="JL33" i="10"/>
  <c r="JX12" i="10"/>
  <c r="KA1" i="10"/>
  <c r="JS12" i="10"/>
  <c r="JS16" i="10" s="1"/>
  <c r="JT16" i="10"/>
  <c r="JT30" i="10" s="1"/>
  <c r="JQ3" i="10"/>
  <c r="JP31" i="10"/>
  <c r="JL29" i="14" l="1"/>
  <c r="JX12" i="14"/>
  <c r="KA1" i="14"/>
  <c r="JQ4" i="14"/>
  <c r="JP27" i="14"/>
  <c r="JP31" i="14" s="1"/>
  <c r="JP33" i="14" s="1"/>
  <c r="JP34" i="14" s="1"/>
  <c r="JT26" i="14"/>
  <c r="JS12" i="14"/>
  <c r="JP33" i="10"/>
  <c r="JU3" i="10"/>
  <c r="JT31" i="10"/>
  <c r="KB12" i="10"/>
  <c r="KE1" i="10"/>
  <c r="KF12" i="10" s="1"/>
  <c r="JW12" i="10"/>
  <c r="JW16" i="10" s="1"/>
  <c r="JX16" i="10"/>
  <c r="JX30" i="10" s="1"/>
  <c r="KB12" i="14" l="1"/>
  <c r="KA12" i="14" s="1"/>
  <c r="JU4" i="14"/>
  <c r="JT27" i="14"/>
  <c r="JT31" i="14" s="1"/>
  <c r="JT33" i="14" s="1"/>
  <c r="JT34" i="14" s="1"/>
  <c r="JP29" i="14"/>
  <c r="JX26" i="14"/>
  <c r="JW12" i="14"/>
  <c r="JT33" i="10"/>
  <c r="JY3" i="10"/>
  <c r="JX31" i="10"/>
  <c r="KA12" i="10"/>
  <c r="KA16" i="10" s="1"/>
  <c r="KB16" i="10"/>
  <c r="KB30" i="10" s="1"/>
  <c r="KE12" i="10"/>
  <c r="KE16" i="10" s="1"/>
  <c r="KF16" i="10"/>
  <c r="KF30" i="10" s="1"/>
  <c r="JT29" i="14" l="1"/>
  <c r="KB26" i="14"/>
  <c r="KC4" i="14" s="1"/>
  <c r="JY4" i="14"/>
  <c r="JX27" i="14"/>
  <c r="JX31" i="14" s="1"/>
  <c r="JX33" i="14" s="1"/>
  <c r="JX34" i="14" s="1"/>
  <c r="JX33" i="10"/>
  <c r="KG3" i="10"/>
  <c r="KF31" i="10"/>
  <c r="KC3" i="10"/>
  <c r="KB31" i="10"/>
  <c r="C38" i="10" l="1"/>
  <c r="KB27" i="14"/>
  <c r="KB31" i="14" s="1"/>
  <c r="JX29" i="14"/>
  <c r="KB33" i="10"/>
  <c r="KF33" i="10" s="1"/>
  <c r="KB29" i="14" l="1"/>
  <c r="F29" i="15"/>
  <c r="F32" i="15"/>
  <c r="F34" i="15"/>
  <c r="F33" i="15"/>
  <c r="F30" i="15"/>
  <c r="F31" i="15"/>
  <c r="C35" i="14"/>
  <c r="C40" i="14"/>
  <c r="C34" i="15"/>
  <c r="KB33" i="14"/>
  <c r="G33" i="15" l="1"/>
  <c r="G34" i="15"/>
  <c r="G32" i="15"/>
  <c r="G31" i="15"/>
  <c r="G29" i="15"/>
  <c r="N30" i="15"/>
  <c r="KB34" i="14"/>
  <c r="D8" i="1"/>
  <c r="D9" i="1"/>
  <c r="D20" i="1"/>
  <c r="D26" i="1"/>
  <c r="D27" i="1"/>
  <c r="D28" i="1"/>
  <c r="D29" i="1"/>
  <c r="D30" i="1"/>
  <c r="D31" i="1"/>
  <c r="D32" i="1"/>
  <c r="D33" i="1"/>
  <c r="D34" i="1"/>
  <c r="D36" i="1"/>
  <c r="I37" i="1"/>
  <c r="I39" i="1"/>
  <c r="D40" i="1"/>
  <c r="I40" i="1"/>
  <c r="D44" i="1"/>
  <c r="I44" i="1"/>
  <c r="D46" i="1"/>
  <c r="I50" i="1"/>
  <c r="J50" i="1"/>
  <c r="K50" i="1"/>
  <c r="L50" i="1"/>
  <c r="M50" i="1"/>
  <c r="N50" i="1"/>
  <c r="O50" i="1"/>
  <c r="P50" i="1"/>
  <c r="Q50" i="1"/>
  <c r="R50" i="1"/>
  <c r="I51" i="1"/>
  <c r="J51" i="1"/>
  <c r="K51" i="1"/>
  <c r="L51" i="1"/>
  <c r="M51" i="1"/>
  <c r="N51" i="1"/>
  <c r="O51" i="1"/>
  <c r="P51" i="1"/>
  <c r="Q51" i="1"/>
  <c r="R51" i="1"/>
  <c r="I58" i="1"/>
  <c r="J58" i="1"/>
  <c r="K58" i="1"/>
  <c r="L58" i="1"/>
  <c r="M58" i="1"/>
  <c r="N58" i="1"/>
  <c r="O58" i="1"/>
  <c r="P58" i="1"/>
  <c r="Q58" i="1"/>
  <c r="R58" i="1"/>
  <c r="I60" i="1"/>
  <c r="J60" i="1"/>
  <c r="K60" i="1"/>
  <c r="L60" i="1"/>
  <c r="M60" i="1"/>
  <c r="N60" i="1"/>
  <c r="O60" i="1"/>
  <c r="P60" i="1"/>
  <c r="Q60" i="1"/>
  <c r="R60" i="1"/>
  <c r="I61" i="1"/>
  <c r="J61" i="1"/>
  <c r="K61" i="1"/>
  <c r="L61" i="1"/>
  <c r="M61" i="1"/>
  <c r="N61" i="1"/>
  <c r="O61" i="1"/>
  <c r="P61" i="1"/>
  <c r="Q61" i="1"/>
  <c r="R61" i="1"/>
  <c r="I67" i="1"/>
  <c r="J67" i="1"/>
  <c r="K67" i="1"/>
  <c r="L67" i="1"/>
  <c r="M67" i="1"/>
  <c r="N67" i="1"/>
  <c r="O67" i="1"/>
  <c r="P67" i="1"/>
  <c r="Q67" i="1"/>
  <c r="R67" i="1"/>
  <c r="I69" i="1"/>
  <c r="J69" i="1"/>
  <c r="K69" i="1"/>
  <c r="L69" i="1"/>
  <c r="M69" i="1"/>
  <c r="N69" i="1"/>
  <c r="O69" i="1"/>
  <c r="P69" i="1"/>
  <c r="Q69" i="1"/>
  <c r="R69" i="1"/>
  <c r="D74" i="1"/>
  <c r="I74" i="1"/>
  <c r="D75" i="1"/>
  <c r="I75" i="1"/>
  <c r="D87" i="1"/>
  <c r="I87" i="1"/>
  <c r="J87" i="1"/>
  <c r="K87" i="1"/>
  <c r="L87" i="1"/>
  <c r="M87" i="1"/>
  <c r="N87" i="1"/>
  <c r="O87" i="1"/>
  <c r="P87" i="1"/>
  <c r="Q87" i="1"/>
  <c r="R87" i="1"/>
  <c r="D89" i="1"/>
  <c r="I89" i="1"/>
  <c r="J90" i="1"/>
  <c r="K90" i="1"/>
  <c r="L90" i="1"/>
  <c r="M90" i="1"/>
  <c r="N90" i="1"/>
  <c r="O90" i="1"/>
  <c r="P90" i="1"/>
  <c r="Q90" i="1"/>
  <c r="R90" i="1"/>
  <c r="I91" i="1"/>
  <c r="J91" i="1"/>
  <c r="K91" i="1"/>
  <c r="L91" i="1"/>
  <c r="M91" i="1"/>
  <c r="N91" i="1"/>
  <c r="O91" i="1"/>
  <c r="P91" i="1"/>
  <c r="Q91" i="1"/>
  <c r="R91" i="1"/>
  <c r="J103" i="1"/>
  <c r="K103" i="1"/>
  <c r="L103" i="1"/>
  <c r="M103" i="1"/>
  <c r="N103" i="1"/>
  <c r="O103" i="1"/>
  <c r="P103" i="1"/>
  <c r="Q103" i="1"/>
  <c r="R103" i="1"/>
  <c r="I105" i="1"/>
  <c r="J105" i="1"/>
  <c r="K105" i="1"/>
  <c r="L105" i="1"/>
  <c r="M105" i="1"/>
  <c r="N105" i="1"/>
  <c r="O105" i="1"/>
  <c r="P105" i="1"/>
  <c r="Q105" i="1"/>
  <c r="R105" i="1"/>
  <c r="J128" i="1"/>
  <c r="K128" i="1"/>
  <c r="L128" i="1"/>
  <c r="M128" i="1"/>
  <c r="N128" i="1"/>
  <c r="O128" i="1"/>
  <c r="P128" i="1"/>
  <c r="Q128" i="1"/>
  <c r="R128" i="1"/>
  <c r="I130" i="1"/>
  <c r="J130" i="1"/>
  <c r="K130" i="1"/>
  <c r="L130" i="1"/>
  <c r="M130" i="1"/>
  <c r="N130" i="1"/>
  <c r="O130" i="1"/>
  <c r="P130" i="1"/>
  <c r="Q130" i="1"/>
  <c r="R130" i="1"/>
  <c r="I134" i="1"/>
  <c r="I135" i="1"/>
  <c r="I152" i="1"/>
  <c r="I153" i="1"/>
  <c r="I154" i="1"/>
  <c r="I156" i="1"/>
  <c r="I159" i="1"/>
  <c r="I160" i="1"/>
  <c r="D2" i="4"/>
  <c r="D3" i="4"/>
  <c r="D4" i="4"/>
  <c r="D6" i="4"/>
  <c r="E9" i="4"/>
  <c r="E10" i="4"/>
  <c r="E11" i="4"/>
  <c r="E12" i="4"/>
  <c r="E14" i="4"/>
  <c r="E15" i="4"/>
  <c r="E16" i="4"/>
  <c r="E17" i="4"/>
  <c r="E19" i="4"/>
  <c r="E20" i="4"/>
  <c r="E21" i="4"/>
  <c r="E22" i="4"/>
  <c r="E24" i="4"/>
  <c r="E25" i="4"/>
  <c r="B26" i="4"/>
  <c r="E26" i="4"/>
  <c r="E27" i="4"/>
  <c r="B28" i="4"/>
  <c r="E28" i="4"/>
  <c r="B30" i="4"/>
  <c r="E30" i="4"/>
  <c r="B32" i="4"/>
  <c r="B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<sst xmlns="http://schemas.openxmlformats.org/spreadsheetml/2006/main" count="5617" uniqueCount="336">
  <si>
    <t>First Year</t>
  </si>
  <si>
    <t>X</t>
  </si>
  <si>
    <t>Premissas</t>
  </si>
  <si>
    <t>D&amp;A (% Imob. e Intang.)</t>
  </si>
  <si>
    <t>Juros (% Dívida)</t>
  </si>
  <si>
    <t>Capex (R$)</t>
  </si>
  <si>
    <t>Unidade</t>
  </si>
  <si>
    <t>DRE</t>
  </si>
  <si>
    <t>Deduções Das Receitas</t>
  </si>
  <si>
    <t>Impostos sobre vendas</t>
  </si>
  <si>
    <t>Devoluções</t>
  </si>
  <si>
    <t>Receita Operacional Líquida</t>
  </si>
  <si>
    <t>Custo dos Produtos Vendidos</t>
  </si>
  <si>
    <t>Lucro Operacional Bruto</t>
  </si>
  <si>
    <t>Resultado Operacional</t>
  </si>
  <si>
    <t>Outros Resultados</t>
  </si>
  <si>
    <t>EBITDA</t>
  </si>
  <si>
    <t>Lucro Antes do Resultado Financeiro (EBIT)</t>
  </si>
  <si>
    <t>Receita Financeira</t>
  </si>
  <si>
    <t>Despesas Financeira</t>
  </si>
  <si>
    <t>Lucro Antes dos Impostos (EBT)</t>
  </si>
  <si>
    <t>Imposto de Renda Pessoa Jurídica - IRPJ</t>
  </si>
  <si>
    <t>Contribuição Social s/Lucro Líquido - CSLL</t>
  </si>
  <si>
    <t>Lucro Líquido Do Exercício</t>
  </si>
  <si>
    <t>CPV (% Faturamento)</t>
  </si>
  <si>
    <t>Receita Operacional Bruta</t>
  </si>
  <si>
    <t>Receita Financeira Líquida</t>
  </si>
  <si>
    <t>Crescimento da Receita (Var %)</t>
  </si>
  <si>
    <t>Prazo Médio de Recebimento (Dias)</t>
  </si>
  <si>
    <t>Prazo Médio de Estoque (Dias)</t>
  </si>
  <si>
    <t>Prazo Médio de Pagamentos (Dias)</t>
  </si>
  <si>
    <t>Captação Empréstimos (Pagamentos) (R$)</t>
  </si>
  <si>
    <t>SG&amp;A</t>
  </si>
  <si>
    <t>D&amp;A</t>
  </si>
  <si>
    <t>DFC</t>
  </si>
  <si>
    <t>CFO</t>
  </si>
  <si>
    <t>Var. NCG</t>
  </si>
  <si>
    <t>CFI</t>
  </si>
  <si>
    <t>CFF</t>
  </si>
  <si>
    <t>Outros</t>
  </si>
  <si>
    <t>Var. Caixa</t>
  </si>
  <si>
    <t>Abertura do Caixa</t>
  </si>
  <si>
    <t>Posição Final de Caixa</t>
  </si>
  <si>
    <t>Empresa:</t>
  </si>
  <si>
    <t>BP</t>
  </si>
  <si>
    <t>Ativo Circulante</t>
  </si>
  <si>
    <t>Caixa</t>
  </si>
  <si>
    <t>Contas a Receber</t>
  </si>
  <si>
    <t>Estoques</t>
  </si>
  <si>
    <t>Ativo Não Circulante</t>
  </si>
  <si>
    <t>Imobilizado e Intangível</t>
  </si>
  <si>
    <t>Total do Ativo</t>
  </si>
  <si>
    <t>Passivo Circulante</t>
  </si>
  <si>
    <t>Contas a Pagar</t>
  </si>
  <si>
    <t>Empréstimos e Financiamentos</t>
  </si>
  <si>
    <t>Passivo Não Circulante</t>
  </si>
  <si>
    <t>Total do Passivo</t>
  </si>
  <si>
    <t>Patrimônio Líquido</t>
  </si>
  <si>
    <t>Passivo + PL</t>
  </si>
  <si>
    <t>Check</t>
  </si>
  <si>
    <t>Tabela Auxiliar</t>
  </si>
  <si>
    <t>Posição Inicial da Dívida</t>
  </si>
  <si>
    <t>NCG</t>
  </si>
  <si>
    <t>Dívida</t>
  </si>
  <si>
    <t>Posição Final da Dívida</t>
  </si>
  <si>
    <t>(-) Juros</t>
  </si>
  <si>
    <t>(-) Dividendos Pagos</t>
  </si>
  <si>
    <t>Variação dos Empréstimos</t>
  </si>
  <si>
    <t>(+) Lucro Líquido</t>
  </si>
  <si>
    <t>(+) D&amp;A</t>
  </si>
  <si>
    <t>(+) Var. NCG</t>
  </si>
  <si>
    <t>(+) Capex</t>
  </si>
  <si>
    <t>(+) Variação dos Empréstimos</t>
  </si>
  <si>
    <t>SG&amp;A (% Faturamento)</t>
  </si>
  <si>
    <t>Indicadores</t>
  </si>
  <si>
    <t>CDI</t>
  </si>
  <si>
    <t>IPCA</t>
  </si>
  <si>
    <t>Imobilizado</t>
  </si>
  <si>
    <t>Abertura Imobilizado</t>
  </si>
  <si>
    <t>(+) CapEx</t>
  </si>
  <si>
    <t>Imobilizado Final</t>
  </si>
  <si>
    <t>(-) D&amp;A (Inputar manual)</t>
  </si>
  <si>
    <t>Revolver</t>
  </si>
  <si>
    <t>Caixa Disponível</t>
  </si>
  <si>
    <t>Var. dos Empréstimos do Não Circulante</t>
  </si>
  <si>
    <t>Dividendos Pagos</t>
  </si>
  <si>
    <t>Caixa Disponível Revolver</t>
  </si>
  <si>
    <t>Revolver Inicial</t>
  </si>
  <si>
    <t>Var. no Revolver</t>
  </si>
  <si>
    <t>Revolver Final</t>
  </si>
  <si>
    <t>Necessidade de Capital de Giro (NCG) (Inputar Manual)</t>
  </si>
  <si>
    <t>Juros do Revolver</t>
  </si>
  <si>
    <t>Taxa de Juros do Revolver</t>
  </si>
  <si>
    <t>Juros</t>
  </si>
  <si>
    <t>Juros Revolver (% Dívida)</t>
  </si>
  <si>
    <t>Total de Juros Revolver + LP</t>
  </si>
  <si>
    <t>DCF</t>
  </si>
  <si>
    <t>Parâmetros</t>
  </si>
  <si>
    <t>IR</t>
  </si>
  <si>
    <t>Crescimento na Perpetuidade</t>
  </si>
  <si>
    <t>Múltiplo EV/EBITDA</t>
  </si>
  <si>
    <t>Data Final do Ano</t>
  </si>
  <si>
    <t>Data do DCF</t>
  </si>
  <si>
    <t>Fluxo de Caixa Descontado</t>
  </si>
  <si>
    <t>Taxa de Desconto</t>
  </si>
  <si>
    <t>Entrada</t>
  </si>
  <si>
    <t>Saída</t>
  </si>
  <si>
    <t>Data</t>
  </si>
  <si>
    <t>Período</t>
  </si>
  <si>
    <t>Fração do Ano</t>
  </si>
  <si>
    <t>EBIT</t>
  </si>
  <si>
    <t>(-) Impostos</t>
  </si>
  <si>
    <t>NOPAT</t>
  </si>
  <si>
    <t>(-) D&amp;A</t>
  </si>
  <si>
    <t>EBIDA</t>
  </si>
  <si>
    <t>(-) CapEx</t>
  </si>
  <si>
    <t>FCFF</t>
  </si>
  <si>
    <t>FCFF Sensibilizado pelo Período</t>
  </si>
  <si>
    <t>TIR</t>
  </si>
  <si>
    <t xml:space="preserve"> </t>
  </si>
  <si>
    <t>Sacas/ano</t>
  </si>
  <si>
    <t>Preço da Saca</t>
  </si>
  <si>
    <t>https://www.bcb.gov.br/content/focus/focus/R20241227.pdf</t>
  </si>
  <si>
    <t>Prêmio Café Especial</t>
  </si>
  <si>
    <t>Conversa com Torrador</t>
  </si>
  <si>
    <t>Vendas (Unidades de 250g/Ano)</t>
  </si>
  <si>
    <t>Preço da Unidade (R$/Unidades de 250g)</t>
  </si>
  <si>
    <t>https://www.contabilizei.com.br/contabilidade-online/tabela-simples-nacional-completa/</t>
  </si>
  <si>
    <t>Devoluções (% Faturamento)</t>
  </si>
  <si>
    <t>Alíquota Simples Nacional (Anexo 2)</t>
  </si>
  <si>
    <t>Preço da Saca (R$)</t>
  </si>
  <si>
    <t>https://www.noticiasagricolas.com.br/cotacoes/cafe</t>
  </si>
  <si>
    <t>Exemplo de Empresa</t>
  </si>
  <si>
    <t>https://www.3coracoes.com.br/wp-content/uploads/2024/08/Demonstracoes-Financeira-2023-Tres-Coracoes-Alimentos-SA-BR-GAAP.pdf?x20808</t>
  </si>
  <si>
    <t>Outras Receitas (Despesas) Operacionais (% Faturamento)</t>
  </si>
  <si>
    <t>https://www.dme-pc.com.br/atendimento/tarifas</t>
  </si>
  <si>
    <t>Tributos (Não se Aplica no Simples)</t>
  </si>
  <si>
    <t>Sacas Compradas (Sacas/Ano)</t>
  </si>
  <si>
    <t>Preço GLP</t>
  </si>
  <si>
    <t>https://precos.petrobras.com.br/sele%C3%A7%C3%A3o-de-estados-glp</t>
  </si>
  <si>
    <t>Consumo GLP</t>
  </si>
  <si>
    <t>Consumo de Energia</t>
  </si>
  <si>
    <t>Preço Água</t>
  </si>
  <si>
    <t>Consumo Água</t>
  </si>
  <si>
    <t>https://kaffeetorradores.com/product/torrador-basico-15kg/</t>
  </si>
  <si>
    <t>Energia (R$/kWh) Grupo A4 - Modalidade Tarifária Verde</t>
  </si>
  <si>
    <t>R$</t>
  </si>
  <si>
    <t>Custos de torra</t>
  </si>
  <si>
    <t>Custos materiais</t>
  </si>
  <si>
    <t>Torrefação</t>
  </si>
  <si>
    <t>Tabela II Simples</t>
  </si>
  <si>
    <t>Preço café verde (R$/kg)</t>
  </si>
  <si>
    <t>Custos na torrefação</t>
  </si>
  <si>
    <t>Produção mensal (kg)</t>
  </si>
  <si>
    <t>Inclui INSS e FGTS</t>
  </si>
  <si>
    <t>Pacotinhos</t>
  </si>
  <si>
    <t>Saldo Devedor</t>
  </si>
  <si>
    <t>Volume</t>
  </si>
  <si>
    <t>Custos Mensais</t>
  </si>
  <si>
    <t>Ano</t>
  </si>
  <si>
    <t>Amortização</t>
  </si>
  <si>
    <t>Indexador</t>
  </si>
  <si>
    <t>CDI+</t>
  </si>
  <si>
    <t>Custos Anuais</t>
  </si>
  <si>
    <t>Prazo</t>
  </si>
  <si>
    <t>Custos Flat</t>
  </si>
  <si>
    <t>Carência Amort.</t>
  </si>
  <si>
    <t>Fundo de Despesa</t>
  </si>
  <si>
    <t>Data estimada emissão</t>
  </si>
  <si>
    <t>Trigger</t>
  </si>
  <si>
    <t>Mensal</t>
  </si>
  <si>
    <t>Fundo de Reserva</t>
  </si>
  <si>
    <t>Tipo Amortização</t>
  </si>
  <si>
    <t>SAC</t>
  </si>
  <si>
    <t>Volume Líquido</t>
  </si>
  <si>
    <t>#</t>
  </si>
  <si>
    <t>DATA</t>
  </si>
  <si>
    <t>AMORTIZAÇÃO</t>
  </si>
  <si>
    <t>TAXA EFETIVA</t>
  </si>
  <si>
    <t>JUROS</t>
  </si>
  <si>
    <t>PARCELA</t>
  </si>
  <si>
    <t>SALDO DEVEDOR</t>
  </si>
  <si>
    <t>Preço por pacotinho</t>
  </si>
  <si>
    <t>ANO</t>
  </si>
  <si>
    <t>Faturamento</t>
  </si>
  <si>
    <t>Lucro</t>
  </si>
  <si>
    <t>Margem</t>
  </si>
  <si>
    <t>Máquina de torra seminova</t>
  </si>
  <si>
    <t>Balança de comércio</t>
  </si>
  <si>
    <t>6 meses de aluguel</t>
  </si>
  <si>
    <t>Seguro</t>
  </si>
  <si>
    <t>Marketing</t>
  </si>
  <si>
    <t>Identidade visual</t>
  </si>
  <si>
    <t>Site</t>
  </si>
  <si>
    <t>Total</t>
  </si>
  <si>
    <t>CPV</t>
  </si>
  <si>
    <t>Outros Custos</t>
  </si>
  <si>
    <t>Peso do Pacotinho</t>
  </si>
  <si>
    <t>%</t>
  </si>
  <si>
    <t>Impostos (% Simples nacional)</t>
  </si>
  <si>
    <t>1 mês de aluguel</t>
  </si>
  <si>
    <t>1 mês de contabilidade</t>
  </si>
  <si>
    <t>Despesas</t>
  </si>
  <si>
    <t>Receitas</t>
  </si>
  <si>
    <t>Total receitas</t>
  </si>
  <si>
    <t>Venda de café</t>
  </si>
  <si>
    <t>Impostos Simples</t>
  </si>
  <si>
    <t>Preço Saca de Café</t>
  </si>
  <si>
    <t>Sacas vendidas</t>
  </si>
  <si>
    <t>Frete do café verde</t>
  </si>
  <si>
    <t>Pacotes</t>
  </si>
  <si>
    <t>Trabalho direto</t>
  </si>
  <si>
    <t>Outros materiais</t>
  </si>
  <si>
    <t>Aluguel do galpão</t>
  </si>
  <si>
    <t>Custo café verde</t>
  </si>
  <si>
    <t>Perda de peso na torra</t>
  </si>
  <si>
    <t>Água e luz</t>
  </si>
  <si>
    <t xml:space="preserve">GLP </t>
  </si>
  <si>
    <t>Perdas operacionais</t>
  </si>
  <si>
    <t>Pró-labore</t>
  </si>
  <si>
    <t>Marketing e Contabilidade</t>
  </si>
  <si>
    <t>Acumulado</t>
  </si>
  <si>
    <t>Despesas variáveis</t>
  </si>
  <si>
    <t>Despesas fixas</t>
  </si>
  <si>
    <t>Despesas iniciais</t>
  </si>
  <si>
    <t>Custos totais</t>
  </si>
  <si>
    <t>Outros custos</t>
  </si>
  <si>
    <t>Lucro mês</t>
  </si>
  <si>
    <t>12 meses de café</t>
  </si>
  <si>
    <t/>
  </si>
  <si>
    <t>✓</t>
  </si>
  <si>
    <t>6 meses de contabilidade</t>
  </si>
  <si>
    <t>PRÓXIMO PASSO: CONSERTAR OS JUROS E IMPOSTOS</t>
  </si>
  <si>
    <t>Faixa</t>
  </si>
  <si>
    <t>Alíquota</t>
  </si>
  <si>
    <t>1ª Faixa</t>
  </si>
  <si>
    <t>2ª Faixa</t>
  </si>
  <si>
    <t>3ª Faixa</t>
  </si>
  <si>
    <t>4ª Faixa</t>
  </si>
  <si>
    <t>5ª Faixa</t>
  </si>
  <si>
    <t>6ª Faixa</t>
  </si>
  <si>
    <t>Limite inferior últimos 12 meses</t>
  </si>
  <si>
    <t>VPL</t>
  </si>
  <si>
    <t>Quantidade</t>
  </si>
  <si>
    <t>Receita</t>
  </si>
  <si>
    <t>Custo fixo</t>
  </si>
  <si>
    <t>Custo variável</t>
  </si>
  <si>
    <t>Custo total</t>
  </si>
  <si>
    <t>Preço de venda</t>
  </si>
  <si>
    <t>Custo variável por unidade</t>
  </si>
  <si>
    <t>Custo</t>
  </si>
  <si>
    <t>Tipo</t>
  </si>
  <si>
    <t>Fonte</t>
  </si>
  <si>
    <t>Fixo</t>
  </si>
  <si>
    <t>Aluguel</t>
  </si>
  <si>
    <t>https://www.vivareal.com.br/imovel/galpao-deposito-armazem-passo-da-areia-bairros-porto-alegre-com-garagem-200m2-aluguel-RS4200-id-2873782497/?source=ranking%2Crp</t>
  </si>
  <si>
    <t>Contabilidade</t>
  </si>
  <si>
    <t>DMAE/RGE</t>
  </si>
  <si>
    <t>Variável</t>
  </si>
  <si>
    <t>Receita federal</t>
  </si>
  <si>
    <t>Estimativa</t>
  </si>
  <si>
    <t>Crédito Real</t>
  </si>
  <si>
    <t>https://camargociaembalagens.com.br/</t>
  </si>
  <si>
    <t>Camargo Embalagens</t>
  </si>
  <si>
    <t>Atilla Torradores</t>
  </si>
  <si>
    <t xml:space="preserve">Valor </t>
  </si>
  <si>
    <t>R$ 3.000 mensal</t>
  </si>
  <si>
    <t>R$ 5.000 mensal</t>
  </si>
  <si>
    <t>R$ 1.000 mensal</t>
  </si>
  <si>
    <t>R$ 600 mensal</t>
  </si>
  <si>
    <t>4,5% - 30% sobre faturamento</t>
  </si>
  <si>
    <t>2% sobre produção</t>
  </si>
  <si>
    <t>18% sobre quantidade torrada</t>
  </si>
  <si>
    <t>R$ 0,4/kg torrado</t>
  </si>
  <si>
    <t>R$ 4 por embalgem</t>
  </si>
  <si>
    <t>MTPakCoffee</t>
  </si>
  <si>
    <t>https://mtpak.coffee/2022/04/how-why-coffee-roasting-causes-beans-to-lose-weight/</t>
  </si>
  <si>
    <t>Agência de marketing local</t>
  </si>
  <si>
    <t>https://www.contabilizei.com.br/contabilidade-online/servicos-de-contabilidade-precos/</t>
  </si>
  <si>
    <t>Contabilizei</t>
  </si>
  <si>
    <t>10% sobre produção</t>
  </si>
  <si>
    <t>12% sobre faturamento</t>
  </si>
  <si>
    <t>Investimento (R$)</t>
  </si>
  <si>
    <t>Imobilizado Bruto (R$)</t>
  </si>
  <si>
    <t>Depreciação (R$)</t>
  </si>
  <si>
    <t>Depreciação Acumulada (R$)</t>
  </si>
  <si>
    <t>Imobilizado Líquido (R$)</t>
  </si>
  <si>
    <t>Equipamento</t>
  </si>
  <si>
    <t>3 meses de café verde</t>
  </si>
  <si>
    <t>Valor (R$)</t>
  </si>
  <si>
    <t>Moinho de café</t>
  </si>
  <si>
    <t>Outros itens</t>
  </si>
  <si>
    <t>Capital de giro</t>
  </si>
  <si>
    <t>Torrador de amostra</t>
  </si>
  <si>
    <t>-</t>
  </si>
  <si>
    <t>https://www.mfrural.com.br/detalhe/932369/torrador-de-cafe-5kgs</t>
  </si>
  <si>
    <t>MFRURAL</t>
  </si>
  <si>
    <t>https://www.mfrural.com.br/detalhe/721415/torrador-rod-bel</t>
  </si>
  <si>
    <t>https://www.amazon.com.br/Balan%C3%A7a-Digital-Eletr%C3%B4nica-Profissional-Com%C3%A9rcio/dp/B0FNLN1YNX/ref=asc_df_B0FNLN1YNX?mcid=e3f69ef0973b33ccbd4a53b37a006154&amp;hvadid=773067503959&amp;hvpos=&amp;hvnetw=g&amp;hvrand=592795043582518186&amp;hvpone=&amp;hvptwo=&amp;hvqmt=&amp;hvdev=c&amp;hvdvcmdl=&amp;hvlocint=&amp;hvlocphy=1001686&amp;hvtargid=pla-2440677554123&amp;psc=1&amp;hvocijid=592795043582518186-B0FNLN1YNX-&amp;hvexpln=0&amp;language=pt_BR</t>
  </si>
  <si>
    <t>Amazon</t>
  </si>
  <si>
    <t>Cooxupé</t>
  </si>
  <si>
    <t>https://vinnicoffee.com.br/produtos/moinho-prisma-220v-yv75a/?pf=gs&amp;variant=1393152173</t>
  </si>
  <si>
    <t>Prisma</t>
  </si>
  <si>
    <t>Investimento inicial</t>
  </si>
  <si>
    <t>Parâmetro</t>
  </si>
  <si>
    <t>Valor</t>
  </si>
  <si>
    <t>μ (drift)</t>
  </si>
  <si>
    <t>σ (volatilidade contínua)</t>
  </si>
  <si>
    <t>λ (intensidade de saltos)</t>
  </si>
  <si>
    <t>μ_j (média do salto)</t>
  </si>
  <si>
    <t>σ_j (desvio do salto)</t>
  </si>
  <si>
    <t>FCL</t>
  </si>
  <si>
    <t>Depreciação</t>
  </si>
  <si>
    <t>Custos e Despesas iniciais</t>
  </si>
  <si>
    <t>Custos e Despesas fixas</t>
  </si>
  <si>
    <t>Custos e Despesas variáveis</t>
  </si>
  <si>
    <t>Vida útil investimento incial</t>
  </si>
  <si>
    <t>FCL Descontado</t>
  </si>
  <si>
    <t>Acumulado Descont</t>
  </si>
  <si>
    <t>Taxa de desconto</t>
  </si>
  <si>
    <t>VPL (R$)</t>
  </si>
  <si>
    <t>FCL (R$)</t>
  </si>
  <si>
    <t>Base</t>
  </si>
  <si>
    <t>Volume vendido</t>
  </si>
  <si>
    <t>Impacto no VPL (R$)</t>
  </si>
  <si>
    <t>Preço café torrado</t>
  </si>
  <si>
    <t>Impacto positivo</t>
  </si>
  <si>
    <t>Impacto negativo</t>
  </si>
  <si>
    <t>Preço café verde</t>
  </si>
  <si>
    <t>Impacto +10%</t>
  </si>
  <si>
    <t>Impacto -10%</t>
  </si>
  <si>
    <t>+10%</t>
  </si>
  <si>
    <t>Impacto em relação ao base</t>
  </si>
  <si>
    <t>Cenário/Variável</t>
  </si>
  <si>
    <t>Preços café verde</t>
  </si>
  <si>
    <t>Preço venda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</si>
</sst>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R$&quot;\ #,##0;[Red]\-&quot;R$&quot;\ #,##0"/>
    <numFmt numFmtId="8" formatCode="&quot;R$&quot;\ #,##0.00;[Red]\-&quot;R$&quot;\ #,##0.00"/>
    <numFmt numFmtId="164" formatCode="0\P"/>
    <numFmt numFmtId="165" formatCode="#,##0_);\(#,##0\)"/>
    <numFmt numFmtId="166" formatCode="0.0%"/>
    <numFmt numFmtId="167" formatCode="0.00\ \p\o\r\ \k\g"/>
    <numFmt numFmtId="168" formatCode="#,#00\ &quot;unidades&quot;"/>
    <numFmt numFmtId="169" formatCode="0\ &quot;R$ p/ unidade&quot;"/>
    <numFmt numFmtId="170" formatCode="0.00&quot;kg&quot;"/>
    <numFmt numFmtId="171" formatCode="#,##0&quot; meses&quot;"/>
    <numFmt numFmtId="172" formatCode="0%\ &quot;markup&quot;"/>
    <numFmt numFmtId="173" formatCode="#,##0\ &quot;p/ mês&quot;"/>
    <numFmt numFmtId="174" formatCode="#,##0\ &quot;p/ saca&quot;"/>
    <numFmt numFmtId="175" formatCode="0.00000%"/>
    <numFmt numFmtId="176" formatCode="&quot;Mês&quot;\ 0"/>
    <numFmt numFmtId="177" formatCode="0\ &quot;sacas vendidas&quot;"/>
    <numFmt numFmtId="178" formatCode="0\ &quot;Reais por pacotinho&quot;"/>
    <numFmt numFmtId="179" formatCode="0.00\ &quot;fator de crescimento&quot;"/>
    <numFmt numFmtId="180" formatCode="0\ &quot;meses de café&quot;"/>
    <numFmt numFmtId="181" formatCode="0\ &quot;anos&quot;"/>
    <numFmt numFmtId="182" formatCode="0.0"/>
  </numFmts>
  <fonts count="25" x14ac:knownFonts="1">
    <font>
      <sz val="11"/>
      <color theme="1"/>
      <name val="Calibri"/>
      <family val="2"/>
      <scheme val="minor"/>
    </font>
    <font>
      <sz val="11"/>
      <color theme="1"/>
      <name val="Leelawadee"/>
      <family val="2"/>
    </font>
    <font>
      <sz val="11"/>
      <color theme="1"/>
      <name val="Leelawadee"/>
      <family val="2"/>
    </font>
    <font>
      <sz val="11"/>
      <color theme="1"/>
      <name val="Leelawadee"/>
      <family val="2"/>
    </font>
    <font>
      <sz val="11"/>
      <color theme="1"/>
      <name val="Leelawadee"/>
      <family val="2"/>
    </font>
    <font>
      <sz val="11"/>
      <color theme="1"/>
      <name val="Leelawadee"/>
      <family val="2"/>
    </font>
    <font>
      <sz val="11"/>
      <color theme="1"/>
      <name val="Calibri"/>
      <family val="2"/>
      <scheme val="minor"/>
    </font>
    <font>
      <b/>
      <sz val="11"/>
      <color theme="0"/>
      <name val="Leelawadee"/>
      <family val="2"/>
    </font>
    <font>
      <b/>
      <sz val="11"/>
      <color theme="1"/>
      <name val="Leelawadee"/>
      <family val="2"/>
    </font>
    <font>
      <sz val="10"/>
      <color rgb="FF000000"/>
      <name val="Times New Roman"/>
      <family val="1"/>
    </font>
    <font>
      <b/>
      <sz val="11"/>
      <name val="Leelawadee"/>
      <family val="2"/>
    </font>
    <font>
      <sz val="11"/>
      <name val="Leelawadee"/>
      <family val="2"/>
    </font>
    <font>
      <b/>
      <sz val="11"/>
      <color rgb="FF000000"/>
      <name val="Leelawadee"/>
      <family val="2"/>
    </font>
    <font>
      <i/>
      <u/>
      <sz val="11"/>
      <color theme="1"/>
      <name val="Leelawadee"/>
      <family val="2"/>
    </font>
    <font>
      <i/>
      <sz val="11"/>
      <color rgb="FF000000"/>
      <name val="Leelawadee"/>
      <family val="2"/>
    </font>
    <font>
      <sz val="11"/>
      <color rgb="FFFF0000"/>
      <name val="Leelawadee"/>
      <family val="2"/>
    </font>
    <font>
      <u/>
      <sz val="11"/>
      <color theme="10"/>
      <name val="Calibri"/>
      <family val="2"/>
      <scheme val="minor"/>
    </font>
    <font>
      <b/>
      <sz val="12"/>
      <color theme="1"/>
      <name val="Leelawadee"/>
      <family val="2"/>
    </font>
    <font>
      <sz val="11"/>
      <color theme="0"/>
      <name val="Leelawadee"/>
      <family val="2"/>
    </font>
    <font>
      <sz val="11"/>
      <color rgb="FF0070C0"/>
      <name val="Leelawadee"/>
      <family val="2"/>
    </font>
    <font>
      <sz val="11"/>
      <color theme="5" tint="-0.249977111117893"/>
      <name val="Leelawadee"/>
      <family val="2"/>
    </font>
    <font>
      <sz val="11"/>
      <color theme="7" tint="-0.249977111117893"/>
      <name val="Leelawadee"/>
      <family val="2"/>
    </font>
    <font>
      <sz val="8"/>
      <name val="Calibri"/>
      <family val="2"/>
      <scheme val="minor"/>
    </font>
    <font>
      <sz val="11"/>
      <color rgb="FF000000"/>
      <name val="Aptos Narrow"/>
      <family val="2"/>
    </font>
    <font>
      <sz val="11"/>
      <color rgb="FF000000"/>
      <name val="Leelawadee"/>
      <family val="2"/>
    </font>
  </fonts>
  <fills count="8">
    <fill>
      <patternFill patternType="none"/>
    </fill>
    <fill>
      <patternFill patternType="gray125"/>
    </fill>
    <fill>
      <patternFill patternType="solid">
        <fgColor theme="0"/>
        <bgColor indexed="64"/>
      </patternFill>
    </fill>
    <fill>
      <patternFill patternType="solid">
        <fgColor rgb="FFE7E6E6"/>
        <bgColor indexed="64"/>
      </patternFill>
    </fill>
    <fill>
      <patternFill patternType="solid">
        <fgColor theme="0"/>
        <bgColor theme="0"/>
      </patternFill>
    </fill>
    <fill>
      <patternFill patternType="solid">
        <fgColor rgb="FF634832"/>
        <bgColor indexed="64"/>
      </patternFill>
    </fill>
    <fill>
      <patternFill patternType="solid">
        <fgColor theme="7" tint="0.59999389629810485"/>
        <bgColor indexed="64"/>
      </patternFill>
    </fill>
    <fill>
      <patternFill patternType="solid">
        <fgColor rgb="FFFFC000"/>
        <bgColor indexed="64"/>
      </patternFill>
    </fill>
  </fills>
  <borders count="7">
    <border>
      <left/>
      <right/>
      <top/>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9" fontId="6" fillId="0" borderId="0" applyFont="0" applyFill="0" applyBorder="0" applyAlignment="0" applyProtection="0"/>
    <xf numFmtId="0" fontId="9" fillId="0" borderId="0"/>
    <xf numFmtId="0" fontId="16" fillId="0" borderId="0" applyNumberFormat="0" applyFill="0" applyBorder="0" applyAlignment="0" applyProtection="0"/>
  </cellStyleXfs>
  <cellXfs count="150">
    <xf numFmtId="0" fontId="0" fillId="0" borderId="0" xfId="0"/>
    <xf numFmtId="0" fontId="8"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10" fillId="2" borderId="0" xfId="2" applyFont="1" applyFill="1" applyAlignment="1">
      <alignment horizontal="left" vertical="top" indent="2"/>
    </xf>
    <xf numFmtId="0" fontId="11" fillId="2" borderId="0" xfId="2" applyFont="1" applyFill="1" applyAlignment="1">
      <alignment horizontal="left" vertical="top" indent="5"/>
    </xf>
    <xf numFmtId="0" fontId="10" fillId="3" borderId="1" xfId="2" applyFont="1" applyFill="1" applyBorder="1" applyAlignment="1">
      <alignment horizontal="left" vertical="top" indent="1"/>
    </xf>
    <xf numFmtId="0" fontId="10" fillId="2" borderId="0" xfId="2" applyFont="1" applyFill="1" applyAlignment="1">
      <alignment horizontal="left" vertical="center" indent="2"/>
    </xf>
    <xf numFmtId="0" fontId="11" fillId="2" borderId="0" xfId="2" applyFont="1" applyFill="1" applyAlignment="1">
      <alignment horizontal="left" vertical="center" indent="5"/>
    </xf>
    <xf numFmtId="165" fontId="12" fillId="4" borderId="0" xfId="0" applyNumberFormat="1" applyFont="1" applyFill="1" applyAlignment="1">
      <alignment horizontal="center" vertical="center" shrinkToFit="1"/>
    </xf>
    <xf numFmtId="0" fontId="10" fillId="2" borderId="0" xfId="2" applyFont="1" applyFill="1" applyAlignment="1">
      <alignment horizontal="center" vertical="center"/>
    </xf>
    <xf numFmtId="0" fontId="11" fillId="2" borderId="0" xfId="2" applyFont="1" applyFill="1" applyAlignment="1">
      <alignment horizontal="center" vertical="center"/>
    </xf>
    <xf numFmtId="0" fontId="10" fillId="3" borderId="1" xfId="2" applyFont="1" applyFill="1" applyBorder="1" applyAlignment="1">
      <alignment horizontal="center" vertical="center"/>
    </xf>
    <xf numFmtId="0" fontId="11" fillId="2" borderId="0" xfId="2" applyFont="1" applyFill="1" applyAlignment="1">
      <alignment horizontal="left" vertical="center" indent="2"/>
    </xf>
    <xf numFmtId="165" fontId="10" fillId="3" borderId="1" xfId="2" applyNumberFormat="1" applyFont="1" applyFill="1" applyBorder="1" applyAlignment="1">
      <alignment horizontal="center" vertical="center"/>
    </xf>
    <xf numFmtId="165" fontId="5" fillId="0" borderId="0" xfId="0" applyNumberFormat="1" applyFont="1" applyAlignment="1">
      <alignment horizontal="center" vertical="center"/>
    </xf>
    <xf numFmtId="165" fontId="11" fillId="2" borderId="0" xfId="2" applyNumberFormat="1" applyFont="1" applyFill="1" applyAlignment="1">
      <alignment horizontal="center" vertical="center"/>
    </xf>
    <xf numFmtId="165" fontId="8" fillId="0" borderId="0" xfId="0" applyNumberFormat="1" applyFont="1" applyAlignment="1">
      <alignment horizontal="center" vertical="center"/>
    </xf>
    <xf numFmtId="165" fontId="10" fillId="2" borderId="0" xfId="2" applyNumberFormat="1" applyFont="1" applyFill="1" applyAlignment="1">
      <alignment horizontal="center" vertical="center"/>
    </xf>
    <xf numFmtId="0" fontId="8" fillId="0" borderId="0" xfId="0" applyFont="1" applyAlignment="1">
      <alignment horizontal="left" vertical="center"/>
    </xf>
    <xf numFmtId="0" fontId="10" fillId="3" borderId="1" xfId="2" applyFont="1" applyFill="1" applyBorder="1" applyAlignment="1">
      <alignment horizontal="left" vertical="top"/>
    </xf>
    <xf numFmtId="3" fontId="12" fillId="3" borderId="1" xfId="2" applyNumberFormat="1" applyFont="1" applyFill="1" applyBorder="1" applyAlignment="1">
      <alignment horizontal="center" vertical="center" shrinkToFit="1"/>
    </xf>
    <xf numFmtId="0" fontId="2" fillId="0" borderId="0" xfId="0" applyFont="1" applyAlignment="1">
      <alignment horizontal="left" vertical="center"/>
    </xf>
    <xf numFmtId="3" fontId="10" fillId="3" borderId="1" xfId="2" applyNumberFormat="1" applyFont="1" applyFill="1" applyBorder="1" applyAlignment="1">
      <alignment horizontal="center" vertical="top"/>
    </xf>
    <xf numFmtId="0" fontId="13" fillId="0" borderId="0" xfId="0" applyFont="1" applyAlignment="1">
      <alignment horizontal="center" vertical="center"/>
    </xf>
    <xf numFmtId="3" fontId="5" fillId="0" borderId="0" xfId="0" applyNumberFormat="1" applyFont="1" applyAlignment="1">
      <alignment horizontal="center" vertical="center"/>
    </xf>
    <xf numFmtId="3" fontId="14" fillId="2" borderId="0" xfId="2" applyNumberFormat="1" applyFont="1" applyFill="1" applyAlignment="1">
      <alignment horizontal="center" vertical="center"/>
    </xf>
    <xf numFmtId="0" fontId="3" fillId="0" borderId="0" xfId="0" applyFont="1" applyAlignment="1">
      <alignment horizontal="left" vertical="center"/>
    </xf>
    <xf numFmtId="0" fontId="4" fillId="2" borderId="0" xfId="0" applyFont="1" applyFill="1" applyAlignment="1">
      <alignment horizontal="center" vertical="center"/>
    </xf>
    <xf numFmtId="1" fontId="7" fillId="2" borderId="0" xfId="2" applyNumberFormat="1" applyFont="1" applyFill="1" applyAlignment="1">
      <alignment horizontal="center" vertical="center" shrinkToFit="1"/>
    </xf>
    <xf numFmtId="0" fontId="5" fillId="2" borderId="0" xfId="0" applyFont="1" applyFill="1" applyAlignment="1">
      <alignment horizontal="center" vertical="center"/>
    </xf>
    <xf numFmtId="0" fontId="11" fillId="2" borderId="0" xfId="2" applyFont="1" applyFill="1" applyAlignment="1">
      <alignment horizontal="left" vertical="center"/>
    </xf>
    <xf numFmtId="10" fontId="5" fillId="0" borderId="0" xfId="0" applyNumberFormat="1" applyFont="1" applyAlignment="1">
      <alignment horizontal="center" vertical="center"/>
    </xf>
    <xf numFmtId="0" fontId="1" fillId="0" borderId="0" xfId="0" applyFont="1"/>
    <xf numFmtId="0" fontId="1" fillId="0" borderId="0" xfId="0" applyFont="1" applyAlignment="1">
      <alignment horizontal="left" vertical="center"/>
    </xf>
    <xf numFmtId="0" fontId="1" fillId="0" borderId="0" xfId="0" applyFon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2" fontId="5" fillId="0" borderId="0" xfId="0" applyNumberFormat="1" applyFont="1" applyAlignment="1">
      <alignment horizontal="center" vertical="center"/>
    </xf>
    <xf numFmtId="0" fontId="15" fillId="0" borderId="0" xfId="0" applyFont="1" applyAlignment="1">
      <alignment horizontal="center" vertical="center"/>
    </xf>
    <xf numFmtId="0" fontId="7" fillId="5" borderId="0" xfId="0" applyFont="1" applyFill="1" applyAlignment="1">
      <alignment horizontal="centerContinuous" vertical="center"/>
    </xf>
    <xf numFmtId="0" fontId="7" fillId="5" borderId="0" xfId="0" applyFont="1" applyFill="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9" fontId="1" fillId="0" borderId="0" xfId="0" applyNumberFormat="1" applyFont="1" applyAlignment="1">
      <alignment horizontal="center" vertical="center"/>
    </xf>
    <xf numFmtId="0" fontId="1" fillId="2" borderId="0" xfId="0" applyFont="1" applyFill="1" applyAlignment="1">
      <alignment horizontal="center" vertical="center"/>
    </xf>
    <xf numFmtId="0" fontId="16" fillId="0" borderId="0" xfId="3" applyAlignment="1">
      <alignment horizontal="left" vertical="center"/>
    </xf>
    <xf numFmtId="0" fontId="1" fillId="0" borderId="2" xfId="0" applyFont="1" applyBorder="1" applyAlignment="1">
      <alignment horizontal="center" vertical="center"/>
    </xf>
    <xf numFmtId="3" fontId="1" fillId="0" borderId="0" xfId="0" applyNumberFormat="1" applyFont="1" applyAlignment="1">
      <alignment horizontal="center" vertical="center"/>
    </xf>
    <xf numFmtId="4" fontId="1" fillId="0" borderId="0" xfId="0" applyNumberFormat="1" applyFont="1" applyAlignment="1">
      <alignment horizontal="center" vertical="center"/>
    </xf>
    <xf numFmtId="9" fontId="5" fillId="0" borderId="0" xfId="1" applyFont="1" applyAlignment="1">
      <alignment horizontal="center" vertical="center"/>
    </xf>
    <xf numFmtId="166" fontId="5" fillId="0" borderId="0" xfId="1" applyNumberFormat="1" applyFont="1" applyAlignment="1">
      <alignment horizontal="center" vertical="center"/>
    </xf>
    <xf numFmtId="166" fontId="7" fillId="2" borderId="0" xfId="1" applyNumberFormat="1" applyFont="1" applyFill="1" applyAlignment="1">
      <alignment horizontal="center" vertical="center" shrinkToFit="1"/>
    </xf>
    <xf numFmtId="0" fontId="16" fillId="0" borderId="0" xfId="3"/>
    <xf numFmtId="2" fontId="1" fillId="0" borderId="0" xfId="0" applyNumberFormat="1" applyFont="1"/>
    <xf numFmtId="0" fontId="8" fillId="0" borderId="0" xfId="0" applyFont="1" applyAlignment="1">
      <alignment vertical="center"/>
    </xf>
    <xf numFmtId="10" fontId="1" fillId="0" borderId="0" xfId="1" applyNumberFormat="1" applyFont="1"/>
    <xf numFmtId="0" fontId="17" fillId="0" borderId="0" xfId="0" applyFont="1" applyAlignment="1">
      <alignment horizontal="center" vertical="center"/>
    </xf>
    <xf numFmtId="9" fontId="1" fillId="0" borderId="0" xfId="1" applyFont="1"/>
    <xf numFmtId="10" fontId="1" fillId="0" borderId="0" xfId="0" applyNumberFormat="1" applyFont="1" applyAlignment="1">
      <alignment horizontal="center" vertical="center"/>
    </xf>
    <xf numFmtId="3" fontId="17" fillId="0" borderId="0" xfId="0" applyNumberFormat="1" applyFont="1" applyAlignment="1">
      <alignment horizontal="center" vertical="center"/>
    </xf>
    <xf numFmtId="165" fontId="1" fillId="0" borderId="0" xfId="0" applyNumberFormat="1" applyFont="1" applyAlignment="1">
      <alignment horizontal="center" vertical="center"/>
    </xf>
    <xf numFmtId="167" fontId="1" fillId="0" borderId="0" xfId="0" applyNumberFormat="1" applyFont="1" applyAlignment="1">
      <alignment horizontal="center" vertical="center"/>
    </xf>
    <xf numFmtId="168" fontId="1" fillId="0" borderId="0" xfId="0" applyNumberFormat="1" applyFont="1" applyAlignment="1">
      <alignment horizontal="center" vertical="center"/>
    </xf>
    <xf numFmtId="9" fontId="1" fillId="0" borderId="0" xfId="1" applyFont="1" applyAlignment="1">
      <alignment horizontal="center" vertical="center"/>
    </xf>
    <xf numFmtId="169" fontId="1" fillId="0" borderId="0" xfId="0" applyNumberFormat="1" applyFont="1" applyAlignment="1">
      <alignment horizontal="center" vertical="center"/>
    </xf>
    <xf numFmtId="3" fontId="8" fillId="0" borderId="0" xfId="0" applyNumberFormat="1" applyFont="1" applyAlignment="1">
      <alignment horizontal="center" vertical="center"/>
    </xf>
    <xf numFmtId="170" fontId="1" fillId="0" borderId="0" xfId="0" applyNumberFormat="1" applyFont="1" applyAlignment="1">
      <alignment horizontal="center" vertical="center"/>
    </xf>
    <xf numFmtId="0" fontId="8" fillId="2" borderId="0" xfId="0" applyFont="1" applyFill="1" applyAlignment="1">
      <alignment horizontal="center" vertical="center"/>
    </xf>
    <xf numFmtId="0" fontId="1" fillId="2" borderId="0" xfId="0" applyFont="1" applyFill="1"/>
    <xf numFmtId="0" fontId="8" fillId="2" borderId="0" xfId="0" applyFont="1" applyFill="1" applyAlignment="1">
      <alignment horizontal="right" vertical="center"/>
    </xf>
    <xf numFmtId="10" fontId="1" fillId="6" borderId="0" xfId="1" applyNumberFormat="1" applyFont="1" applyFill="1" applyAlignment="1">
      <alignment horizontal="center" vertical="center"/>
    </xf>
    <xf numFmtId="10" fontId="1" fillId="2" borderId="0" xfId="1" applyNumberFormat="1" applyFont="1" applyFill="1" applyAlignment="1">
      <alignment horizontal="center" vertical="center"/>
    </xf>
    <xf numFmtId="3" fontId="1" fillId="2" borderId="0" xfId="0" applyNumberFormat="1" applyFont="1" applyFill="1" applyAlignment="1">
      <alignment horizontal="center" vertical="center"/>
    </xf>
    <xf numFmtId="171" fontId="1" fillId="2" borderId="0" xfId="0" applyNumberFormat="1" applyFont="1" applyFill="1" applyAlignment="1">
      <alignment horizontal="center" vertical="center"/>
    </xf>
    <xf numFmtId="3" fontId="1" fillId="2" borderId="0" xfId="0" applyNumberFormat="1" applyFont="1" applyFill="1" applyAlignment="1">
      <alignment horizontal="center"/>
    </xf>
    <xf numFmtId="14" fontId="1" fillId="2" borderId="0" xfId="0" applyNumberFormat="1" applyFont="1" applyFill="1" applyAlignment="1">
      <alignment horizontal="center" vertical="center"/>
    </xf>
    <xf numFmtId="3" fontId="1" fillId="7" borderId="0" xfId="0" applyNumberFormat="1" applyFont="1" applyFill="1" applyAlignment="1">
      <alignment horizontal="center"/>
    </xf>
    <xf numFmtId="0" fontId="1" fillId="2" borderId="0" xfId="0" applyFont="1" applyFill="1" applyAlignment="1">
      <alignment horizontal="left"/>
    </xf>
    <xf numFmtId="4" fontId="1" fillId="2" borderId="0" xfId="0" applyNumberFormat="1" applyFont="1" applyFill="1" applyAlignment="1">
      <alignment horizontal="center" vertical="center"/>
    </xf>
    <xf numFmtId="172" fontId="1" fillId="0" borderId="0" xfId="0" applyNumberFormat="1" applyFont="1" applyAlignment="1">
      <alignment horizontal="center" vertical="center"/>
    </xf>
    <xf numFmtId="1" fontId="1" fillId="2" borderId="0" xfId="0" applyNumberFormat="1" applyFont="1" applyFill="1" applyAlignment="1">
      <alignment horizontal="center" vertical="center"/>
    </xf>
    <xf numFmtId="16" fontId="1" fillId="2" borderId="0" xfId="0" applyNumberFormat="1" applyFont="1" applyFill="1" applyAlignment="1">
      <alignment horizontal="center" vertical="center"/>
    </xf>
    <xf numFmtId="9" fontId="8" fillId="0" borderId="0" xfId="1" applyFont="1" applyAlignment="1">
      <alignment horizontal="center" vertical="center"/>
    </xf>
    <xf numFmtId="173" fontId="1" fillId="0" borderId="0" xfId="0" applyNumberFormat="1" applyFont="1" applyAlignment="1">
      <alignment horizontal="center" vertical="center"/>
    </xf>
    <xf numFmtId="174" fontId="1" fillId="0" borderId="0" xfId="0" applyNumberFormat="1" applyFont="1" applyAlignment="1">
      <alignment horizontal="center" vertical="center"/>
    </xf>
    <xf numFmtId="0" fontId="18" fillId="5" borderId="0" xfId="0" applyFont="1" applyFill="1" applyAlignment="1">
      <alignment horizontal="center" vertical="center"/>
    </xf>
    <xf numFmtId="0" fontId="18" fillId="5" borderId="0" xfId="0" applyFont="1" applyFill="1" applyAlignment="1">
      <alignment horizontal="right"/>
    </xf>
    <xf numFmtId="0" fontId="18" fillId="5" borderId="0" xfId="0" applyFont="1" applyFill="1" applyAlignment="1">
      <alignment horizontal="right" vertical="center"/>
    </xf>
    <xf numFmtId="175" fontId="1" fillId="0" borderId="0" xfId="1" applyNumberFormat="1" applyFont="1"/>
    <xf numFmtId="164" fontId="7" fillId="5" borderId="0" xfId="2" applyNumberFormat="1" applyFont="1" applyFill="1" applyAlignment="1">
      <alignment horizontal="center" vertical="center" shrinkToFit="1"/>
    </xf>
    <xf numFmtId="170" fontId="8" fillId="0" borderId="0" xfId="0" applyNumberFormat="1" applyFont="1" applyAlignment="1">
      <alignment horizontal="center" vertical="center"/>
    </xf>
    <xf numFmtId="166" fontId="1" fillId="0" borderId="0" xfId="1" applyNumberFormat="1" applyFont="1" applyAlignment="1">
      <alignment horizontal="center" vertical="center"/>
    </xf>
    <xf numFmtId="176" fontId="18" fillId="5" borderId="0" xfId="0" applyNumberFormat="1" applyFont="1" applyFill="1" applyAlignment="1">
      <alignment horizontal="center" vertical="center"/>
    </xf>
    <xf numFmtId="176" fontId="7" fillId="5" borderId="0" xfId="0" applyNumberFormat="1" applyFont="1" applyFill="1" applyAlignment="1">
      <alignment horizontal="center" vertical="center"/>
    </xf>
    <xf numFmtId="165" fontId="7" fillId="5" borderId="0" xfId="0" applyNumberFormat="1" applyFont="1" applyFill="1" applyAlignment="1">
      <alignment horizontal="center" vertical="center"/>
    </xf>
    <xf numFmtId="177" fontId="1"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165" fontId="19" fillId="0" borderId="0" xfId="0" applyNumberFormat="1" applyFont="1" applyAlignment="1">
      <alignment horizontal="center" vertical="center"/>
    </xf>
    <xf numFmtId="0" fontId="19"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vertical="center"/>
    </xf>
    <xf numFmtId="165" fontId="20" fillId="0" borderId="0" xfId="0" applyNumberFormat="1" applyFont="1" applyAlignment="1">
      <alignment horizontal="center" vertical="center"/>
    </xf>
    <xf numFmtId="0" fontId="21" fillId="0" borderId="0" xfId="0" applyFont="1" applyAlignment="1">
      <alignment horizontal="center" vertical="center"/>
    </xf>
    <xf numFmtId="0" fontId="21" fillId="0" borderId="0" xfId="0" applyFont="1" applyAlignment="1">
      <alignment vertical="center"/>
    </xf>
    <xf numFmtId="165" fontId="21" fillId="0" borderId="0" xfId="0" applyNumberFormat="1" applyFont="1" applyAlignment="1">
      <alignment horizontal="center" vertical="center"/>
    </xf>
    <xf numFmtId="166" fontId="21" fillId="0" borderId="0" xfId="1" applyNumberFormat="1" applyFont="1" applyAlignment="1">
      <alignment horizontal="center" vertical="center"/>
    </xf>
    <xf numFmtId="169" fontId="21" fillId="0" borderId="0" xfId="0" applyNumberFormat="1" applyFont="1" applyAlignment="1">
      <alignment horizontal="center" vertical="center"/>
    </xf>
    <xf numFmtId="9" fontId="21" fillId="0" borderId="0" xfId="0" applyNumberFormat="1" applyFont="1" applyAlignment="1">
      <alignment horizontal="center" vertical="center"/>
    </xf>
    <xf numFmtId="9" fontId="21" fillId="0" borderId="0" xfId="1" applyFont="1" applyAlignment="1">
      <alignment horizontal="center" vertical="center"/>
    </xf>
    <xf numFmtId="167" fontId="21" fillId="0" borderId="0" xfId="0" applyNumberFormat="1" applyFont="1" applyAlignment="1">
      <alignment horizontal="center" vertical="center"/>
    </xf>
    <xf numFmtId="166" fontId="1" fillId="0" borderId="0" xfId="0" applyNumberFormat="1" applyFont="1" applyAlignment="1">
      <alignment horizontal="center" vertical="center"/>
    </xf>
    <xf numFmtId="178" fontId="1" fillId="0" borderId="0" xfId="0" applyNumberFormat="1" applyFont="1" applyAlignment="1">
      <alignment horizontal="center" vertical="center"/>
    </xf>
    <xf numFmtId="179" fontId="1" fillId="0" borderId="0" xfId="0" applyNumberFormat="1" applyFont="1" applyAlignment="1">
      <alignment horizontal="center" vertical="center"/>
    </xf>
    <xf numFmtId="3" fontId="10" fillId="3" borderId="1" xfId="2" applyNumberFormat="1" applyFont="1" applyFill="1" applyBorder="1" applyAlignment="1">
      <alignment horizontal="center" vertical="center"/>
    </xf>
    <xf numFmtId="180" fontId="1" fillId="0" borderId="0" xfId="0" applyNumberFormat="1" applyFont="1" applyAlignment="1">
      <alignment horizontal="center" vertical="center"/>
    </xf>
    <xf numFmtId="0" fontId="18" fillId="0" borderId="0" xfId="0" applyFont="1" applyAlignment="1">
      <alignment horizontal="center" vertical="center"/>
    </xf>
    <xf numFmtId="0" fontId="21" fillId="0" borderId="0" xfId="0" applyFont="1" applyAlignment="1">
      <alignment horizontal="left" vertical="center"/>
    </xf>
    <xf numFmtId="8" fontId="1" fillId="0" borderId="0" xfId="0" applyNumberFormat="1" applyFont="1" applyAlignment="1">
      <alignment vertical="center"/>
    </xf>
    <xf numFmtId="10" fontId="1" fillId="0" borderId="0" xfId="0" applyNumberFormat="1" applyFont="1" applyAlignment="1">
      <alignment vertical="center"/>
    </xf>
    <xf numFmtId="0" fontId="8" fillId="0" borderId="3" xfId="0" applyFont="1" applyBorder="1" applyAlignment="1">
      <alignment horizontal="center" vertical="center"/>
    </xf>
    <xf numFmtId="166" fontId="1" fillId="0" borderId="0" xfId="1" applyNumberFormat="1" applyFont="1"/>
    <xf numFmtId="0" fontId="8" fillId="0" borderId="0" xfId="0" applyFont="1" applyAlignment="1">
      <alignment horizontal="center"/>
    </xf>
    <xf numFmtId="0" fontId="1" fillId="5" borderId="0" xfId="0" applyFont="1" applyFill="1" applyAlignment="1">
      <alignment horizontal="center" vertical="center"/>
    </xf>
    <xf numFmtId="0" fontId="1" fillId="5" borderId="0" xfId="0" applyFont="1" applyFill="1"/>
    <xf numFmtId="6" fontId="1" fillId="0" borderId="0" xfId="0" applyNumberFormat="1" applyFont="1" applyAlignment="1">
      <alignment horizontal="center" vertical="center"/>
    </xf>
    <xf numFmtId="0" fontId="1" fillId="0" borderId="0" xfId="0" applyFont="1" applyAlignment="1">
      <alignment horizontal="center" vertical="center" wrapText="1"/>
    </xf>
    <xf numFmtId="0" fontId="8" fillId="0" borderId="4" xfId="0" applyFont="1" applyBorder="1" applyAlignment="1">
      <alignment horizontal="center" vertical="center"/>
    </xf>
    <xf numFmtId="3" fontId="8" fillId="0" borderId="4" xfId="0" applyNumberFormat="1" applyFont="1" applyBorder="1" applyAlignment="1">
      <alignment horizontal="center" vertical="center"/>
    </xf>
    <xf numFmtId="0" fontId="23" fillId="0" borderId="0" xfId="0" applyFont="1"/>
    <xf numFmtId="0" fontId="24" fillId="0" borderId="0" xfId="0" applyFont="1" applyAlignment="1">
      <alignment horizontal="center" vertical="center"/>
    </xf>
    <xf numFmtId="0" fontId="12" fillId="0" borderId="3" xfId="0" applyFont="1" applyBorder="1" applyAlignment="1">
      <alignment horizontal="center" vertical="center"/>
    </xf>
    <xf numFmtId="181" fontId="1" fillId="0" borderId="0" xfId="0" applyNumberFormat="1" applyFont="1" applyAlignment="1">
      <alignment horizontal="center" vertical="center"/>
    </xf>
    <xf numFmtId="2" fontId="8" fillId="0" borderId="0" xfId="0" applyNumberFormat="1" applyFont="1" applyAlignment="1">
      <alignment horizontal="center" vertical="center"/>
    </xf>
    <xf numFmtId="0" fontId="8" fillId="0" borderId="2" xfId="0" applyFont="1" applyBorder="1" applyAlignment="1">
      <alignment horizontal="center" vertical="center"/>
    </xf>
    <xf numFmtId="0" fontId="1" fillId="0" borderId="5" xfId="0" applyFont="1" applyBorder="1"/>
    <xf numFmtId="9" fontId="1" fillId="0" borderId="3" xfId="0" applyNumberFormat="1" applyFont="1" applyBorder="1" applyAlignment="1">
      <alignment horizontal="center" vertical="center"/>
    </xf>
    <xf numFmtId="9" fontId="1" fillId="0" borderId="6" xfId="0" applyNumberFormat="1" applyFont="1" applyBorder="1" applyAlignment="1">
      <alignment horizontal="center" vertical="center"/>
    </xf>
    <xf numFmtId="9" fontId="1" fillId="0" borderId="5" xfId="0" applyNumberFormat="1" applyFont="1" applyBorder="1" applyAlignment="1">
      <alignment horizontal="center" vertical="center"/>
    </xf>
    <xf numFmtId="3" fontId="1" fillId="0" borderId="2" xfId="0" applyNumberFormat="1" applyFont="1" applyBorder="1" applyAlignment="1">
      <alignment horizontal="center" vertical="center"/>
    </xf>
    <xf numFmtId="9" fontId="8" fillId="0" borderId="0" xfId="0" applyNumberFormat="1" applyFont="1" applyAlignment="1">
      <alignment horizontal="center" vertical="center"/>
    </xf>
    <xf numFmtId="49" fontId="8" fillId="0" borderId="2" xfId="0" applyNumberFormat="1" applyFont="1" applyBorder="1" applyAlignment="1">
      <alignment horizontal="center" vertical="center"/>
    </xf>
    <xf numFmtId="3" fontId="1" fillId="0" borderId="0" xfId="0" applyNumberFormat="1" applyFont="1" applyAlignment="1">
      <alignment horizontal="center"/>
    </xf>
    <xf numFmtId="0" fontId="8" fillId="0" borderId="0" xfId="0" applyFont="1" applyAlignment="1">
      <alignment wrapText="1"/>
    </xf>
    <xf numFmtId="0" fontId="1" fillId="0" borderId="0" xfId="0" applyFont="1" applyAlignment="1">
      <alignment horizontal="center"/>
    </xf>
    <xf numFmtId="165" fontId="1" fillId="0" borderId="0" xfId="0" applyNumberFormat="1" applyFont="1" applyAlignment="1">
      <alignment horizontal="center"/>
    </xf>
    <xf numFmtId="182" fontId="1" fillId="0" borderId="0" xfId="0" applyNumberFormat="1" applyFont="1" applyAlignment="1">
      <alignment horizontal="center" vertical="center"/>
    </xf>
  </cellXfs>
  <cellStyles count="4">
    <cellStyle name="Hiperlink" xfId="3" builtinId="8"/>
    <cellStyle name="Normal" xfId="0" builtinId="0"/>
    <cellStyle name="Normal 2" xfId="2" xr:uid="{097EC823-A48F-48F3-9810-2E365F9DD7BF}"/>
    <cellStyle name="Porcentagem" xfId="1" builtinId="5"/>
  </cellStyles>
  <dxfs count="17">
    <dxf>
      <font>
        <b val="0"/>
        <i val="0"/>
        <color rgb="FFFF0000"/>
      </font>
    </dxf>
    <dxf>
      <font>
        <b val="0"/>
        <i val="0"/>
        <color rgb="FFFF0000"/>
      </font>
    </dxf>
    <dxf>
      <font>
        <b/>
        <i val="0"/>
        <color rgb="FFFF0000"/>
      </font>
    </dxf>
    <dxf>
      <font>
        <b val="0"/>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theme="4"/>
      </font>
    </dxf>
  </dxfs>
  <tableStyles count="0" defaultTableStyle="TableStyleMedium2" defaultPivotStyle="PivotStyleLight16"/>
  <colors>
    <mruColors>
      <color rgb="FF634832"/>
      <color rgb="FF302F2F"/>
      <color rgb="FF4532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'Ponto de Equilíbrio'!$B$2</c:f>
              <c:strCache>
                <c:ptCount val="1"/>
                <c:pt idx="0">
                  <c:v>Receita</c:v>
                </c:pt>
              </c:strCache>
            </c:strRef>
          </c:tx>
          <c:spPr>
            <a:ln w="28575" cap="rnd">
              <a:solidFill>
                <a:schemeClr val="accent1"/>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Equilíbrio'!$B$3:$B$9</c:f>
              <c:numCache>
                <c:formatCode>#,##0_);\(#,##0\)</c:formatCode>
                <c:ptCount val="7"/>
                <c:pt idx="0">
                  <c:v>0</c:v>
                </c:pt>
                <c:pt idx="1">
                  <c:v>2000</c:v>
                </c:pt>
                <c:pt idx="2">
                  <c:v>4000</c:v>
                </c:pt>
                <c:pt idx="3">
                  <c:v>6000</c:v>
                </c:pt>
                <c:pt idx="4">
                  <c:v>8000</c:v>
                </c:pt>
                <c:pt idx="5">
                  <c:v>10000</c:v>
                </c:pt>
                <c:pt idx="6">
                  <c:v>12000</c:v>
                </c:pt>
              </c:numCache>
            </c:numRef>
          </c:val>
          <c:smooth val="0"/>
          <c:extLst>
            <c:ext xmlns:c16="http://schemas.microsoft.com/office/drawing/2014/chart" uri="{C3380CC4-5D6E-409C-BE32-E72D297353CC}">
              <c16:uniqueId val="{00000000-6CAC-41AD-A059-1AAB7674BFE3}"/>
            </c:ext>
          </c:extLst>
        </c:ser>
        <c:ser>
          <c:idx val="1"/>
          <c:order val="1"/>
          <c:tx>
            <c:strRef>
              <c:f>'Ponto de Equilíbrio'!$C$2</c:f>
              <c:strCache>
                <c:ptCount val="1"/>
                <c:pt idx="0">
                  <c:v>Custo fixo</c:v>
                </c:pt>
              </c:strCache>
            </c:strRef>
          </c:tx>
          <c:spPr>
            <a:ln w="28575" cap="rnd">
              <a:solidFill>
                <a:schemeClr val="accent2"/>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Equilíbrio'!$C$3:$C$9</c:f>
              <c:numCache>
                <c:formatCode>#,##0_);\(#,##0\)</c:formatCode>
                <c:ptCount val="7"/>
                <c:pt idx="0">
                  <c:v>2000</c:v>
                </c:pt>
                <c:pt idx="1">
                  <c:v>2000</c:v>
                </c:pt>
                <c:pt idx="2">
                  <c:v>2000</c:v>
                </c:pt>
                <c:pt idx="3">
                  <c:v>2000</c:v>
                </c:pt>
                <c:pt idx="4">
                  <c:v>2000</c:v>
                </c:pt>
                <c:pt idx="5">
                  <c:v>2000</c:v>
                </c:pt>
                <c:pt idx="6">
                  <c:v>2000</c:v>
                </c:pt>
              </c:numCache>
            </c:numRef>
          </c:val>
          <c:smooth val="0"/>
          <c:extLst>
            <c:ext xmlns:c16="http://schemas.microsoft.com/office/drawing/2014/chart" uri="{C3380CC4-5D6E-409C-BE32-E72D297353CC}">
              <c16:uniqueId val="{00000001-6CAC-41AD-A059-1AAB7674BFE3}"/>
            </c:ext>
          </c:extLst>
        </c:ser>
        <c:ser>
          <c:idx val="2"/>
          <c:order val="2"/>
          <c:tx>
            <c:strRef>
              <c:f>'Ponto de Equilíbrio'!$D$2</c:f>
              <c:strCache>
                <c:ptCount val="1"/>
                <c:pt idx="0">
                  <c:v>Custo variável</c:v>
                </c:pt>
              </c:strCache>
            </c:strRef>
          </c:tx>
          <c:spPr>
            <a:ln w="28575" cap="rnd">
              <a:solidFill>
                <a:schemeClr val="accent6">
                  <a:lumMod val="75000"/>
                </a:schemeClr>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Equilíbrio'!$D$3:$D$9</c:f>
              <c:numCache>
                <c:formatCode>#,##0_);\(#,##0\)</c:formatCode>
                <c:ptCount val="7"/>
                <c:pt idx="0">
                  <c:v>0</c:v>
                </c:pt>
                <c:pt idx="1">
                  <c:v>1550</c:v>
                </c:pt>
                <c:pt idx="2">
                  <c:v>3100</c:v>
                </c:pt>
                <c:pt idx="3">
                  <c:v>4650</c:v>
                </c:pt>
                <c:pt idx="4">
                  <c:v>6200</c:v>
                </c:pt>
                <c:pt idx="5">
                  <c:v>7750</c:v>
                </c:pt>
                <c:pt idx="6">
                  <c:v>9300</c:v>
                </c:pt>
              </c:numCache>
            </c:numRef>
          </c:val>
          <c:smooth val="0"/>
          <c:extLst>
            <c:ext xmlns:c16="http://schemas.microsoft.com/office/drawing/2014/chart" uri="{C3380CC4-5D6E-409C-BE32-E72D297353CC}">
              <c16:uniqueId val="{00000002-6CAC-41AD-A059-1AAB7674BFE3}"/>
            </c:ext>
          </c:extLst>
        </c:ser>
        <c:ser>
          <c:idx val="3"/>
          <c:order val="3"/>
          <c:tx>
            <c:strRef>
              <c:f>'Ponto de Equilíbrio'!$E$2</c:f>
              <c:strCache>
                <c:ptCount val="1"/>
                <c:pt idx="0">
                  <c:v>Custo total</c:v>
                </c:pt>
              </c:strCache>
            </c:strRef>
          </c:tx>
          <c:spPr>
            <a:ln w="28575" cap="rnd">
              <a:solidFill>
                <a:schemeClr val="accent4"/>
              </a:solidFill>
              <a:round/>
            </a:ln>
            <a:effectLst/>
          </c:spPr>
          <c:marker>
            <c:symbol val="none"/>
          </c:marker>
          <c:cat>
            <c:numRef>
              <c:f>'Ponto de Equilíbrio'!$A$3:$A$9</c:f>
              <c:numCache>
                <c:formatCode>#,##0_);\(#,##0\)</c:formatCode>
                <c:ptCount val="7"/>
                <c:pt idx="0">
                  <c:v>0</c:v>
                </c:pt>
                <c:pt idx="1">
                  <c:v>50</c:v>
                </c:pt>
                <c:pt idx="2">
                  <c:v>100</c:v>
                </c:pt>
                <c:pt idx="3">
                  <c:v>150</c:v>
                </c:pt>
                <c:pt idx="4">
                  <c:v>200</c:v>
                </c:pt>
                <c:pt idx="5">
                  <c:v>250</c:v>
                </c:pt>
                <c:pt idx="6">
                  <c:v>300</c:v>
                </c:pt>
              </c:numCache>
            </c:numRef>
          </c:cat>
          <c:val>
            <c:numRef>
              <c:f>'Ponto de Equilíbrio'!$E$3:$E$9</c:f>
              <c:numCache>
                <c:formatCode>#,##0_);\(#,##0\)</c:formatCode>
                <c:ptCount val="7"/>
                <c:pt idx="0">
                  <c:v>2000</c:v>
                </c:pt>
                <c:pt idx="1">
                  <c:v>3550</c:v>
                </c:pt>
                <c:pt idx="2">
                  <c:v>5100</c:v>
                </c:pt>
                <c:pt idx="3">
                  <c:v>6650</c:v>
                </c:pt>
                <c:pt idx="4">
                  <c:v>8200</c:v>
                </c:pt>
                <c:pt idx="5">
                  <c:v>9750</c:v>
                </c:pt>
                <c:pt idx="6">
                  <c:v>11300</c:v>
                </c:pt>
              </c:numCache>
            </c:numRef>
          </c:val>
          <c:smooth val="0"/>
          <c:extLst>
            <c:ext xmlns:c16="http://schemas.microsoft.com/office/drawing/2014/chart" uri="{C3380CC4-5D6E-409C-BE32-E72D297353CC}">
              <c16:uniqueId val="{00000003-6CAC-41AD-A059-1AAB7674BFE3}"/>
            </c:ext>
          </c:extLst>
        </c:ser>
        <c:dLbls>
          <c:showLegendKey val="0"/>
          <c:showVal val="0"/>
          <c:showCatName val="0"/>
          <c:showSerName val="0"/>
          <c:showPercent val="0"/>
          <c:showBubbleSize val="0"/>
        </c:dLbls>
        <c:smooth val="0"/>
        <c:axId val="643544840"/>
        <c:axId val="643540248"/>
      </c:lineChart>
      <c:catAx>
        <c:axId val="643544840"/>
        <c:scaling>
          <c:orientation val="minMax"/>
        </c:scaling>
        <c:delete val="0"/>
        <c:axPos val="b"/>
        <c:numFmt formatCode="#,##0_);\(#,##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pt-BR"/>
          </a:p>
        </c:txPr>
        <c:crossAx val="643540248"/>
        <c:crosses val="autoZero"/>
        <c:auto val="1"/>
        <c:lblAlgn val="ctr"/>
        <c:lblOffset val="100"/>
        <c:noMultiLvlLbl val="0"/>
      </c:catAx>
      <c:valAx>
        <c:axId val="643540248"/>
        <c:scaling>
          <c:orientation val="minMax"/>
        </c:scaling>
        <c:delete val="0"/>
        <c:axPos val="l"/>
        <c:majorGridlines>
          <c:spPr>
            <a:ln w="6350" cap="flat" cmpd="sng" algn="ctr">
              <a:solidFill>
                <a:schemeClr val="bg1">
                  <a:lumMod val="50000"/>
                  <a:alpha val="70000"/>
                </a:schemeClr>
              </a:solidFill>
              <a:prstDash val="sysDash"/>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pt-BR"/>
          </a:p>
        </c:txPr>
        <c:crossAx val="64354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pt-BR"/>
        </a:p>
      </c:txPr>
    </c:legend>
    <c:plotVisOnly val="1"/>
    <c:dispBlanksAs val="gap"/>
    <c:showDLblsOverMax val="0"/>
  </c:chart>
  <c:spPr>
    <a:solidFill>
      <a:srgbClr val="302F2F"/>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304800</xdr:colOff>
      <xdr:row>10</xdr:row>
      <xdr:rowOff>166687</xdr:rowOff>
    </xdr:from>
    <xdr:to>
      <xdr:col>7</xdr:col>
      <xdr:colOff>742950</xdr:colOff>
      <xdr:row>34</xdr:row>
      <xdr:rowOff>104775</xdr:rowOff>
    </xdr:to>
    <xdr:graphicFrame macro="">
      <xdr:nvGraphicFramePr>
        <xdr:cNvPr id="2" name="Gráfico 1">
          <a:extLst>
            <a:ext uri="{FF2B5EF4-FFF2-40B4-BE49-F238E27FC236}">
              <a16:creationId xmlns:a16="http://schemas.microsoft.com/office/drawing/2014/main" id="{942976C0-89A2-4C15-8A0E-E6524FA8C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dme-pc.com.br/atendimento/tarifa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vivareal.com.br/imovel/galpao-deposito-armazem-passo-da-areia-bairros-porto-alegre-com-garagem-200m2-aluguel-RS4200-id-2873782497/?source=ranking%2C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62"/>
  <sheetViews>
    <sheetView showGridLines="0" topLeftCell="A16" zoomScaleNormal="100" workbookViewId="0">
      <selection activeCell="D143" sqref="D143"/>
    </sheetView>
  </sheetViews>
  <sheetFormatPr defaultColWidth="9.109375" defaultRowHeight="13.8" outlineLevelRow="1" x14ac:dyDescent="0.3"/>
  <cols>
    <col min="1" max="1" width="2.33203125" style="5" customWidth="1"/>
    <col min="2" max="2" width="57.33203125" style="2" bestFit="1" customWidth="1"/>
    <col min="3" max="3" width="3.109375" style="5" customWidth="1"/>
    <col min="4" max="18" width="11.88671875" style="2" customWidth="1"/>
    <col min="19" max="19" width="11.88671875" style="2" bestFit="1" customWidth="1"/>
    <col min="20" max="16384" width="9.109375" style="2"/>
  </cols>
  <sheetData>
    <row r="1" spans="1:26" x14ac:dyDescent="0.3">
      <c r="A1" s="44"/>
      <c r="B1" s="21" t="s">
        <v>43</v>
      </c>
      <c r="C1" s="2"/>
      <c r="D1" s="3"/>
      <c r="F1" s="1" t="s">
        <v>0</v>
      </c>
      <c r="G1" s="2">
        <v>2025</v>
      </c>
      <c r="I1" s="1" t="s">
        <v>6</v>
      </c>
      <c r="J1" s="44" t="s">
        <v>146</v>
      </c>
    </row>
    <row r="3" spans="1:26" x14ac:dyDescent="0.3">
      <c r="A3" s="3" t="s">
        <v>1</v>
      </c>
      <c r="B3" s="43" t="s">
        <v>2</v>
      </c>
      <c r="C3" s="42"/>
      <c r="D3" s="92">
        <f>$G$1</f>
        <v>2025</v>
      </c>
      <c r="E3" s="92">
        <f t="shared" ref="E3:R3" si="0">D3+1</f>
        <v>2026</v>
      </c>
      <c r="F3" s="92">
        <f t="shared" si="0"/>
        <v>2027</v>
      </c>
      <c r="G3" s="92">
        <f t="shared" si="0"/>
        <v>2028</v>
      </c>
      <c r="H3" s="92">
        <f t="shared" si="0"/>
        <v>2029</v>
      </c>
      <c r="I3" s="92">
        <f t="shared" si="0"/>
        <v>2030</v>
      </c>
      <c r="J3" s="92">
        <f t="shared" si="0"/>
        <v>2031</v>
      </c>
      <c r="K3" s="92">
        <f t="shared" si="0"/>
        <v>2032</v>
      </c>
      <c r="L3" s="92">
        <f t="shared" si="0"/>
        <v>2033</v>
      </c>
      <c r="M3" s="92">
        <f t="shared" si="0"/>
        <v>2034</v>
      </c>
      <c r="N3" s="92">
        <f t="shared" si="0"/>
        <v>2035</v>
      </c>
      <c r="O3" s="92">
        <f t="shared" si="0"/>
        <v>2036</v>
      </c>
      <c r="P3" s="92">
        <f t="shared" si="0"/>
        <v>2037</v>
      </c>
      <c r="Q3" s="92">
        <f t="shared" si="0"/>
        <v>2038</v>
      </c>
      <c r="R3" s="92">
        <f t="shared" si="0"/>
        <v>2039</v>
      </c>
    </row>
    <row r="4" spans="1:26" s="32" customFormat="1" x14ac:dyDescent="0.3">
      <c r="A4" s="30"/>
      <c r="B4" s="31"/>
      <c r="C4" s="31"/>
      <c r="D4" s="54"/>
      <c r="E4" s="54"/>
      <c r="F4" s="54"/>
      <c r="G4" s="54"/>
      <c r="H4" s="54"/>
      <c r="I4" s="54"/>
      <c r="J4" s="54"/>
      <c r="K4" s="54"/>
      <c r="L4" s="54"/>
      <c r="M4" s="54"/>
      <c r="N4" s="54"/>
      <c r="O4" s="54"/>
      <c r="P4" s="54"/>
      <c r="Q4" s="54"/>
      <c r="R4" s="54"/>
      <c r="T4" s="47" t="s">
        <v>119</v>
      </c>
    </row>
    <row r="5" spans="1:26" x14ac:dyDescent="0.3">
      <c r="A5" s="2"/>
      <c r="B5" s="4" t="s">
        <v>27</v>
      </c>
      <c r="C5" s="2"/>
      <c r="D5" s="53"/>
      <c r="E5" s="53">
        <v>-1</v>
      </c>
      <c r="F5" s="53" t="s">
        <v>229</v>
      </c>
      <c r="G5" s="53" t="s">
        <v>229</v>
      </c>
      <c r="H5" s="53" t="s">
        <v>229</v>
      </c>
      <c r="I5" s="53"/>
      <c r="J5" s="53"/>
      <c r="K5" s="53"/>
      <c r="L5" s="53"/>
      <c r="M5" s="53"/>
      <c r="N5" s="53"/>
      <c r="O5" s="53"/>
      <c r="P5" s="53"/>
      <c r="Q5" s="53"/>
      <c r="R5" s="53"/>
    </row>
    <row r="6" spans="1:26" x14ac:dyDescent="0.3">
      <c r="A6" s="2"/>
      <c r="B6" s="36" t="s">
        <v>199</v>
      </c>
      <c r="C6" s="2"/>
      <c r="D6" s="53">
        <f>Precificação!$C$26</f>
        <v>7.8E-2</v>
      </c>
      <c r="E6" s="53"/>
      <c r="F6" s="53"/>
      <c r="G6" s="53"/>
      <c r="H6" s="53"/>
      <c r="I6" s="53"/>
      <c r="J6" s="53"/>
      <c r="K6" s="53"/>
      <c r="L6" s="53"/>
      <c r="M6" s="53"/>
      <c r="N6" s="53"/>
      <c r="O6" s="53"/>
      <c r="P6" s="53"/>
      <c r="Q6" s="53"/>
      <c r="R6" s="53"/>
      <c r="U6" s="44"/>
      <c r="V6" s="44"/>
      <c r="W6" s="44"/>
      <c r="X6" s="44"/>
      <c r="Y6" s="44"/>
      <c r="Z6" s="44"/>
    </row>
    <row r="7" spans="1:26" x14ac:dyDescent="0.3">
      <c r="A7" s="2"/>
      <c r="B7" s="36" t="s">
        <v>128</v>
      </c>
      <c r="C7" s="2"/>
      <c r="D7" s="53">
        <v>0.01</v>
      </c>
      <c r="E7" s="53"/>
      <c r="F7" s="53"/>
      <c r="G7" s="53"/>
      <c r="H7" s="53"/>
      <c r="I7" s="53"/>
      <c r="J7" s="53"/>
      <c r="K7" s="53"/>
      <c r="L7" s="53"/>
      <c r="M7" s="53"/>
      <c r="N7" s="53"/>
      <c r="O7" s="53"/>
      <c r="P7" s="53"/>
      <c r="Q7" s="53"/>
      <c r="R7" s="53"/>
      <c r="U7" s="44"/>
      <c r="V7" s="44"/>
      <c r="W7" s="44"/>
      <c r="X7" s="44"/>
      <c r="Y7" s="44"/>
      <c r="Z7" s="44"/>
    </row>
    <row r="8" spans="1:26" x14ac:dyDescent="0.3">
      <c r="A8" s="2"/>
      <c r="B8" s="4" t="s">
        <v>24</v>
      </c>
      <c r="C8" s="2"/>
      <c r="D8" s="53">
        <f ca="1">-Precificação!$D$5/Precificação!$D$2</f>
        <v>0.46752445778937973</v>
      </c>
      <c r="E8" s="53"/>
      <c r="F8" s="53"/>
      <c r="G8" s="53"/>
      <c r="H8" s="53"/>
      <c r="I8" s="53"/>
      <c r="J8" s="53"/>
      <c r="K8" s="53"/>
      <c r="L8" s="53"/>
      <c r="M8" s="53"/>
      <c r="N8" s="53"/>
      <c r="O8" s="53"/>
      <c r="P8" s="53"/>
      <c r="Q8" s="53"/>
      <c r="R8" s="53"/>
      <c r="U8" s="44"/>
      <c r="V8" s="44"/>
      <c r="W8" s="44"/>
      <c r="X8" s="44"/>
      <c r="Y8" s="44"/>
      <c r="Z8" s="44"/>
    </row>
    <row r="9" spans="1:26" x14ac:dyDescent="0.3">
      <c r="A9" s="2"/>
      <c r="B9" s="4" t="s">
        <v>73</v>
      </c>
      <c r="C9" s="2"/>
      <c r="D9" s="53">
        <f ca="1">-Precificação!$D$6/Precificação!$D$2</f>
        <v>0.35604892556804985</v>
      </c>
      <c r="E9" s="53"/>
      <c r="F9" s="53"/>
      <c r="G9" s="53"/>
      <c r="H9" s="53"/>
      <c r="I9" s="53"/>
      <c r="J9" s="53"/>
      <c r="K9" s="53"/>
      <c r="L9" s="53"/>
      <c r="M9" s="53"/>
      <c r="N9" s="53"/>
      <c r="O9" s="53"/>
      <c r="P9" s="53"/>
      <c r="Q9" s="53"/>
      <c r="R9" s="53"/>
      <c r="U9" s="44"/>
      <c r="V9" s="44"/>
      <c r="W9" s="44"/>
      <c r="X9" s="44"/>
      <c r="Y9" s="44"/>
      <c r="Z9" s="44"/>
    </row>
    <row r="10" spans="1:26" x14ac:dyDescent="0.3">
      <c r="A10" s="2"/>
      <c r="B10" s="4" t="s">
        <v>3</v>
      </c>
      <c r="C10" s="2"/>
      <c r="D10" s="53">
        <f>Precificação!C25</f>
        <v>0</v>
      </c>
      <c r="E10" s="53"/>
      <c r="F10" s="53"/>
      <c r="G10" s="53"/>
      <c r="H10" s="53"/>
      <c r="I10" s="53"/>
      <c r="J10" s="53"/>
      <c r="K10" s="53"/>
      <c r="L10" s="53"/>
      <c r="M10" s="53"/>
      <c r="N10" s="53"/>
      <c r="O10" s="53"/>
      <c r="P10" s="53"/>
      <c r="Q10" s="53"/>
      <c r="R10" s="53"/>
      <c r="U10" s="44"/>
      <c r="V10" s="44"/>
      <c r="W10" s="44"/>
      <c r="X10" s="44"/>
      <c r="Y10" s="44"/>
      <c r="Z10" s="44"/>
    </row>
    <row r="11" spans="1:26" x14ac:dyDescent="0.3">
      <c r="A11" s="2"/>
      <c r="B11" s="36" t="s">
        <v>4</v>
      </c>
      <c r="C11" s="2"/>
      <c r="D11" s="53"/>
      <c r="E11" s="53"/>
      <c r="F11" s="53"/>
      <c r="G11" s="53"/>
      <c r="H11" s="53"/>
      <c r="I11" s="53"/>
      <c r="J11" s="53"/>
      <c r="K11" s="53"/>
      <c r="L11" s="53"/>
      <c r="M11" s="53"/>
      <c r="N11" s="53"/>
      <c r="O11" s="53"/>
      <c r="P11" s="53"/>
      <c r="Q11" s="53"/>
      <c r="R11" s="53"/>
      <c r="U11" s="44"/>
      <c r="V11" s="44"/>
      <c r="W11" s="44"/>
      <c r="X11" s="44"/>
      <c r="Y11" s="44"/>
      <c r="Z11" s="44"/>
    </row>
    <row r="12" spans="1:26" x14ac:dyDescent="0.3">
      <c r="A12" s="2"/>
      <c r="B12" s="4" t="s">
        <v>94</v>
      </c>
      <c r="C12" s="2"/>
      <c r="D12" s="53"/>
      <c r="E12" s="53"/>
      <c r="F12" s="53"/>
      <c r="G12" s="53"/>
      <c r="H12" s="53"/>
      <c r="I12" s="53"/>
      <c r="J12" s="53"/>
      <c r="K12" s="53"/>
      <c r="L12" s="53"/>
      <c r="M12" s="53"/>
      <c r="N12" s="53"/>
      <c r="O12" s="53"/>
      <c r="P12" s="53"/>
      <c r="Q12" s="53"/>
      <c r="R12" s="53"/>
      <c r="U12" s="44"/>
      <c r="V12" s="44"/>
      <c r="W12" s="44"/>
      <c r="X12" s="44"/>
      <c r="Y12" s="44"/>
      <c r="Z12" s="44"/>
    </row>
    <row r="13" spans="1:26" x14ac:dyDescent="0.3">
      <c r="A13" s="2"/>
      <c r="B13" s="4" t="s">
        <v>28</v>
      </c>
      <c r="C13" s="2"/>
      <c r="D13" s="17"/>
      <c r="E13" s="17"/>
      <c r="F13" s="17"/>
      <c r="G13" s="17"/>
      <c r="H13" s="17"/>
      <c r="I13" s="17"/>
      <c r="J13" s="17"/>
      <c r="K13" s="17"/>
      <c r="L13" s="17"/>
      <c r="M13" s="17"/>
      <c r="N13" s="17"/>
      <c r="O13" s="17"/>
      <c r="P13" s="17"/>
      <c r="Q13" s="17"/>
      <c r="R13" s="17"/>
      <c r="U13" s="44"/>
      <c r="V13" s="46"/>
      <c r="W13" s="46"/>
      <c r="X13" s="46"/>
      <c r="Y13" s="46"/>
      <c r="Z13" s="46"/>
    </row>
    <row r="14" spans="1:26" x14ac:dyDescent="0.3">
      <c r="A14" s="2"/>
      <c r="B14" s="4" t="s">
        <v>29</v>
      </c>
      <c r="C14" s="2"/>
      <c r="D14" s="17"/>
      <c r="E14" s="17"/>
      <c r="F14" s="17"/>
      <c r="G14" s="17"/>
      <c r="H14" s="17"/>
      <c r="I14" s="17"/>
      <c r="J14" s="17"/>
      <c r="K14" s="17"/>
      <c r="L14" s="17"/>
      <c r="M14" s="17"/>
      <c r="N14" s="17"/>
      <c r="O14" s="17"/>
      <c r="P14" s="17"/>
      <c r="Q14" s="17"/>
      <c r="R14" s="17"/>
    </row>
    <row r="15" spans="1:26" x14ac:dyDescent="0.3">
      <c r="A15" s="2"/>
      <c r="B15" s="4" t="s">
        <v>30</v>
      </c>
      <c r="C15" s="2"/>
      <c r="D15" s="17"/>
      <c r="E15" s="17"/>
      <c r="F15" s="17"/>
      <c r="G15" s="17"/>
      <c r="H15" s="17"/>
      <c r="I15" s="17"/>
      <c r="J15" s="17"/>
      <c r="K15" s="17"/>
      <c r="L15" s="17"/>
      <c r="M15" s="17"/>
      <c r="N15" s="17"/>
      <c r="O15" s="17"/>
      <c r="P15" s="17"/>
      <c r="Q15" s="17"/>
      <c r="R15" s="17"/>
    </row>
    <row r="16" spans="1:26" x14ac:dyDescent="0.3">
      <c r="A16" s="2"/>
      <c r="B16" s="36" t="s">
        <v>134</v>
      </c>
      <c r="C16" s="2"/>
      <c r="D16" s="17"/>
      <c r="E16" s="17"/>
      <c r="F16" s="17"/>
      <c r="G16" s="17"/>
      <c r="H16" s="17"/>
      <c r="I16" s="17"/>
      <c r="J16" s="17"/>
      <c r="K16" s="17"/>
      <c r="L16" s="17"/>
      <c r="M16" s="17"/>
      <c r="N16" s="17"/>
      <c r="O16" s="17"/>
      <c r="P16" s="17"/>
      <c r="Q16" s="17"/>
      <c r="R16" s="17"/>
    </row>
    <row r="17" spans="1:18" x14ac:dyDescent="0.3">
      <c r="A17" s="2"/>
      <c r="B17" s="4" t="s">
        <v>5</v>
      </c>
      <c r="C17" s="2"/>
      <c r="D17" s="17"/>
      <c r="E17" s="17"/>
      <c r="F17" s="17"/>
      <c r="G17" s="17"/>
      <c r="H17" s="17"/>
      <c r="I17" s="17"/>
      <c r="J17" s="17"/>
      <c r="K17" s="17"/>
      <c r="L17" s="17"/>
      <c r="M17" s="17"/>
      <c r="N17" s="17"/>
      <c r="O17" s="17"/>
      <c r="P17" s="17"/>
      <c r="Q17" s="17"/>
      <c r="R17" s="17"/>
    </row>
    <row r="18" spans="1:18" x14ac:dyDescent="0.3">
      <c r="A18" s="2"/>
      <c r="B18" s="4" t="s">
        <v>31</v>
      </c>
      <c r="C18" s="2"/>
      <c r="D18" s="17"/>
      <c r="E18" s="17"/>
      <c r="F18" s="17"/>
      <c r="G18" s="17"/>
      <c r="H18" s="17"/>
      <c r="I18" s="17"/>
      <c r="J18" s="17"/>
      <c r="K18" s="17"/>
      <c r="L18" s="17"/>
      <c r="M18" s="17"/>
      <c r="N18" s="17"/>
      <c r="O18" s="17"/>
      <c r="P18" s="17"/>
      <c r="Q18" s="17"/>
      <c r="R18" s="17"/>
    </row>
    <row r="19" spans="1:18" s="50" customFormat="1" x14ac:dyDescent="0.3">
      <c r="A19" s="2"/>
      <c r="B19" s="36" t="s">
        <v>125</v>
      </c>
      <c r="C19" s="44"/>
      <c r="D19" s="50">
        <f>Precificação!B5*12</f>
        <v>8640</v>
      </c>
    </row>
    <row r="20" spans="1:18" x14ac:dyDescent="0.3">
      <c r="A20" s="2"/>
      <c r="B20" s="36" t="s">
        <v>126</v>
      </c>
      <c r="C20" s="44"/>
      <c r="D20" s="50">
        <f ca="1">Precificação!B34</f>
        <v>46.859699402988575</v>
      </c>
      <c r="E20" s="44"/>
      <c r="F20" s="44"/>
      <c r="G20" s="44"/>
      <c r="H20" s="17"/>
      <c r="I20" s="17"/>
      <c r="J20" s="17"/>
      <c r="K20" s="17"/>
      <c r="L20" s="17"/>
      <c r="M20" s="17"/>
      <c r="N20" s="17"/>
      <c r="O20" s="17"/>
      <c r="P20" s="17"/>
      <c r="Q20" s="17"/>
      <c r="R20" s="17"/>
    </row>
    <row r="21" spans="1:18" x14ac:dyDescent="0.3">
      <c r="A21" s="2"/>
      <c r="B21" s="36" t="s">
        <v>137</v>
      </c>
      <c r="C21" s="44"/>
      <c r="D21" s="44">
        <f>'Investimento Inicial'!C5</f>
        <v>45</v>
      </c>
      <c r="E21" s="44"/>
      <c r="F21" s="44"/>
      <c r="G21" s="44"/>
      <c r="H21" s="17"/>
      <c r="I21" s="17"/>
      <c r="J21" s="17"/>
      <c r="K21" s="17"/>
      <c r="L21" s="17"/>
      <c r="M21" s="17"/>
      <c r="N21" s="17"/>
      <c r="O21" s="17"/>
      <c r="P21" s="17"/>
      <c r="Q21" s="17"/>
      <c r="R21" s="17"/>
    </row>
    <row r="22" spans="1:18" s="51" customFormat="1" x14ac:dyDescent="0.3">
      <c r="A22" s="2"/>
      <c r="B22" s="36" t="s">
        <v>130</v>
      </c>
      <c r="C22" s="44"/>
      <c r="D22" s="51">
        <f>Precificação!B4*60</f>
        <v>3100</v>
      </c>
      <c r="E22" s="51">
        <f t="shared" ref="E22:R22" si="1">D22</f>
        <v>3100</v>
      </c>
      <c r="F22" s="51">
        <f t="shared" si="1"/>
        <v>3100</v>
      </c>
      <c r="G22" s="51">
        <f t="shared" si="1"/>
        <v>3100</v>
      </c>
      <c r="H22" s="51">
        <f t="shared" si="1"/>
        <v>3100</v>
      </c>
      <c r="I22" s="51">
        <f t="shared" si="1"/>
        <v>3100</v>
      </c>
      <c r="J22" s="51">
        <f t="shared" si="1"/>
        <v>3100</v>
      </c>
      <c r="K22" s="51">
        <f t="shared" si="1"/>
        <v>3100</v>
      </c>
      <c r="L22" s="51">
        <f t="shared" si="1"/>
        <v>3100</v>
      </c>
      <c r="M22" s="51">
        <f t="shared" si="1"/>
        <v>3100</v>
      </c>
      <c r="N22" s="51">
        <f t="shared" si="1"/>
        <v>3100</v>
      </c>
      <c r="O22" s="51">
        <f t="shared" si="1"/>
        <v>3100</v>
      </c>
      <c r="P22" s="51">
        <f t="shared" si="1"/>
        <v>3100</v>
      </c>
      <c r="Q22" s="51">
        <f t="shared" si="1"/>
        <v>3100</v>
      </c>
      <c r="R22" s="51">
        <f t="shared" si="1"/>
        <v>3100</v>
      </c>
    </row>
    <row r="23" spans="1:18" x14ac:dyDescent="0.3">
      <c r="A23" s="2"/>
      <c r="B23" s="4"/>
      <c r="C23" s="45"/>
      <c r="D23" s="45"/>
      <c r="E23" s="45"/>
      <c r="F23" s="45"/>
      <c r="G23" s="45"/>
      <c r="H23" s="17"/>
      <c r="I23" s="17"/>
      <c r="J23" s="17"/>
      <c r="K23" s="17"/>
      <c r="L23" s="17"/>
      <c r="M23" s="17"/>
      <c r="N23" s="17"/>
      <c r="O23" s="17"/>
      <c r="P23" s="17"/>
      <c r="Q23" s="17"/>
      <c r="R23" s="17"/>
    </row>
    <row r="24" spans="1:18" x14ac:dyDescent="0.3">
      <c r="A24" s="4" t="s">
        <v>1</v>
      </c>
      <c r="B24" s="43" t="s">
        <v>7</v>
      </c>
      <c r="C24" s="42"/>
      <c r="D24" s="92">
        <f>$G$1</f>
        <v>2025</v>
      </c>
      <c r="E24" s="92">
        <f t="shared" ref="E24:R24" si="2">D24+1</f>
        <v>2026</v>
      </c>
      <c r="F24" s="92">
        <f t="shared" si="2"/>
        <v>2027</v>
      </c>
      <c r="G24" s="92">
        <f t="shared" si="2"/>
        <v>2028</v>
      </c>
      <c r="H24" s="92">
        <f t="shared" si="2"/>
        <v>2029</v>
      </c>
      <c r="I24" s="92">
        <f t="shared" si="2"/>
        <v>2030</v>
      </c>
      <c r="J24" s="92">
        <f t="shared" si="2"/>
        <v>2031</v>
      </c>
      <c r="K24" s="92">
        <f t="shared" si="2"/>
        <v>2032</v>
      </c>
      <c r="L24" s="92">
        <f t="shared" si="2"/>
        <v>2033</v>
      </c>
      <c r="M24" s="92">
        <f t="shared" si="2"/>
        <v>2034</v>
      </c>
      <c r="N24" s="92">
        <f t="shared" si="2"/>
        <v>2035</v>
      </c>
      <c r="O24" s="92">
        <f t="shared" si="2"/>
        <v>2036</v>
      </c>
      <c r="P24" s="92">
        <f t="shared" si="2"/>
        <v>2037</v>
      </c>
      <c r="Q24" s="92">
        <f t="shared" si="2"/>
        <v>2038</v>
      </c>
      <c r="R24" s="92">
        <f t="shared" si="2"/>
        <v>2039</v>
      </c>
    </row>
    <row r="26" spans="1:18" x14ac:dyDescent="0.3">
      <c r="B26" s="22" t="s">
        <v>25</v>
      </c>
      <c r="C26" s="14"/>
      <c r="D26" s="16">
        <f t="shared" ref="D26:R26" ca="1" si="3">D19*D20</f>
        <v>404867.80284182128</v>
      </c>
      <c r="E26" s="16">
        <f t="shared" si="3"/>
        <v>0</v>
      </c>
      <c r="F26" s="16">
        <f t="shared" si="3"/>
        <v>0</v>
      </c>
      <c r="G26" s="16">
        <f t="shared" si="3"/>
        <v>0</v>
      </c>
      <c r="H26" s="16">
        <f t="shared" si="3"/>
        <v>0</v>
      </c>
      <c r="I26" s="16">
        <f t="shared" si="3"/>
        <v>0</v>
      </c>
      <c r="J26" s="16">
        <f t="shared" si="3"/>
        <v>0</v>
      </c>
      <c r="K26" s="16">
        <f t="shared" si="3"/>
        <v>0</v>
      </c>
      <c r="L26" s="16">
        <f t="shared" si="3"/>
        <v>0</v>
      </c>
      <c r="M26" s="16">
        <f t="shared" si="3"/>
        <v>0</v>
      </c>
      <c r="N26" s="16">
        <f t="shared" si="3"/>
        <v>0</v>
      </c>
      <c r="O26" s="16">
        <f t="shared" si="3"/>
        <v>0</v>
      </c>
      <c r="P26" s="16">
        <f t="shared" si="3"/>
        <v>0</v>
      </c>
      <c r="Q26" s="16">
        <f t="shared" si="3"/>
        <v>0</v>
      </c>
      <c r="R26" s="16">
        <f t="shared" si="3"/>
        <v>0</v>
      </c>
    </row>
    <row r="27" spans="1:18" x14ac:dyDescent="0.3">
      <c r="B27" s="6" t="s">
        <v>8</v>
      </c>
      <c r="C27" s="12"/>
      <c r="D27" s="20">
        <f t="shared" ref="D27:R27" ca="1" si="4">D28+D29</f>
        <v>35628.366650080272</v>
      </c>
      <c r="E27" s="20">
        <f t="shared" si="4"/>
        <v>0</v>
      </c>
      <c r="F27" s="20">
        <f t="shared" si="4"/>
        <v>0</v>
      </c>
      <c r="G27" s="20">
        <f t="shared" si="4"/>
        <v>0</v>
      </c>
      <c r="H27" s="20">
        <f t="shared" si="4"/>
        <v>0</v>
      </c>
      <c r="I27" s="20">
        <f t="shared" si="4"/>
        <v>0</v>
      </c>
      <c r="J27" s="20">
        <f t="shared" si="4"/>
        <v>0</v>
      </c>
      <c r="K27" s="20">
        <f t="shared" si="4"/>
        <v>0</v>
      </c>
      <c r="L27" s="20">
        <f t="shared" si="4"/>
        <v>0</v>
      </c>
      <c r="M27" s="20">
        <f t="shared" si="4"/>
        <v>0</v>
      </c>
      <c r="N27" s="20">
        <f t="shared" si="4"/>
        <v>0</v>
      </c>
      <c r="O27" s="20">
        <f t="shared" si="4"/>
        <v>0</v>
      </c>
      <c r="P27" s="20">
        <f t="shared" si="4"/>
        <v>0</v>
      </c>
      <c r="Q27" s="20">
        <f t="shared" si="4"/>
        <v>0</v>
      </c>
      <c r="R27" s="20">
        <f t="shared" si="4"/>
        <v>0</v>
      </c>
    </row>
    <row r="28" spans="1:18" x14ac:dyDescent="0.3">
      <c r="B28" s="7" t="s">
        <v>9</v>
      </c>
      <c r="C28" s="13"/>
      <c r="D28" s="17">
        <f ca="1">D6*D26</f>
        <v>31579.688621662059</v>
      </c>
      <c r="E28" s="17"/>
      <c r="F28" s="17"/>
      <c r="G28" s="17"/>
      <c r="H28" s="17"/>
      <c r="I28" s="17">
        <f t="shared" ref="I28:R28" si="5">H28*(1+I6)</f>
        <v>0</v>
      </c>
      <c r="J28" s="17">
        <f t="shared" si="5"/>
        <v>0</v>
      </c>
      <c r="K28" s="17">
        <f t="shared" si="5"/>
        <v>0</v>
      </c>
      <c r="L28" s="17">
        <f t="shared" si="5"/>
        <v>0</v>
      </c>
      <c r="M28" s="17">
        <f t="shared" si="5"/>
        <v>0</v>
      </c>
      <c r="N28" s="17">
        <f t="shared" si="5"/>
        <v>0</v>
      </c>
      <c r="O28" s="17">
        <f t="shared" si="5"/>
        <v>0</v>
      </c>
      <c r="P28" s="17">
        <f t="shared" si="5"/>
        <v>0</v>
      </c>
      <c r="Q28" s="17">
        <f t="shared" si="5"/>
        <v>0</v>
      </c>
      <c r="R28" s="17">
        <f t="shared" si="5"/>
        <v>0</v>
      </c>
    </row>
    <row r="29" spans="1:18" x14ac:dyDescent="0.3">
      <c r="B29" s="7" t="s">
        <v>10</v>
      </c>
      <c r="C29" s="13"/>
      <c r="D29" s="18">
        <f ca="1">$D$7*$D$26</f>
        <v>4048.6780284182128</v>
      </c>
      <c r="E29" s="18"/>
      <c r="F29" s="18"/>
      <c r="G29" s="18"/>
      <c r="H29" s="18"/>
      <c r="I29" s="18"/>
      <c r="J29" s="18"/>
      <c r="K29" s="18"/>
      <c r="L29" s="18"/>
      <c r="M29" s="18"/>
      <c r="N29" s="18"/>
      <c r="O29" s="18"/>
      <c r="P29" s="18"/>
      <c r="Q29" s="18"/>
      <c r="R29" s="18"/>
    </row>
    <row r="30" spans="1:18" x14ac:dyDescent="0.3">
      <c r="B30" s="22" t="s">
        <v>11</v>
      </c>
      <c r="C30" s="14"/>
      <c r="D30" s="16">
        <f t="shared" ref="D30:R30" ca="1" si="6">D26-D27</f>
        <v>369239.43619174103</v>
      </c>
      <c r="E30" s="16">
        <f t="shared" si="6"/>
        <v>0</v>
      </c>
      <c r="F30" s="16">
        <f t="shared" si="6"/>
        <v>0</v>
      </c>
      <c r="G30" s="16">
        <f t="shared" si="6"/>
        <v>0</v>
      </c>
      <c r="H30" s="16">
        <f t="shared" si="6"/>
        <v>0</v>
      </c>
      <c r="I30" s="16">
        <f t="shared" si="6"/>
        <v>0</v>
      </c>
      <c r="J30" s="16">
        <f t="shared" si="6"/>
        <v>0</v>
      </c>
      <c r="K30" s="16">
        <f t="shared" si="6"/>
        <v>0</v>
      </c>
      <c r="L30" s="16">
        <f t="shared" si="6"/>
        <v>0</v>
      </c>
      <c r="M30" s="16">
        <f t="shared" si="6"/>
        <v>0</v>
      </c>
      <c r="N30" s="16">
        <f t="shared" si="6"/>
        <v>0</v>
      </c>
      <c r="O30" s="16">
        <f t="shared" si="6"/>
        <v>0</v>
      </c>
      <c r="P30" s="16">
        <f t="shared" si="6"/>
        <v>0</v>
      </c>
      <c r="Q30" s="16">
        <f t="shared" si="6"/>
        <v>0</v>
      </c>
      <c r="R30" s="16">
        <f t="shared" si="6"/>
        <v>0</v>
      </c>
    </row>
    <row r="31" spans="1:18" x14ac:dyDescent="0.3">
      <c r="B31" s="6" t="s">
        <v>12</v>
      </c>
      <c r="C31" s="13"/>
      <c r="D31" s="18">
        <f ca="1">$D$8*D26</f>
        <v>189285.59999999998</v>
      </c>
      <c r="E31" s="18"/>
      <c r="F31" s="18"/>
      <c r="G31" s="18"/>
      <c r="H31" s="18"/>
      <c r="I31" s="18">
        <f t="shared" ref="I31:R31" si="7">H31*(1+I8)</f>
        <v>0</v>
      </c>
      <c r="J31" s="18">
        <f t="shared" si="7"/>
        <v>0</v>
      </c>
      <c r="K31" s="18">
        <f t="shared" si="7"/>
        <v>0</v>
      </c>
      <c r="L31" s="18">
        <f t="shared" si="7"/>
        <v>0</v>
      </c>
      <c r="M31" s="18">
        <f t="shared" si="7"/>
        <v>0</v>
      </c>
      <c r="N31" s="18">
        <f t="shared" si="7"/>
        <v>0</v>
      </c>
      <c r="O31" s="18">
        <f t="shared" si="7"/>
        <v>0</v>
      </c>
      <c r="P31" s="18">
        <f t="shared" si="7"/>
        <v>0</v>
      </c>
      <c r="Q31" s="18">
        <f t="shared" si="7"/>
        <v>0</v>
      </c>
      <c r="R31" s="18">
        <f t="shared" si="7"/>
        <v>0</v>
      </c>
    </row>
    <row r="32" spans="1:18" x14ac:dyDescent="0.3">
      <c r="B32" s="22" t="s">
        <v>13</v>
      </c>
      <c r="C32" s="14"/>
      <c r="D32" s="16">
        <f t="shared" ref="D32:R32" ca="1" si="8">D30-D31</f>
        <v>179953.83619174105</v>
      </c>
      <c r="E32" s="16">
        <f t="shared" si="8"/>
        <v>0</v>
      </c>
      <c r="F32" s="16">
        <f t="shared" si="8"/>
        <v>0</v>
      </c>
      <c r="G32" s="16">
        <f t="shared" si="8"/>
        <v>0</v>
      </c>
      <c r="H32" s="16">
        <f t="shared" si="8"/>
        <v>0</v>
      </c>
      <c r="I32" s="16">
        <f t="shared" si="8"/>
        <v>0</v>
      </c>
      <c r="J32" s="16">
        <f t="shared" si="8"/>
        <v>0</v>
      </c>
      <c r="K32" s="16">
        <f t="shared" si="8"/>
        <v>0</v>
      </c>
      <c r="L32" s="16">
        <f t="shared" si="8"/>
        <v>0</v>
      </c>
      <c r="M32" s="16">
        <f t="shared" si="8"/>
        <v>0</v>
      </c>
      <c r="N32" s="16">
        <f t="shared" si="8"/>
        <v>0</v>
      </c>
      <c r="O32" s="16">
        <f t="shared" si="8"/>
        <v>0</v>
      </c>
      <c r="P32" s="16">
        <f t="shared" si="8"/>
        <v>0</v>
      </c>
      <c r="Q32" s="16">
        <f t="shared" si="8"/>
        <v>0</v>
      </c>
      <c r="R32" s="16">
        <f t="shared" si="8"/>
        <v>0</v>
      </c>
    </row>
    <row r="33" spans="1:18" x14ac:dyDescent="0.3">
      <c r="B33" s="9" t="s">
        <v>32</v>
      </c>
      <c r="C33" s="12"/>
      <c r="D33" s="18">
        <f ca="1">$D$9*$D$26</f>
        <v>144152.74619892752</v>
      </c>
      <c r="E33" s="18"/>
      <c r="F33" s="18"/>
      <c r="G33" s="18"/>
      <c r="H33" s="18"/>
      <c r="I33" s="18">
        <f t="shared" ref="I33:R33" si="9">H33+(1*I9)</f>
        <v>0</v>
      </c>
      <c r="J33" s="18">
        <f t="shared" si="9"/>
        <v>0</v>
      </c>
      <c r="K33" s="18">
        <f t="shared" si="9"/>
        <v>0</v>
      </c>
      <c r="L33" s="18">
        <f t="shared" si="9"/>
        <v>0</v>
      </c>
      <c r="M33" s="18">
        <f t="shared" si="9"/>
        <v>0</v>
      </c>
      <c r="N33" s="18">
        <f t="shared" si="9"/>
        <v>0</v>
      </c>
      <c r="O33" s="18">
        <f t="shared" si="9"/>
        <v>0</v>
      </c>
      <c r="P33" s="18">
        <f t="shared" si="9"/>
        <v>0</v>
      </c>
      <c r="Q33" s="18">
        <f t="shared" si="9"/>
        <v>0</v>
      </c>
      <c r="R33" s="18">
        <f t="shared" si="9"/>
        <v>0</v>
      </c>
    </row>
    <row r="34" spans="1:18" x14ac:dyDescent="0.3">
      <c r="B34" s="22" t="s">
        <v>14</v>
      </c>
      <c r="C34" s="14"/>
      <c r="D34" s="16">
        <f t="shared" ref="D34:R34" ca="1" si="10">D32-D33</f>
        <v>35801.089992813533</v>
      </c>
      <c r="E34" s="16">
        <f t="shared" si="10"/>
        <v>0</v>
      </c>
      <c r="F34" s="16">
        <f t="shared" si="10"/>
        <v>0</v>
      </c>
      <c r="G34" s="16">
        <f t="shared" si="10"/>
        <v>0</v>
      </c>
      <c r="H34" s="16">
        <f t="shared" si="10"/>
        <v>0</v>
      </c>
      <c r="I34" s="16">
        <f t="shared" si="10"/>
        <v>0</v>
      </c>
      <c r="J34" s="16">
        <f t="shared" si="10"/>
        <v>0</v>
      </c>
      <c r="K34" s="16">
        <f t="shared" si="10"/>
        <v>0</v>
      </c>
      <c r="L34" s="16">
        <f t="shared" si="10"/>
        <v>0</v>
      </c>
      <c r="M34" s="16">
        <f t="shared" si="10"/>
        <v>0</v>
      </c>
      <c r="N34" s="16">
        <f t="shared" si="10"/>
        <v>0</v>
      </c>
      <c r="O34" s="16">
        <f t="shared" si="10"/>
        <v>0</v>
      </c>
      <c r="P34" s="16">
        <f t="shared" si="10"/>
        <v>0</v>
      </c>
      <c r="Q34" s="16">
        <f t="shared" si="10"/>
        <v>0</v>
      </c>
      <c r="R34" s="16">
        <f t="shared" si="10"/>
        <v>0</v>
      </c>
    </row>
    <row r="35" spans="1:18" x14ac:dyDescent="0.3">
      <c r="B35" s="9" t="s">
        <v>15</v>
      </c>
      <c r="C35" s="13"/>
      <c r="D35" s="18">
        <v>0</v>
      </c>
      <c r="E35" s="18"/>
      <c r="F35" s="18"/>
      <c r="G35" s="18"/>
      <c r="H35" s="18"/>
      <c r="I35" s="18">
        <f t="shared" ref="I35:R35" si="11">H35</f>
        <v>0</v>
      </c>
      <c r="J35" s="18">
        <f t="shared" si="11"/>
        <v>0</v>
      </c>
      <c r="K35" s="18">
        <f t="shared" si="11"/>
        <v>0</v>
      </c>
      <c r="L35" s="18">
        <f t="shared" si="11"/>
        <v>0</v>
      </c>
      <c r="M35" s="18">
        <f t="shared" si="11"/>
        <v>0</v>
      </c>
      <c r="N35" s="18">
        <f t="shared" si="11"/>
        <v>0</v>
      </c>
      <c r="O35" s="18">
        <f t="shared" si="11"/>
        <v>0</v>
      </c>
      <c r="P35" s="18">
        <f t="shared" si="11"/>
        <v>0</v>
      </c>
      <c r="Q35" s="18">
        <f t="shared" si="11"/>
        <v>0</v>
      </c>
      <c r="R35" s="18">
        <f t="shared" si="11"/>
        <v>0</v>
      </c>
    </row>
    <row r="36" spans="1:18" x14ac:dyDescent="0.3">
      <c r="B36" s="22" t="s">
        <v>17</v>
      </c>
      <c r="C36" s="14"/>
      <c r="D36" s="16">
        <f t="shared" ref="D36:R36" ca="1" si="12">D34+D35</f>
        <v>35801.089992813533</v>
      </c>
      <c r="E36" s="16">
        <f t="shared" si="12"/>
        <v>0</v>
      </c>
      <c r="F36" s="16">
        <f t="shared" si="12"/>
        <v>0</v>
      </c>
      <c r="G36" s="16">
        <f t="shared" si="12"/>
        <v>0</v>
      </c>
      <c r="H36" s="16">
        <f t="shared" si="12"/>
        <v>0</v>
      </c>
      <c r="I36" s="16">
        <f t="shared" si="12"/>
        <v>0</v>
      </c>
      <c r="J36" s="16">
        <f t="shared" si="12"/>
        <v>0</v>
      </c>
      <c r="K36" s="16">
        <f t="shared" si="12"/>
        <v>0</v>
      </c>
      <c r="L36" s="16">
        <f t="shared" si="12"/>
        <v>0</v>
      </c>
      <c r="M36" s="16">
        <f t="shared" si="12"/>
        <v>0</v>
      </c>
      <c r="N36" s="16">
        <f t="shared" si="12"/>
        <v>0</v>
      </c>
      <c r="O36" s="16">
        <f t="shared" si="12"/>
        <v>0</v>
      </c>
      <c r="P36" s="16">
        <f t="shared" si="12"/>
        <v>0</v>
      </c>
      <c r="Q36" s="16">
        <f t="shared" si="12"/>
        <v>0</v>
      </c>
      <c r="R36" s="16">
        <f t="shared" si="12"/>
        <v>0</v>
      </c>
    </row>
    <row r="37" spans="1:18" x14ac:dyDescent="0.3">
      <c r="B37" s="9" t="s">
        <v>26</v>
      </c>
      <c r="C37" s="11"/>
      <c r="D37" s="20">
        <f t="shared" ref="D37:R37" si="13">D38-D39</f>
        <v>-12938.098691941514</v>
      </c>
      <c r="E37" s="20">
        <f t="shared" si="13"/>
        <v>0</v>
      </c>
      <c r="F37" s="20">
        <f t="shared" si="13"/>
        <v>0</v>
      </c>
      <c r="G37" s="20">
        <f t="shared" si="13"/>
        <v>0</v>
      </c>
      <c r="H37" s="20">
        <f t="shared" si="13"/>
        <v>0</v>
      </c>
      <c r="I37" s="20">
        <f t="shared" ca="1" si="13"/>
        <v>0</v>
      </c>
      <c r="J37" s="20">
        <f t="shared" si="13"/>
        <v>0</v>
      </c>
      <c r="K37" s="20">
        <f t="shared" si="13"/>
        <v>0</v>
      </c>
      <c r="L37" s="20">
        <f t="shared" si="13"/>
        <v>0</v>
      </c>
      <c r="M37" s="20">
        <f t="shared" si="13"/>
        <v>0</v>
      </c>
      <c r="N37" s="20">
        <f t="shared" si="13"/>
        <v>0</v>
      </c>
      <c r="O37" s="20">
        <f t="shared" si="13"/>
        <v>0</v>
      </c>
      <c r="P37" s="20">
        <f t="shared" si="13"/>
        <v>0</v>
      </c>
      <c r="Q37" s="20">
        <f t="shared" si="13"/>
        <v>0</v>
      </c>
      <c r="R37" s="20">
        <f t="shared" si="13"/>
        <v>0</v>
      </c>
    </row>
    <row r="38" spans="1:18" x14ac:dyDescent="0.3">
      <c r="B38" s="7" t="s">
        <v>18</v>
      </c>
      <c r="C38" s="12"/>
      <c r="D38" s="18"/>
      <c r="E38" s="18"/>
      <c r="F38" s="18"/>
      <c r="G38" s="18"/>
      <c r="H38" s="18"/>
      <c r="I38" s="18">
        <f t="shared" ref="I38:R38" si="14">H38*(1+I108)</f>
        <v>0</v>
      </c>
      <c r="J38" s="18">
        <f t="shared" si="14"/>
        <v>0</v>
      </c>
      <c r="K38" s="18">
        <f t="shared" si="14"/>
        <v>0</v>
      </c>
      <c r="L38" s="18">
        <f t="shared" si="14"/>
        <v>0</v>
      </c>
      <c r="M38" s="18">
        <f t="shared" si="14"/>
        <v>0</v>
      </c>
      <c r="N38" s="18">
        <f t="shared" si="14"/>
        <v>0</v>
      </c>
      <c r="O38" s="18">
        <f t="shared" si="14"/>
        <v>0</v>
      </c>
      <c r="P38" s="18">
        <f t="shared" si="14"/>
        <v>0</v>
      </c>
      <c r="Q38" s="18">
        <f t="shared" si="14"/>
        <v>0</v>
      </c>
      <c r="R38" s="18">
        <f t="shared" si="14"/>
        <v>0</v>
      </c>
    </row>
    <row r="39" spans="1:18" x14ac:dyDescent="0.3">
      <c r="B39" s="7" t="s">
        <v>19</v>
      </c>
      <c r="C39" s="12"/>
      <c r="D39" s="18">
        <f>'Simulação Empréstimo'!K6</f>
        <v>12938.098691941514</v>
      </c>
      <c r="E39" s="18"/>
      <c r="F39" s="18"/>
      <c r="G39" s="18"/>
      <c r="H39" s="18"/>
      <c r="I39" s="18">
        <f t="shared" ref="I39:R39" ca="1" si="15">I135</f>
        <v>0</v>
      </c>
      <c r="J39" s="18">
        <f t="shared" si="15"/>
        <v>0</v>
      </c>
      <c r="K39" s="18">
        <f t="shared" si="15"/>
        <v>0</v>
      </c>
      <c r="L39" s="18">
        <f t="shared" si="15"/>
        <v>0</v>
      </c>
      <c r="M39" s="18">
        <f t="shared" si="15"/>
        <v>0</v>
      </c>
      <c r="N39" s="18">
        <f t="shared" si="15"/>
        <v>0</v>
      </c>
      <c r="O39" s="18">
        <f t="shared" si="15"/>
        <v>0</v>
      </c>
      <c r="P39" s="18">
        <f t="shared" si="15"/>
        <v>0</v>
      </c>
      <c r="Q39" s="18">
        <f t="shared" si="15"/>
        <v>0</v>
      </c>
      <c r="R39" s="18">
        <f t="shared" si="15"/>
        <v>0</v>
      </c>
    </row>
    <row r="40" spans="1:18" x14ac:dyDescent="0.3">
      <c r="B40" s="22" t="s">
        <v>20</v>
      </c>
      <c r="C40" s="14"/>
      <c r="D40" s="16">
        <f t="shared" ref="D40:R40" ca="1" si="16">D36+D37</f>
        <v>22862.991300872018</v>
      </c>
      <c r="E40" s="16">
        <f t="shared" si="16"/>
        <v>0</v>
      </c>
      <c r="F40" s="16">
        <f t="shared" si="16"/>
        <v>0</v>
      </c>
      <c r="G40" s="16">
        <f t="shared" si="16"/>
        <v>0</v>
      </c>
      <c r="H40" s="16">
        <f t="shared" si="16"/>
        <v>0</v>
      </c>
      <c r="I40" s="16">
        <f t="shared" ca="1" si="16"/>
        <v>0</v>
      </c>
      <c r="J40" s="16">
        <f t="shared" si="16"/>
        <v>0</v>
      </c>
      <c r="K40" s="16">
        <f t="shared" si="16"/>
        <v>0</v>
      </c>
      <c r="L40" s="16">
        <f t="shared" si="16"/>
        <v>0</v>
      </c>
      <c r="M40" s="16">
        <f t="shared" si="16"/>
        <v>0</v>
      </c>
      <c r="N40" s="16">
        <f t="shared" si="16"/>
        <v>0</v>
      </c>
      <c r="O40" s="16">
        <f t="shared" si="16"/>
        <v>0</v>
      </c>
      <c r="P40" s="16">
        <f t="shared" si="16"/>
        <v>0</v>
      </c>
      <c r="Q40" s="16">
        <f t="shared" si="16"/>
        <v>0</v>
      </c>
      <c r="R40" s="16">
        <f t="shared" si="16"/>
        <v>0</v>
      </c>
    </row>
    <row r="41" spans="1:18" hidden="1" outlineLevel="1" x14ac:dyDescent="0.3">
      <c r="B41" s="9" t="s">
        <v>136</v>
      </c>
      <c r="C41" s="13"/>
      <c r="D41" s="18">
        <f t="shared" ref="D41:R41" si="17">D42+D43</f>
        <v>0</v>
      </c>
      <c r="E41" s="18">
        <f t="shared" si="17"/>
        <v>0</v>
      </c>
      <c r="F41" s="18">
        <f t="shared" si="17"/>
        <v>0</v>
      </c>
      <c r="G41" s="18">
        <f t="shared" si="17"/>
        <v>0</v>
      </c>
      <c r="H41" s="18">
        <f t="shared" si="17"/>
        <v>0</v>
      </c>
      <c r="I41" s="18">
        <f t="shared" si="17"/>
        <v>0</v>
      </c>
      <c r="J41" s="18">
        <f t="shared" si="17"/>
        <v>0</v>
      </c>
      <c r="K41" s="18">
        <f t="shared" si="17"/>
        <v>0</v>
      </c>
      <c r="L41" s="18">
        <f t="shared" si="17"/>
        <v>0</v>
      </c>
      <c r="M41" s="18">
        <f t="shared" si="17"/>
        <v>0</v>
      </c>
      <c r="N41" s="18">
        <f t="shared" si="17"/>
        <v>0</v>
      </c>
      <c r="O41" s="18">
        <f t="shared" si="17"/>
        <v>0</v>
      </c>
      <c r="P41" s="18">
        <f t="shared" si="17"/>
        <v>0</v>
      </c>
      <c r="Q41" s="18">
        <f t="shared" si="17"/>
        <v>0</v>
      </c>
      <c r="R41" s="18">
        <f t="shared" si="17"/>
        <v>0</v>
      </c>
    </row>
    <row r="42" spans="1:18" hidden="1" outlineLevel="1" x14ac:dyDescent="0.3">
      <c r="B42" s="10" t="s">
        <v>21</v>
      </c>
      <c r="C42" s="13"/>
      <c r="D42" s="18"/>
      <c r="E42" s="18"/>
      <c r="F42" s="18"/>
      <c r="G42" s="18"/>
      <c r="H42" s="18"/>
      <c r="I42" s="18">
        <v>0</v>
      </c>
      <c r="J42" s="18">
        <v>0</v>
      </c>
      <c r="K42" s="18">
        <v>0</v>
      </c>
      <c r="L42" s="18">
        <v>0</v>
      </c>
      <c r="M42" s="18">
        <v>0</v>
      </c>
      <c r="N42" s="18">
        <v>0</v>
      </c>
      <c r="O42" s="18">
        <v>0</v>
      </c>
      <c r="P42" s="18">
        <v>0</v>
      </c>
      <c r="Q42" s="18">
        <v>0</v>
      </c>
      <c r="R42" s="18">
        <v>0</v>
      </c>
    </row>
    <row r="43" spans="1:18" hidden="1" outlineLevel="1" x14ac:dyDescent="0.3">
      <c r="B43" s="7" t="s">
        <v>22</v>
      </c>
      <c r="C43" s="13"/>
      <c r="D43" s="18"/>
      <c r="E43" s="18"/>
      <c r="F43" s="18"/>
      <c r="G43" s="18"/>
      <c r="H43" s="18"/>
      <c r="I43" s="18">
        <v>0</v>
      </c>
      <c r="J43" s="18">
        <v>0</v>
      </c>
      <c r="K43" s="18">
        <v>0</v>
      </c>
      <c r="L43" s="18">
        <v>0</v>
      </c>
      <c r="M43" s="18">
        <v>0</v>
      </c>
      <c r="N43" s="18">
        <v>0</v>
      </c>
      <c r="O43" s="18">
        <v>0</v>
      </c>
      <c r="P43" s="18">
        <v>0</v>
      </c>
      <c r="Q43" s="18">
        <v>0</v>
      </c>
      <c r="R43" s="18">
        <v>0</v>
      </c>
    </row>
    <row r="44" spans="1:18" collapsed="1" x14ac:dyDescent="0.3">
      <c r="B44" s="22" t="s">
        <v>23</v>
      </c>
      <c r="C44" s="14"/>
      <c r="D44" s="16">
        <f t="shared" ref="D44:R44" ca="1" si="18">D40-D41</f>
        <v>22862.991300872018</v>
      </c>
      <c r="E44" s="16">
        <f t="shared" si="18"/>
        <v>0</v>
      </c>
      <c r="F44" s="16">
        <f t="shared" si="18"/>
        <v>0</v>
      </c>
      <c r="G44" s="16">
        <f t="shared" si="18"/>
        <v>0</v>
      </c>
      <c r="H44" s="16">
        <f t="shared" si="18"/>
        <v>0</v>
      </c>
      <c r="I44" s="16">
        <f t="shared" ca="1" si="18"/>
        <v>0</v>
      </c>
      <c r="J44" s="16">
        <f t="shared" si="18"/>
        <v>0</v>
      </c>
      <c r="K44" s="16">
        <f t="shared" si="18"/>
        <v>0</v>
      </c>
      <c r="L44" s="16">
        <f t="shared" si="18"/>
        <v>0</v>
      </c>
      <c r="M44" s="16">
        <f t="shared" si="18"/>
        <v>0</v>
      </c>
      <c r="N44" s="16">
        <f t="shared" si="18"/>
        <v>0</v>
      </c>
      <c r="O44" s="16">
        <f t="shared" si="18"/>
        <v>0</v>
      </c>
      <c r="P44" s="16">
        <f t="shared" si="18"/>
        <v>0</v>
      </c>
      <c r="Q44" s="16">
        <f t="shared" si="18"/>
        <v>0</v>
      </c>
      <c r="R44" s="16">
        <f t="shared" si="18"/>
        <v>0</v>
      </c>
    </row>
    <row r="45" spans="1:18" x14ac:dyDescent="0.3">
      <c r="B45" s="15" t="s">
        <v>33</v>
      </c>
      <c r="C45" s="2"/>
      <c r="D45" s="17">
        <f>$D$10*$D$56</f>
        <v>0</v>
      </c>
      <c r="E45" s="17"/>
      <c r="F45" s="17"/>
      <c r="G45" s="17"/>
      <c r="H45" s="17"/>
      <c r="I45" s="17">
        <f t="shared" ref="I45:R45" si="19">I10*I56</f>
        <v>0</v>
      </c>
      <c r="J45" s="17">
        <f t="shared" si="19"/>
        <v>0</v>
      </c>
      <c r="K45" s="17">
        <f t="shared" si="19"/>
        <v>0</v>
      </c>
      <c r="L45" s="17">
        <f t="shared" si="19"/>
        <v>0</v>
      </c>
      <c r="M45" s="17">
        <f t="shared" si="19"/>
        <v>0</v>
      </c>
      <c r="N45" s="17">
        <f t="shared" si="19"/>
        <v>0</v>
      </c>
      <c r="O45" s="17">
        <f t="shared" si="19"/>
        <v>0</v>
      </c>
      <c r="P45" s="17">
        <f t="shared" si="19"/>
        <v>0</v>
      </c>
      <c r="Q45" s="17">
        <f t="shared" si="19"/>
        <v>0</v>
      </c>
      <c r="R45" s="17">
        <f t="shared" si="19"/>
        <v>0</v>
      </c>
    </row>
    <row r="46" spans="1:18" x14ac:dyDescent="0.3">
      <c r="B46" s="9" t="s">
        <v>16</v>
      </c>
      <c r="C46" s="4"/>
      <c r="D46" s="19">
        <f t="shared" ref="D46:R46" ca="1" si="20">D36+D45</f>
        <v>35801.089992813533</v>
      </c>
      <c r="E46" s="19">
        <f t="shared" si="20"/>
        <v>0</v>
      </c>
      <c r="F46" s="19">
        <f t="shared" si="20"/>
        <v>0</v>
      </c>
      <c r="G46" s="19">
        <f t="shared" si="20"/>
        <v>0</v>
      </c>
      <c r="H46" s="19">
        <f t="shared" si="20"/>
        <v>0</v>
      </c>
      <c r="I46" s="19">
        <f t="shared" si="20"/>
        <v>0</v>
      </c>
      <c r="J46" s="19">
        <f t="shared" si="20"/>
        <v>0</v>
      </c>
      <c r="K46" s="19">
        <f t="shared" si="20"/>
        <v>0</v>
      </c>
      <c r="L46" s="19">
        <f t="shared" si="20"/>
        <v>0</v>
      </c>
      <c r="M46" s="19">
        <f t="shared" si="20"/>
        <v>0</v>
      </c>
      <c r="N46" s="19">
        <f t="shared" si="20"/>
        <v>0</v>
      </c>
      <c r="O46" s="19">
        <f t="shared" si="20"/>
        <v>0</v>
      </c>
      <c r="P46" s="19">
        <f t="shared" si="20"/>
        <v>0</v>
      </c>
      <c r="Q46" s="19">
        <f t="shared" si="20"/>
        <v>0</v>
      </c>
      <c r="R46" s="19">
        <f t="shared" si="20"/>
        <v>0</v>
      </c>
    </row>
    <row r="47" spans="1:18" x14ac:dyDescent="0.3">
      <c r="D47" s="52"/>
    </row>
    <row r="48" spans="1:18" x14ac:dyDescent="0.3">
      <c r="A48" s="4" t="s">
        <v>1</v>
      </c>
      <c r="B48" s="43" t="s">
        <v>44</v>
      </c>
      <c r="C48" s="42"/>
      <c r="D48" s="92">
        <f>$G$1</f>
        <v>2025</v>
      </c>
      <c r="E48" s="92">
        <f t="shared" ref="E48:R48" si="21">D48+1</f>
        <v>2026</v>
      </c>
      <c r="F48" s="92">
        <f t="shared" si="21"/>
        <v>2027</v>
      </c>
      <c r="G48" s="92">
        <f t="shared" si="21"/>
        <v>2028</v>
      </c>
      <c r="H48" s="92">
        <f t="shared" si="21"/>
        <v>2029</v>
      </c>
      <c r="I48" s="92">
        <f t="shared" si="21"/>
        <v>2030</v>
      </c>
      <c r="J48" s="92">
        <f t="shared" si="21"/>
        <v>2031</v>
      </c>
      <c r="K48" s="92">
        <f t="shared" si="21"/>
        <v>2032</v>
      </c>
      <c r="L48" s="92">
        <f t="shared" si="21"/>
        <v>2033</v>
      </c>
      <c r="M48" s="92">
        <f t="shared" si="21"/>
        <v>2034</v>
      </c>
      <c r="N48" s="92">
        <f t="shared" si="21"/>
        <v>2035</v>
      </c>
      <c r="O48" s="92">
        <f t="shared" si="21"/>
        <v>2036</v>
      </c>
      <c r="P48" s="92">
        <f t="shared" si="21"/>
        <v>2037</v>
      </c>
      <c r="Q48" s="92">
        <f t="shared" si="21"/>
        <v>2038</v>
      </c>
      <c r="R48" s="92">
        <f t="shared" si="21"/>
        <v>2039</v>
      </c>
    </row>
    <row r="50" spans="2:18" x14ac:dyDescent="0.3">
      <c r="B50" s="22" t="s">
        <v>45</v>
      </c>
      <c r="C50" s="22"/>
      <c r="D50" s="16">
        <f t="shared" ref="D50:R50" si="22">SUM(D51:D53)</f>
        <v>0</v>
      </c>
      <c r="E50" s="16">
        <f t="shared" si="22"/>
        <v>0</v>
      </c>
      <c r="F50" s="16">
        <f t="shared" si="22"/>
        <v>0</v>
      </c>
      <c r="G50" s="16">
        <f t="shared" si="22"/>
        <v>0</v>
      </c>
      <c r="H50" s="16">
        <f t="shared" si="22"/>
        <v>0</v>
      </c>
      <c r="I50" s="16">
        <f t="shared" ca="1" si="22"/>
        <v>0</v>
      </c>
      <c r="J50" s="16">
        <f t="shared" ca="1" si="22"/>
        <v>0</v>
      </c>
      <c r="K50" s="16">
        <f t="shared" ca="1" si="22"/>
        <v>0</v>
      </c>
      <c r="L50" s="16">
        <f t="shared" ca="1" si="22"/>
        <v>0</v>
      </c>
      <c r="M50" s="16">
        <f t="shared" ca="1" si="22"/>
        <v>0</v>
      </c>
      <c r="N50" s="16">
        <f t="shared" ca="1" si="22"/>
        <v>0</v>
      </c>
      <c r="O50" s="16">
        <f t="shared" ca="1" si="22"/>
        <v>0</v>
      </c>
      <c r="P50" s="16">
        <f t="shared" ca="1" si="22"/>
        <v>0</v>
      </c>
      <c r="Q50" s="16">
        <f t="shared" ca="1" si="22"/>
        <v>0</v>
      </c>
      <c r="R50" s="16">
        <f t="shared" ca="1" si="22"/>
        <v>0</v>
      </c>
    </row>
    <row r="51" spans="2:18" x14ac:dyDescent="0.3">
      <c r="B51" s="29" t="s">
        <v>46</v>
      </c>
      <c r="I51" s="18">
        <f t="shared" ref="I51:R51" ca="1" si="23">I91</f>
        <v>0</v>
      </c>
      <c r="J51" s="18">
        <f t="shared" ca="1" si="23"/>
        <v>0</v>
      </c>
      <c r="K51" s="18">
        <f t="shared" ca="1" si="23"/>
        <v>0</v>
      </c>
      <c r="L51" s="18">
        <f t="shared" ca="1" si="23"/>
        <v>0</v>
      </c>
      <c r="M51" s="18">
        <f t="shared" ca="1" si="23"/>
        <v>0</v>
      </c>
      <c r="N51" s="18">
        <f t="shared" ca="1" si="23"/>
        <v>0</v>
      </c>
      <c r="O51" s="18">
        <f t="shared" ca="1" si="23"/>
        <v>0</v>
      </c>
      <c r="P51" s="18">
        <f t="shared" ca="1" si="23"/>
        <v>0</v>
      </c>
      <c r="Q51" s="18">
        <f t="shared" ca="1" si="23"/>
        <v>0</v>
      </c>
      <c r="R51" s="18">
        <f t="shared" ca="1" si="23"/>
        <v>0</v>
      </c>
    </row>
    <row r="52" spans="2:18" x14ac:dyDescent="0.3">
      <c r="B52" s="29" t="s">
        <v>47</v>
      </c>
      <c r="I52" s="18">
        <f t="shared" ref="I52:R52" si="24">I26*I13/365</f>
        <v>0</v>
      </c>
      <c r="J52" s="18">
        <f t="shared" si="24"/>
        <v>0</v>
      </c>
      <c r="K52" s="18">
        <f t="shared" si="24"/>
        <v>0</v>
      </c>
      <c r="L52" s="18">
        <f t="shared" si="24"/>
        <v>0</v>
      </c>
      <c r="M52" s="18">
        <f t="shared" si="24"/>
        <v>0</v>
      </c>
      <c r="N52" s="18">
        <f t="shared" si="24"/>
        <v>0</v>
      </c>
      <c r="O52" s="18">
        <f t="shared" si="24"/>
        <v>0</v>
      </c>
      <c r="P52" s="18">
        <f t="shared" si="24"/>
        <v>0</v>
      </c>
      <c r="Q52" s="18">
        <f t="shared" si="24"/>
        <v>0</v>
      </c>
      <c r="R52" s="18">
        <f t="shared" si="24"/>
        <v>0</v>
      </c>
    </row>
    <row r="53" spans="2:18" x14ac:dyDescent="0.3">
      <c r="B53" s="29" t="s">
        <v>48</v>
      </c>
      <c r="I53" s="18">
        <f t="shared" ref="I53:R53" si="25">I31*I14/365</f>
        <v>0</v>
      </c>
      <c r="J53" s="18">
        <f t="shared" si="25"/>
        <v>0</v>
      </c>
      <c r="K53" s="18">
        <f t="shared" si="25"/>
        <v>0</v>
      </c>
      <c r="L53" s="18">
        <f t="shared" si="25"/>
        <v>0</v>
      </c>
      <c r="M53" s="18">
        <f t="shared" si="25"/>
        <v>0</v>
      </c>
      <c r="N53" s="18">
        <f t="shared" si="25"/>
        <v>0</v>
      </c>
      <c r="O53" s="18">
        <f t="shared" si="25"/>
        <v>0</v>
      </c>
      <c r="P53" s="18">
        <f t="shared" si="25"/>
        <v>0</v>
      </c>
      <c r="Q53" s="18">
        <f t="shared" si="25"/>
        <v>0</v>
      </c>
      <c r="R53" s="18">
        <f t="shared" si="25"/>
        <v>0</v>
      </c>
    </row>
    <row r="54" spans="2:18" x14ac:dyDescent="0.3">
      <c r="B54" s="24" t="s">
        <v>39</v>
      </c>
      <c r="I54" s="18">
        <f t="shared" ref="I54:R54" si="26">H54</f>
        <v>0</v>
      </c>
      <c r="J54" s="18">
        <f t="shared" si="26"/>
        <v>0</v>
      </c>
      <c r="K54" s="18">
        <f t="shared" si="26"/>
        <v>0</v>
      </c>
      <c r="L54" s="18">
        <f t="shared" si="26"/>
        <v>0</v>
      </c>
      <c r="M54" s="18">
        <f t="shared" si="26"/>
        <v>0</v>
      </c>
      <c r="N54" s="18">
        <f t="shared" si="26"/>
        <v>0</v>
      </c>
      <c r="O54" s="18">
        <f t="shared" si="26"/>
        <v>0</v>
      </c>
      <c r="P54" s="18">
        <f t="shared" si="26"/>
        <v>0</v>
      </c>
      <c r="Q54" s="18">
        <f t="shared" si="26"/>
        <v>0</v>
      </c>
      <c r="R54" s="18">
        <f t="shared" si="26"/>
        <v>0</v>
      </c>
    </row>
    <row r="55" spans="2:18" x14ac:dyDescent="0.3">
      <c r="B55" s="22" t="s">
        <v>49</v>
      </c>
      <c r="C55" s="22"/>
      <c r="D55" s="23">
        <f t="shared" ref="D55:R55" si="27">SUM(D56:D57)</f>
        <v>0</v>
      </c>
      <c r="E55" s="23">
        <f t="shared" si="27"/>
        <v>0</v>
      </c>
      <c r="F55" s="23">
        <f t="shared" si="27"/>
        <v>0</v>
      </c>
      <c r="G55" s="23">
        <f t="shared" si="27"/>
        <v>0</v>
      </c>
      <c r="H55" s="23">
        <f t="shared" si="27"/>
        <v>0</v>
      </c>
      <c r="I55" s="23">
        <f t="shared" si="27"/>
        <v>0</v>
      </c>
      <c r="J55" s="23">
        <f t="shared" si="27"/>
        <v>0</v>
      </c>
      <c r="K55" s="23">
        <f t="shared" si="27"/>
        <v>0</v>
      </c>
      <c r="L55" s="23">
        <f t="shared" si="27"/>
        <v>0</v>
      </c>
      <c r="M55" s="23">
        <f t="shared" si="27"/>
        <v>0</v>
      </c>
      <c r="N55" s="23">
        <f t="shared" si="27"/>
        <v>0</v>
      </c>
      <c r="O55" s="23">
        <f t="shared" si="27"/>
        <v>0</v>
      </c>
      <c r="P55" s="23">
        <f t="shared" si="27"/>
        <v>0</v>
      </c>
      <c r="Q55" s="23">
        <f t="shared" si="27"/>
        <v>0</v>
      </c>
      <c r="R55" s="23">
        <f t="shared" si="27"/>
        <v>0</v>
      </c>
    </row>
    <row r="56" spans="2:18" x14ac:dyDescent="0.3">
      <c r="B56" s="29" t="s">
        <v>50</v>
      </c>
      <c r="I56" s="2">
        <f t="shared" ref="I56:R56" si="28">I115</f>
        <v>0</v>
      </c>
      <c r="J56" s="2">
        <f t="shared" si="28"/>
        <v>0</v>
      </c>
      <c r="K56" s="2">
        <f t="shared" si="28"/>
        <v>0</v>
      </c>
      <c r="L56" s="2">
        <f t="shared" si="28"/>
        <v>0</v>
      </c>
      <c r="M56" s="2">
        <f t="shared" si="28"/>
        <v>0</v>
      </c>
      <c r="N56" s="2">
        <f t="shared" si="28"/>
        <v>0</v>
      </c>
      <c r="O56" s="2">
        <f t="shared" si="28"/>
        <v>0</v>
      </c>
      <c r="P56" s="2">
        <f t="shared" si="28"/>
        <v>0</v>
      </c>
      <c r="Q56" s="2">
        <f t="shared" si="28"/>
        <v>0</v>
      </c>
      <c r="R56" s="2">
        <f t="shared" si="28"/>
        <v>0</v>
      </c>
    </row>
    <row r="57" spans="2:18" x14ac:dyDescent="0.3">
      <c r="B57" s="29" t="s">
        <v>39</v>
      </c>
      <c r="I57" s="2">
        <f t="shared" ref="I57:R57" si="29">H57</f>
        <v>0</v>
      </c>
      <c r="J57" s="2">
        <f t="shared" si="29"/>
        <v>0</v>
      </c>
      <c r="K57" s="2">
        <f t="shared" si="29"/>
        <v>0</v>
      </c>
      <c r="L57" s="2">
        <f t="shared" si="29"/>
        <v>0</v>
      </c>
      <c r="M57" s="2">
        <f t="shared" si="29"/>
        <v>0</v>
      </c>
      <c r="N57" s="2">
        <f t="shared" si="29"/>
        <v>0</v>
      </c>
      <c r="O57" s="2">
        <f t="shared" si="29"/>
        <v>0</v>
      </c>
      <c r="P57" s="2">
        <f t="shared" si="29"/>
        <v>0</v>
      </c>
      <c r="Q57" s="2">
        <f t="shared" si="29"/>
        <v>0</v>
      </c>
      <c r="R57" s="2">
        <f t="shared" si="29"/>
        <v>0</v>
      </c>
    </row>
    <row r="58" spans="2:18" x14ac:dyDescent="0.3">
      <c r="B58" s="22" t="s">
        <v>51</v>
      </c>
      <c r="C58" s="22"/>
      <c r="D58" s="23">
        <f t="shared" ref="D58:R58" si="30">D55+D50</f>
        <v>0</v>
      </c>
      <c r="E58" s="23">
        <f t="shared" si="30"/>
        <v>0</v>
      </c>
      <c r="F58" s="23">
        <f t="shared" si="30"/>
        <v>0</v>
      </c>
      <c r="G58" s="23">
        <f t="shared" si="30"/>
        <v>0</v>
      </c>
      <c r="H58" s="23">
        <f t="shared" si="30"/>
        <v>0</v>
      </c>
      <c r="I58" s="23">
        <f t="shared" ca="1" si="30"/>
        <v>0</v>
      </c>
      <c r="J58" s="23">
        <f t="shared" ca="1" si="30"/>
        <v>0</v>
      </c>
      <c r="K58" s="23">
        <f t="shared" ca="1" si="30"/>
        <v>0</v>
      </c>
      <c r="L58" s="23">
        <f t="shared" ca="1" si="30"/>
        <v>0</v>
      </c>
      <c r="M58" s="23">
        <f t="shared" ca="1" si="30"/>
        <v>0</v>
      </c>
      <c r="N58" s="23">
        <f t="shared" ca="1" si="30"/>
        <v>0</v>
      </c>
      <c r="O58" s="23">
        <f t="shared" ca="1" si="30"/>
        <v>0</v>
      </c>
      <c r="P58" s="23">
        <f t="shared" ca="1" si="30"/>
        <v>0</v>
      </c>
      <c r="Q58" s="23">
        <f t="shared" ca="1" si="30"/>
        <v>0</v>
      </c>
      <c r="R58" s="23">
        <f t="shared" ca="1" si="30"/>
        <v>0</v>
      </c>
    </row>
    <row r="60" spans="2:18" x14ac:dyDescent="0.3">
      <c r="B60" s="22" t="s">
        <v>52</v>
      </c>
      <c r="C60" s="22"/>
      <c r="D60" s="23">
        <f t="shared" ref="D60:R60" si="31">SUM(D61:D63)</f>
        <v>0</v>
      </c>
      <c r="E60" s="23">
        <f t="shared" si="31"/>
        <v>0</v>
      </c>
      <c r="F60" s="23">
        <f t="shared" si="31"/>
        <v>0</v>
      </c>
      <c r="G60" s="23">
        <f t="shared" si="31"/>
        <v>0</v>
      </c>
      <c r="H60" s="23">
        <f t="shared" si="31"/>
        <v>0</v>
      </c>
      <c r="I60" s="23">
        <f t="shared" ca="1" si="31"/>
        <v>0</v>
      </c>
      <c r="J60" s="23">
        <f t="shared" ca="1" si="31"/>
        <v>0</v>
      </c>
      <c r="K60" s="23">
        <f t="shared" ca="1" si="31"/>
        <v>0</v>
      </c>
      <c r="L60" s="23">
        <f t="shared" ca="1" si="31"/>
        <v>0</v>
      </c>
      <c r="M60" s="23">
        <f t="shared" ca="1" si="31"/>
        <v>0</v>
      </c>
      <c r="N60" s="23">
        <f t="shared" ca="1" si="31"/>
        <v>0</v>
      </c>
      <c r="O60" s="23">
        <f t="shared" ca="1" si="31"/>
        <v>0</v>
      </c>
      <c r="P60" s="23">
        <f t="shared" ca="1" si="31"/>
        <v>0</v>
      </c>
      <c r="Q60" s="23">
        <f t="shared" ca="1" si="31"/>
        <v>0</v>
      </c>
      <c r="R60" s="23">
        <f t="shared" ca="1" si="31"/>
        <v>0</v>
      </c>
    </row>
    <row r="61" spans="2:18" x14ac:dyDescent="0.3">
      <c r="B61" s="29" t="s">
        <v>54</v>
      </c>
      <c r="I61" s="2">
        <f t="shared" ref="I61:R61" ca="1" si="32">I130</f>
        <v>0</v>
      </c>
      <c r="J61" s="2">
        <f t="shared" ca="1" si="32"/>
        <v>0</v>
      </c>
      <c r="K61" s="2">
        <f t="shared" ca="1" si="32"/>
        <v>0</v>
      </c>
      <c r="L61" s="2">
        <f t="shared" ca="1" si="32"/>
        <v>0</v>
      </c>
      <c r="M61" s="2">
        <f t="shared" ca="1" si="32"/>
        <v>0</v>
      </c>
      <c r="N61" s="2">
        <f t="shared" ca="1" si="32"/>
        <v>0</v>
      </c>
      <c r="O61" s="2">
        <f t="shared" ca="1" si="32"/>
        <v>0</v>
      </c>
      <c r="P61" s="2">
        <f t="shared" ca="1" si="32"/>
        <v>0</v>
      </c>
      <c r="Q61" s="2">
        <f t="shared" ca="1" si="32"/>
        <v>0</v>
      </c>
      <c r="R61" s="2">
        <f t="shared" ca="1" si="32"/>
        <v>0</v>
      </c>
    </row>
    <row r="62" spans="2:18" x14ac:dyDescent="0.3">
      <c r="B62" s="29" t="s">
        <v>53</v>
      </c>
      <c r="I62" s="2">
        <f t="shared" ref="I62:R62" si="33">I31*I15/365</f>
        <v>0</v>
      </c>
      <c r="J62" s="2">
        <f t="shared" si="33"/>
        <v>0</v>
      </c>
      <c r="K62" s="2">
        <f t="shared" si="33"/>
        <v>0</v>
      </c>
      <c r="L62" s="2">
        <f t="shared" si="33"/>
        <v>0</v>
      </c>
      <c r="M62" s="2">
        <f t="shared" si="33"/>
        <v>0</v>
      </c>
      <c r="N62" s="2">
        <f t="shared" si="33"/>
        <v>0</v>
      </c>
      <c r="O62" s="2">
        <f t="shared" si="33"/>
        <v>0</v>
      </c>
      <c r="P62" s="2">
        <f t="shared" si="33"/>
        <v>0</v>
      </c>
      <c r="Q62" s="2">
        <f t="shared" si="33"/>
        <v>0</v>
      </c>
      <c r="R62" s="2">
        <f t="shared" si="33"/>
        <v>0</v>
      </c>
    </row>
    <row r="63" spans="2:18" x14ac:dyDescent="0.3">
      <c r="B63" s="24" t="s">
        <v>39</v>
      </c>
      <c r="I63" s="2">
        <f t="shared" ref="I63:R63" si="34">H63</f>
        <v>0</v>
      </c>
      <c r="J63" s="2">
        <f t="shared" si="34"/>
        <v>0</v>
      </c>
      <c r="K63" s="2">
        <f t="shared" si="34"/>
        <v>0</v>
      </c>
      <c r="L63" s="2">
        <f t="shared" si="34"/>
        <v>0</v>
      </c>
      <c r="M63" s="2">
        <f t="shared" si="34"/>
        <v>0</v>
      </c>
      <c r="N63" s="2">
        <f t="shared" si="34"/>
        <v>0</v>
      </c>
      <c r="O63" s="2">
        <f t="shared" si="34"/>
        <v>0</v>
      </c>
      <c r="P63" s="2">
        <f t="shared" si="34"/>
        <v>0</v>
      </c>
      <c r="Q63" s="2">
        <f t="shared" si="34"/>
        <v>0</v>
      </c>
      <c r="R63" s="2">
        <f t="shared" si="34"/>
        <v>0</v>
      </c>
    </row>
    <row r="64" spans="2:18" x14ac:dyDescent="0.3">
      <c r="B64" s="22" t="s">
        <v>55</v>
      </c>
      <c r="C64" s="22"/>
      <c r="D64" s="23">
        <f t="shared" ref="D64:R64" si="35">SUM(D65:D66)</f>
        <v>0</v>
      </c>
      <c r="E64" s="23">
        <f t="shared" si="35"/>
        <v>0</v>
      </c>
      <c r="F64" s="23">
        <f t="shared" si="35"/>
        <v>0</v>
      </c>
      <c r="G64" s="23">
        <f t="shared" si="35"/>
        <v>0</v>
      </c>
      <c r="H64" s="23">
        <f t="shared" si="35"/>
        <v>0</v>
      </c>
      <c r="I64" s="23">
        <f t="shared" si="35"/>
        <v>0</v>
      </c>
      <c r="J64" s="23">
        <f t="shared" si="35"/>
        <v>0</v>
      </c>
      <c r="K64" s="23">
        <f t="shared" si="35"/>
        <v>0</v>
      </c>
      <c r="L64" s="23">
        <f t="shared" si="35"/>
        <v>0</v>
      </c>
      <c r="M64" s="23">
        <f t="shared" si="35"/>
        <v>0</v>
      </c>
      <c r="N64" s="23">
        <f t="shared" si="35"/>
        <v>0</v>
      </c>
      <c r="O64" s="23">
        <f t="shared" si="35"/>
        <v>0</v>
      </c>
      <c r="P64" s="23">
        <f t="shared" si="35"/>
        <v>0</v>
      </c>
      <c r="Q64" s="23">
        <f t="shared" si="35"/>
        <v>0</v>
      </c>
      <c r="R64" s="23">
        <f t="shared" si="35"/>
        <v>0</v>
      </c>
    </row>
    <row r="65" spans="1:18" x14ac:dyDescent="0.3">
      <c r="B65" s="29" t="s">
        <v>54</v>
      </c>
    </row>
    <row r="66" spans="1:18" x14ac:dyDescent="0.3">
      <c r="B66" s="24" t="s">
        <v>39</v>
      </c>
      <c r="I66" s="2">
        <f t="shared" ref="I66:R66" si="36">H66</f>
        <v>0</v>
      </c>
      <c r="J66" s="2">
        <f t="shared" si="36"/>
        <v>0</v>
      </c>
      <c r="K66" s="2">
        <f t="shared" si="36"/>
        <v>0</v>
      </c>
      <c r="L66" s="2">
        <f t="shared" si="36"/>
        <v>0</v>
      </c>
      <c r="M66" s="2">
        <f t="shared" si="36"/>
        <v>0</v>
      </c>
      <c r="N66" s="2">
        <f t="shared" si="36"/>
        <v>0</v>
      </c>
      <c r="O66" s="2">
        <f t="shared" si="36"/>
        <v>0</v>
      </c>
      <c r="P66" s="2">
        <f t="shared" si="36"/>
        <v>0</v>
      </c>
      <c r="Q66" s="2">
        <f t="shared" si="36"/>
        <v>0</v>
      </c>
      <c r="R66" s="2">
        <f t="shared" si="36"/>
        <v>0</v>
      </c>
    </row>
    <row r="67" spans="1:18" x14ac:dyDescent="0.3">
      <c r="B67" s="22" t="s">
        <v>56</v>
      </c>
      <c r="C67" s="22"/>
      <c r="D67" s="23">
        <f t="shared" ref="D67:R67" si="37">D64+D60</f>
        <v>0</v>
      </c>
      <c r="E67" s="23">
        <f t="shared" si="37"/>
        <v>0</v>
      </c>
      <c r="F67" s="23">
        <f t="shared" si="37"/>
        <v>0</v>
      </c>
      <c r="G67" s="23">
        <f t="shared" si="37"/>
        <v>0</v>
      </c>
      <c r="H67" s="23">
        <f t="shared" si="37"/>
        <v>0</v>
      </c>
      <c r="I67" s="23">
        <f t="shared" ca="1" si="37"/>
        <v>0</v>
      </c>
      <c r="J67" s="23">
        <f t="shared" ca="1" si="37"/>
        <v>0</v>
      </c>
      <c r="K67" s="23">
        <f t="shared" ca="1" si="37"/>
        <v>0</v>
      </c>
      <c r="L67" s="23">
        <f t="shared" ca="1" si="37"/>
        <v>0</v>
      </c>
      <c r="M67" s="23">
        <f t="shared" ca="1" si="37"/>
        <v>0</v>
      </c>
      <c r="N67" s="23">
        <f t="shared" ca="1" si="37"/>
        <v>0</v>
      </c>
      <c r="O67" s="23">
        <f t="shared" ca="1" si="37"/>
        <v>0</v>
      </c>
      <c r="P67" s="23">
        <f t="shared" ca="1" si="37"/>
        <v>0</v>
      </c>
      <c r="Q67" s="23">
        <f t="shared" ca="1" si="37"/>
        <v>0</v>
      </c>
      <c r="R67" s="23">
        <f t="shared" ca="1" si="37"/>
        <v>0</v>
      </c>
    </row>
    <row r="68" spans="1:18" x14ac:dyDescent="0.3">
      <c r="B68" s="21" t="s">
        <v>57</v>
      </c>
    </row>
    <row r="69" spans="1:18" x14ac:dyDescent="0.3">
      <c r="B69" s="22" t="s">
        <v>58</v>
      </c>
      <c r="C69" s="22"/>
      <c r="D69" s="25">
        <f t="shared" ref="D69:R69" si="38">D67+D68</f>
        <v>0</v>
      </c>
      <c r="E69" s="25">
        <f t="shared" si="38"/>
        <v>0</v>
      </c>
      <c r="F69" s="25">
        <f t="shared" si="38"/>
        <v>0</v>
      </c>
      <c r="G69" s="25">
        <f t="shared" si="38"/>
        <v>0</v>
      </c>
      <c r="H69" s="25">
        <f t="shared" si="38"/>
        <v>0</v>
      </c>
      <c r="I69" s="25">
        <f t="shared" ca="1" si="38"/>
        <v>0</v>
      </c>
      <c r="J69" s="25">
        <f t="shared" ca="1" si="38"/>
        <v>0</v>
      </c>
      <c r="K69" s="25">
        <f t="shared" ca="1" si="38"/>
        <v>0</v>
      </c>
      <c r="L69" s="25">
        <f t="shared" ca="1" si="38"/>
        <v>0</v>
      </c>
      <c r="M69" s="25">
        <f t="shared" ca="1" si="38"/>
        <v>0</v>
      </c>
      <c r="N69" s="25">
        <f t="shared" ca="1" si="38"/>
        <v>0</v>
      </c>
      <c r="O69" s="25">
        <f t="shared" ca="1" si="38"/>
        <v>0</v>
      </c>
      <c r="P69" s="25">
        <f t="shared" ca="1" si="38"/>
        <v>0</v>
      </c>
      <c r="Q69" s="25">
        <f t="shared" ca="1" si="38"/>
        <v>0</v>
      </c>
      <c r="R69" s="25">
        <f t="shared" ca="1" si="38"/>
        <v>0</v>
      </c>
    </row>
    <row r="70" spans="1:18" x14ac:dyDescent="0.3">
      <c r="B70" s="26" t="s">
        <v>59</v>
      </c>
      <c r="D70" s="28" t="s">
        <v>230</v>
      </c>
      <c r="E70" s="28" t="s">
        <v>230</v>
      </c>
      <c r="F70" s="28" t="s">
        <v>230</v>
      </c>
      <c r="G70" s="28" t="s">
        <v>230</v>
      </c>
      <c r="H70" s="28" t="s">
        <v>230</v>
      </c>
      <c r="I70" s="28" t="s">
        <v>230</v>
      </c>
      <c r="J70" s="28" t="s">
        <v>230</v>
      </c>
      <c r="K70" s="28" t="s">
        <v>230</v>
      </c>
      <c r="L70" s="28" t="s">
        <v>230</v>
      </c>
      <c r="M70" s="28" t="s">
        <v>230</v>
      </c>
      <c r="N70" s="28" t="s">
        <v>230</v>
      </c>
      <c r="O70" s="28" t="s">
        <v>230</v>
      </c>
      <c r="P70" s="28" t="s">
        <v>230</v>
      </c>
      <c r="Q70" s="28" t="s">
        <v>230</v>
      </c>
      <c r="R70" s="28" t="s">
        <v>230</v>
      </c>
    </row>
    <row r="72" spans="1:18" x14ac:dyDescent="0.3">
      <c r="A72" s="4" t="s">
        <v>1</v>
      </c>
      <c r="B72" s="43" t="s">
        <v>34</v>
      </c>
      <c r="C72" s="42"/>
      <c r="D72" s="92">
        <f>$G$1</f>
        <v>2025</v>
      </c>
      <c r="E72" s="92">
        <f t="shared" ref="E72:R72" si="39">D72+1</f>
        <v>2026</v>
      </c>
      <c r="F72" s="92">
        <f t="shared" si="39"/>
        <v>2027</v>
      </c>
      <c r="G72" s="92">
        <f t="shared" si="39"/>
        <v>2028</v>
      </c>
      <c r="H72" s="92">
        <f t="shared" si="39"/>
        <v>2029</v>
      </c>
      <c r="I72" s="92">
        <f t="shared" si="39"/>
        <v>2030</v>
      </c>
      <c r="J72" s="92">
        <f t="shared" si="39"/>
        <v>2031</v>
      </c>
      <c r="K72" s="92">
        <f t="shared" si="39"/>
        <v>2032</v>
      </c>
      <c r="L72" s="92">
        <f t="shared" si="39"/>
        <v>2033</v>
      </c>
      <c r="M72" s="92">
        <f t="shared" si="39"/>
        <v>2034</v>
      </c>
      <c r="N72" s="92">
        <f t="shared" si="39"/>
        <v>2035</v>
      </c>
      <c r="O72" s="92">
        <f t="shared" si="39"/>
        <v>2036</v>
      </c>
      <c r="P72" s="92">
        <f t="shared" si="39"/>
        <v>2037</v>
      </c>
      <c r="Q72" s="92">
        <f t="shared" si="39"/>
        <v>2038</v>
      </c>
      <c r="R72" s="92">
        <f t="shared" si="39"/>
        <v>2039</v>
      </c>
    </row>
    <row r="73" spans="1:18" x14ac:dyDescent="0.3">
      <c r="C73" s="2"/>
    </row>
    <row r="74" spans="1:18" x14ac:dyDescent="0.3">
      <c r="B74" s="22" t="s">
        <v>35</v>
      </c>
      <c r="C74" s="8"/>
      <c r="D74" s="16">
        <f t="shared" ref="D74:R74" ca="1" si="40">SUM(D75:D77)</f>
        <v>22862.991300872018</v>
      </c>
      <c r="E74" s="16">
        <f t="shared" si="40"/>
        <v>0</v>
      </c>
      <c r="F74" s="16">
        <f t="shared" si="40"/>
        <v>0</v>
      </c>
      <c r="G74" s="16">
        <f t="shared" si="40"/>
        <v>0</v>
      </c>
      <c r="H74" s="16">
        <f t="shared" si="40"/>
        <v>0</v>
      </c>
      <c r="I74" s="16">
        <f t="shared" ca="1" si="40"/>
        <v>0</v>
      </c>
      <c r="J74" s="16">
        <f t="shared" si="40"/>
        <v>0</v>
      </c>
      <c r="K74" s="16">
        <f t="shared" si="40"/>
        <v>0</v>
      </c>
      <c r="L74" s="16">
        <f t="shared" si="40"/>
        <v>0</v>
      </c>
      <c r="M74" s="16">
        <f t="shared" si="40"/>
        <v>0</v>
      </c>
      <c r="N74" s="16">
        <f t="shared" si="40"/>
        <v>0</v>
      </c>
      <c r="O74" s="16">
        <f t="shared" si="40"/>
        <v>0</v>
      </c>
      <c r="P74" s="16">
        <f t="shared" si="40"/>
        <v>0</v>
      </c>
      <c r="Q74" s="16">
        <f t="shared" si="40"/>
        <v>0</v>
      </c>
      <c r="R74" s="16">
        <f t="shared" si="40"/>
        <v>0</v>
      </c>
    </row>
    <row r="75" spans="1:18" x14ac:dyDescent="0.3">
      <c r="B75" s="15" t="s">
        <v>68</v>
      </c>
      <c r="D75" s="17">
        <f t="shared" ref="D75:R75" ca="1" si="41">D44</f>
        <v>22862.991300872018</v>
      </c>
      <c r="E75" s="17">
        <f t="shared" si="41"/>
        <v>0</v>
      </c>
      <c r="F75" s="17">
        <f t="shared" si="41"/>
        <v>0</v>
      </c>
      <c r="G75" s="17">
        <f t="shared" si="41"/>
        <v>0</v>
      </c>
      <c r="H75" s="17">
        <f t="shared" si="41"/>
        <v>0</v>
      </c>
      <c r="I75" s="17">
        <f t="shared" ca="1" si="41"/>
        <v>0</v>
      </c>
      <c r="J75" s="17">
        <f t="shared" si="41"/>
        <v>0</v>
      </c>
      <c r="K75" s="17">
        <f t="shared" si="41"/>
        <v>0</v>
      </c>
      <c r="L75" s="17">
        <f t="shared" si="41"/>
        <v>0</v>
      </c>
      <c r="M75" s="17">
        <f t="shared" si="41"/>
        <v>0</v>
      </c>
      <c r="N75" s="17">
        <f t="shared" si="41"/>
        <v>0</v>
      </c>
      <c r="O75" s="17">
        <f t="shared" si="41"/>
        <v>0</v>
      </c>
      <c r="P75" s="17">
        <f t="shared" si="41"/>
        <v>0</v>
      </c>
      <c r="Q75" s="17">
        <f t="shared" si="41"/>
        <v>0</v>
      </c>
      <c r="R75" s="17">
        <f t="shared" si="41"/>
        <v>0</v>
      </c>
    </row>
    <row r="76" spans="1:18" x14ac:dyDescent="0.3">
      <c r="B76" s="15" t="s">
        <v>69</v>
      </c>
      <c r="D76" s="17">
        <f t="shared" ref="D76:R76" si="42">D45</f>
        <v>0</v>
      </c>
      <c r="E76" s="17">
        <f t="shared" si="42"/>
        <v>0</v>
      </c>
      <c r="F76" s="17">
        <f t="shared" si="42"/>
        <v>0</v>
      </c>
      <c r="G76" s="17">
        <f t="shared" si="42"/>
        <v>0</v>
      </c>
      <c r="H76" s="17">
        <f t="shared" si="42"/>
        <v>0</v>
      </c>
      <c r="I76" s="17">
        <f t="shared" si="42"/>
        <v>0</v>
      </c>
      <c r="J76" s="17">
        <f t="shared" si="42"/>
        <v>0</v>
      </c>
      <c r="K76" s="17">
        <f t="shared" si="42"/>
        <v>0</v>
      </c>
      <c r="L76" s="17">
        <f t="shared" si="42"/>
        <v>0</v>
      </c>
      <c r="M76" s="17">
        <f t="shared" si="42"/>
        <v>0</v>
      </c>
      <c r="N76" s="17">
        <f t="shared" si="42"/>
        <v>0</v>
      </c>
      <c r="O76" s="17">
        <f t="shared" si="42"/>
        <v>0</v>
      </c>
      <c r="P76" s="17">
        <f t="shared" si="42"/>
        <v>0</v>
      </c>
      <c r="Q76" s="17">
        <f t="shared" si="42"/>
        <v>0</v>
      </c>
      <c r="R76" s="17">
        <f t="shared" si="42"/>
        <v>0</v>
      </c>
    </row>
    <row r="77" spans="1:18" x14ac:dyDescent="0.3">
      <c r="B77" s="15" t="s">
        <v>70</v>
      </c>
      <c r="D77" s="17">
        <f t="shared" ref="D77:R77" si="43">D99</f>
        <v>0</v>
      </c>
      <c r="E77" s="17">
        <f t="shared" si="43"/>
        <v>0</v>
      </c>
      <c r="F77" s="17">
        <f t="shared" si="43"/>
        <v>0</v>
      </c>
      <c r="G77" s="17">
        <f t="shared" si="43"/>
        <v>0</v>
      </c>
      <c r="H77" s="17">
        <f t="shared" si="43"/>
        <v>0</v>
      </c>
      <c r="I77" s="17">
        <f t="shared" si="43"/>
        <v>0</v>
      </c>
      <c r="J77" s="17">
        <f t="shared" si="43"/>
        <v>0</v>
      </c>
      <c r="K77" s="17">
        <f t="shared" si="43"/>
        <v>0</v>
      </c>
      <c r="L77" s="17">
        <f t="shared" si="43"/>
        <v>0</v>
      </c>
      <c r="M77" s="17">
        <f t="shared" si="43"/>
        <v>0</v>
      </c>
      <c r="N77" s="17">
        <f t="shared" si="43"/>
        <v>0</v>
      </c>
      <c r="O77" s="17">
        <f t="shared" si="43"/>
        <v>0</v>
      </c>
      <c r="P77" s="17">
        <f t="shared" si="43"/>
        <v>0</v>
      </c>
      <c r="Q77" s="17">
        <f t="shared" si="43"/>
        <v>0</v>
      </c>
      <c r="R77" s="17">
        <f t="shared" si="43"/>
        <v>0</v>
      </c>
    </row>
    <row r="79" spans="1:18" x14ac:dyDescent="0.3">
      <c r="B79" s="22" t="s">
        <v>37</v>
      </c>
      <c r="C79" s="8"/>
      <c r="D79" s="14">
        <f t="shared" ref="D79:R79" si="44">D80</f>
        <v>0</v>
      </c>
      <c r="E79" s="14">
        <f t="shared" si="44"/>
        <v>0</v>
      </c>
      <c r="F79" s="14">
        <f t="shared" si="44"/>
        <v>0</v>
      </c>
      <c r="G79" s="14">
        <f t="shared" si="44"/>
        <v>0</v>
      </c>
      <c r="H79" s="14">
        <f t="shared" si="44"/>
        <v>0</v>
      </c>
      <c r="I79" s="14">
        <f t="shared" si="44"/>
        <v>0</v>
      </c>
      <c r="J79" s="14">
        <f t="shared" si="44"/>
        <v>0</v>
      </c>
      <c r="K79" s="14">
        <f t="shared" si="44"/>
        <v>0</v>
      </c>
      <c r="L79" s="14">
        <f t="shared" si="44"/>
        <v>0</v>
      </c>
      <c r="M79" s="14">
        <f t="shared" si="44"/>
        <v>0</v>
      </c>
      <c r="N79" s="14">
        <f t="shared" si="44"/>
        <v>0</v>
      </c>
      <c r="O79" s="14">
        <f t="shared" si="44"/>
        <v>0</v>
      </c>
      <c r="P79" s="14">
        <f t="shared" si="44"/>
        <v>0</v>
      </c>
      <c r="Q79" s="14">
        <f t="shared" si="44"/>
        <v>0</v>
      </c>
      <c r="R79" s="14">
        <f t="shared" si="44"/>
        <v>0</v>
      </c>
    </row>
    <row r="80" spans="1:18" x14ac:dyDescent="0.3">
      <c r="B80" s="15" t="s">
        <v>71</v>
      </c>
    </row>
    <row r="82" spans="1:18" x14ac:dyDescent="0.3">
      <c r="B82" s="22" t="s">
        <v>38</v>
      </c>
      <c r="C82" s="8"/>
      <c r="D82" s="14">
        <f t="shared" ref="D82:R82" si="45">D83-D84-D85</f>
        <v>0</v>
      </c>
      <c r="E82" s="14">
        <f t="shared" si="45"/>
        <v>0</v>
      </c>
      <c r="F82" s="14">
        <f t="shared" si="45"/>
        <v>0</v>
      </c>
      <c r="G82" s="14">
        <f t="shared" si="45"/>
        <v>0</v>
      </c>
      <c r="H82" s="14">
        <f t="shared" si="45"/>
        <v>0</v>
      </c>
      <c r="I82" s="14">
        <f t="shared" si="45"/>
        <v>0</v>
      </c>
      <c r="J82" s="14">
        <f t="shared" si="45"/>
        <v>0</v>
      </c>
      <c r="K82" s="14">
        <f t="shared" si="45"/>
        <v>0</v>
      </c>
      <c r="L82" s="14">
        <f t="shared" si="45"/>
        <v>0</v>
      </c>
      <c r="M82" s="14">
        <f t="shared" si="45"/>
        <v>0</v>
      </c>
      <c r="N82" s="14">
        <f t="shared" si="45"/>
        <v>0</v>
      </c>
      <c r="O82" s="14">
        <f t="shared" si="45"/>
        <v>0</v>
      </c>
      <c r="P82" s="14">
        <f t="shared" si="45"/>
        <v>0</v>
      </c>
      <c r="Q82" s="14">
        <f t="shared" si="45"/>
        <v>0</v>
      </c>
      <c r="R82" s="14">
        <f t="shared" si="45"/>
        <v>0</v>
      </c>
    </row>
    <row r="83" spans="1:18" x14ac:dyDescent="0.3">
      <c r="B83" s="15" t="s">
        <v>72</v>
      </c>
    </row>
    <row r="84" spans="1:18" x14ac:dyDescent="0.3">
      <c r="B84" s="15" t="s">
        <v>65</v>
      </c>
    </row>
    <row r="85" spans="1:18" x14ac:dyDescent="0.3">
      <c r="B85" s="15" t="s">
        <v>66</v>
      </c>
    </row>
    <row r="87" spans="1:18" x14ac:dyDescent="0.3">
      <c r="B87" s="22" t="s">
        <v>39</v>
      </c>
      <c r="C87" s="8"/>
      <c r="D87" s="16">
        <f t="shared" ref="D87:R87" ca="1" si="46">D91-D89-D90</f>
        <v>-22862.991300872018</v>
      </c>
      <c r="E87" s="16">
        <f t="shared" si="46"/>
        <v>0</v>
      </c>
      <c r="F87" s="16">
        <f t="shared" si="46"/>
        <v>0</v>
      </c>
      <c r="G87" s="16">
        <f t="shared" si="46"/>
        <v>0</v>
      </c>
      <c r="H87" s="16">
        <f t="shared" si="46"/>
        <v>0</v>
      </c>
      <c r="I87" s="16">
        <f t="shared" ca="1" si="46"/>
        <v>0</v>
      </c>
      <c r="J87" s="16">
        <f t="shared" ca="1" si="46"/>
        <v>0</v>
      </c>
      <c r="K87" s="16">
        <f t="shared" ca="1" si="46"/>
        <v>0</v>
      </c>
      <c r="L87" s="16">
        <f t="shared" ca="1" si="46"/>
        <v>0</v>
      </c>
      <c r="M87" s="16">
        <f t="shared" ca="1" si="46"/>
        <v>0</v>
      </c>
      <c r="N87" s="16">
        <f t="shared" ca="1" si="46"/>
        <v>0</v>
      </c>
      <c r="O87" s="16">
        <f t="shared" ca="1" si="46"/>
        <v>0</v>
      </c>
      <c r="P87" s="16">
        <f t="shared" ca="1" si="46"/>
        <v>0</v>
      </c>
      <c r="Q87" s="16">
        <f t="shared" ca="1" si="46"/>
        <v>0</v>
      </c>
      <c r="R87" s="16">
        <f t="shared" ca="1" si="46"/>
        <v>0</v>
      </c>
    </row>
    <row r="89" spans="1:18" x14ac:dyDescent="0.3">
      <c r="B89" s="15" t="s">
        <v>40</v>
      </c>
      <c r="D89" s="17">
        <f t="shared" ref="D89:R89" ca="1" si="47">D82+D79+D74</f>
        <v>22862.991300872018</v>
      </c>
      <c r="E89" s="17">
        <f t="shared" si="47"/>
        <v>0</v>
      </c>
      <c r="F89" s="17">
        <f t="shared" si="47"/>
        <v>0</v>
      </c>
      <c r="G89" s="17">
        <f t="shared" si="47"/>
        <v>0</v>
      </c>
      <c r="H89" s="17">
        <f t="shared" si="47"/>
        <v>0</v>
      </c>
      <c r="I89" s="17">
        <f t="shared" ca="1" si="47"/>
        <v>0</v>
      </c>
      <c r="J89" s="17">
        <f t="shared" si="47"/>
        <v>0</v>
      </c>
      <c r="K89" s="17">
        <f t="shared" si="47"/>
        <v>0</v>
      </c>
      <c r="L89" s="17">
        <f t="shared" si="47"/>
        <v>0</v>
      </c>
      <c r="M89" s="17">
        <f t="shared" si="47"/>
        <v>0</v>
      </c>
      <c r="N89" s="17">
        <f t="shared" si="47"/>
        <v>0</v>
      </c>
      <c r="O89" s="17">
        <f t="shared" si="47"/>
        <v>0</v>
      </c>
      <c r="P89" s="17">
        <f t="shared" si="47"/>
        <v>0</v>
      </c>
      <c r="Q89" s="17">
        <f t="shared" si="47"/>
        <v>0</v>
      </c>
      <c r="R89" s="17">
        <f t="shared" si="47"/>
        <v>0</v>
      </c>
    </row>
    <row r="90" spans="1:18" x14ac:dyDescent="0.3">
      <c r="B90" s="15" t="s">
        <v>41</v>
      </c>
      <c r="D90" s="17">
        <v>0</v>
      </c>
      <c r="E90" s="17">
        <f t="shared" ref="E90:R90" si="48">D91</f>
        <v>0</v>
      </c>
      <c r="F90" s="17">
        <f t="shared" si="48"/>
        <v>0</v>
      </c>
      <c r="G90" s="17">
        <f t="shared" si="48"/>
        <v>0</v>
      </c>
      <c r="H90" s="17">
        <f t="shared" si="48"/>
        <v>0</v>
      </c>
      <c r="I90" s="17">
        <f t="shared" si="48"/>
        <v>0</v>
      </c>
      <c r="J90" s="17">
        <f t="shared" ca="1" si="48"/>
        <v>0</v>
      </c>
      <c r="K90" s="17">
        <f t="shared" ca="1" si="48"/>
        <v>0</v>
      </c>
      <c r="L90" s="17">
        <f t="shared" ca="1" si="48"/>
        <v>0</v>
      </c>
      <c r="M90" s="17">
        <f t="shared" ca="1" si="48"/>
        <v>0</v>
      </c>
      <c r="N90" s="17">
        <f t="shared" ca="1" si="48"/>
        <v>0</v>
      </c>
      <c r="O90" s="17">
        <f t="shared" ca="1" si="48"/>
        <v>0</v>
      </c>
      <c r="P90" s="17">
        <f t="shared" ca="1" si="48"/>
        <v>0</v>
      </c>
      <c r="Q90" s="17">
        <f t="shared" ca="1" si="48"/>
        <v>0</v>
      </c>
      <c r="R90" s="17">
        <f t="shared" ca="1" si="48"/>
        <v>0</v>
      </c>
    </row>
    <row r="91" spans="1:18" x14ac:dyDescent="0.3">
      <c r="B91" s="22" t="s">
        <v>42</v>
      </c>
      <c r="C91" s="8"/>
      <c r="D91" s="14">
        <f>D51</f>
        <v>0</v>
      </c>
      <c r="E91" s="14">
        <f>E51</f>
        <v>0</v>
      </c>
      <c r="F91" s="14">
        <f>F51</f>
        <v>0</v>
      </c>
      <c r="G91" s="14">
        <f>G51</f>
        <v>0</v>
      </c>
      <c r="H91" s="14">
        <f>H51</f>
        <v>0</v>
      </c>
      <c r="I91" s="16">
        <f t="shared" ref="I91:R91" ca="1" si="49">I89+I90</f>
        <v>0</v>
      </c>
      <c r="J91" s="16">
        <f t="shared" ca="1" si="49"/>
        <v>0</v>
      </c>
      <c r="K91" s="16">
        <f t="shared" ca="1" si="49"/>
        <v>0</v>
      </c>
      <c r="L91" s="16">
        <f t="shared" ca="1" si="49"/>
        <v>0</v>
      </c>
      <c r="M91" s="16">
        <f t="shared" ca="1" si="49"/>
        <v>0</v>
      </c>
      <c r="N91" s="16">
        <f t="shared" ca="1" si="49"/>
        <v>0</v>
      </c>
      <c r="O91" s="16">
        <f t="shared" ca="1" si="49"/>
        <v>0</v>
      </c>
      <c r="P91" s="16">
        <f t="shared" ca="1" si="49"/>
        <v>0</v>
      </c>
      <c r="Q91" s="16">
        <f t="shared" ca="1" si="49"/>
        <v>0</v>
      </c>
      <c r="R91" s="16">
        <f t="shared" ca="1" si="49"/>
        <v>0</v>
      </c>
    </row>
    <row r="93" spans="1:18" x14ac:dyDescent="0.3">
      <c r="A93" s="4" t="s">
        <v>1</v>
      </c>
      <c r="B93" s="43" t="s">
        <v>60</v>
      </c>
      <c r="C93" s="42"/>
      <c r="D93" s="92">
        <f>$G$1</f>
        <v>2025</v>
      </c>
      <c r="E93" s="92">
        <f t="shared" ref="E93:R93" si="50">D93+1</f>
        <v>2026</v>
      </c>
      <c r="F93" s="92">
        <f t="shared" si="50"/>
        <v>2027</v>
      </c>
      <c r="G93" s="92">
        <f t="shared" si="50"/>
        <v>2028</v>
      </c>
      <c r="H93" s="92">
        <f t="shared" si="50"/>
        <v>2029</v>
      </c>
      <c r="I93" s="92">
        <f t="shared" si="50"/>
        <v>2030</v>
      </c>
      <c r="J93" s="92">
        <f t="shared" si="50"/>
        <v>2031</v>
      </c>
      <c r="K93" s="92">
        <f t="shared" si="50"/>
        <v>2032</v>
      </c>
      <c r="L93" s="92">
        <f t="shared" si="50"/>
        <v>2033</v>
      </c>
      <c r="M93" s="92">
        <f t="shared" si="50"/>
        <v>2034</v>
      </c>
      <c r="N93" s="92">
        <f t="shared" si="50"/>
        <v>2035</v>
      </c>
      <c r="O93" s="92">
        <f t="shared" si="50"/>
        <v>2036</v>
      </c>
      <c r="P93" s="92">
        <f t="shared" si="50"/>
        <v>2037</v>
      </c>
      <c r="Q93" s="92">
        <f t="shared" si="50"/>
        <v>2038</v>
      </c>
      <c r="R93" s="92">
        <f t="shared" si="50"/>
        <v>2039</v>
      </c>
    </row>
    <row r="95" spans="1:18" x14ac:dyDescent="0.3">
      <c r="B95" s="1" t="s">
        <v>62</v>
      </c>
    </row>
    <row r="96" spans="1:18" x14ac:dyDescent="0.3">
      <c r="B96" s="24" t="s">
        <v>47</v>
      </c>
      <c r="D96" s="2">
        <f t="shared" ref="D96:R96" si="51">D52</f>
        <v>0</v>
      </c>
      <c r="E96" s="2">
        <f t="shared" si="51"/>
        <v>0</v>
      </c>
      <c r="F96" s="2">
        <f t="shared" si="51"/>
        <v>0</v>
      </c>
      <c r="G96" s="2">
        <f t="shared" si="51"/>
        <v>0</v>
      </c>
      <c r="H96" s="2">
        <f t="shared" si="51"/>
        <v>0</v>
      </c>
      <c r="I96" s="17">
        <f t="shared" si="51"/>
        <v>0</v>
      </c>
      <c r="J96" s="17">
        <f t="shared" si="51"/>
        <v>0</v>
      </c>
      <c r="K96" s="17">
        <f t="shared" si="51"/>
        <v>0</v>
      </c>
      <c r="L96" s="17">
        <f t="shared" si="51"/>
        <v>0</v>
      </c>
      <c r="M96" s="17">
        <f t="shared" si="51"/>
        <v>0</v>
      </c>
      <c r="N96" s="17">
        <f t="shared" si="51"/>
        <v>0</v>
      </c>
      <c r="O96" s="17">
        <f t="shared" si="51"/>
        <v>0</v>
      </c>
      <c r="P96" s="17">
        <f t="shared" si="51"/>
        <v>0</v>
      </c>
      <c r="Q96" s="17">
        <f t="shared" si="51"/>
        <v>0</v>
      </c>
      <c r="R96" s="17">
        <f t="shared" si="51"/>
        <v>0</v>
      </c>
    </row>
    <row r="97" spans="2:18" x14ac:dyDescent="0.3">
      <c r="B97" s="24" t="s">
        <v>48</v>
      </c>
      <c r="D97" s="2">
        <f t="shared" ref="D97:R97" si="52">D53</f>
        <v>0</v>
      </c>
      <c r="E97" s="2">
        <f t="shared" si="52"/>
        <v>0</v>
      </c>
      <c r="F97" s="2">
        <f t="shared" si="52"/>
        <v>0</v>
      </c>
      <c r="G97" s="2">
        <f t="shared" si="52"/>
        <v>0</v>
      </c>
      <c r="H97" s="2">
        <f t="shared" si="52"/>
        <v>0</v>
      </c>
      <c r="I97" s="17">
        <f t="shared" si="52"/>
        <v>0</v>
      </c>
      <c r="J97" s="17">
        <f t="shared" si="52"/>
        <v>0</v>
      </c>
      <c r="K97" s="17">
        <f t="shared" si="52"/>
        <v>0</v>
      </c>
      <c r="L97" s="17">
        <f t="shared" si="52"/>
        <v>0</v>
      </c>
      <c r="M97" s="17">
        <f t="shared" si="52"/>
        <v>0</v>
      </c>
      <c r="N97" s="17">
        <f t="shared" si="52"/>
        <v>0</v>
      </c>
      <c r="O97" s="17">
        <f t="shared" si="52"/>
        <v>0</v>
      </c>
      <c r="P97" s="17">
        <f t="shared" si="52"/>
        <v>0</v>
      </c>
      <c r="Q97" s="17">
        <f t="shared" si="52"/>
        <v>0</v>
      </c>
      <c r="R97" s="17">
        <f t="shared" si="52"/>
        <v>0</v>
      </c>
    </row>
    <row r="98" spans="2:18" x14ac:dyDescent="0.3">
      <c r="B98" s="24" t="s">
        <v>53</v>
      </c>
      <c r="D98" s="27">
        <f t="shared" ref="D98:R98" si="53">D62</f>
        <v>0</v>
      </c>
      <c r="E98" s="27">
        <f t="shared" si="53"/>
        <v>0</v>
      </c>
      <c r="F98" s="27">
        <f t="shared" si="53"/>
        <v>0</v>
      </c>
      <c r="G98" s="27">
        <f t="shared" si="53"/>
        <v>0</v>
      </c>
      <c r="H98" s="27">
        <f t="shared" si="53"/>
        <v>0</v>
      </c>
      <c r="I98" s="27">
        <f t="shared" si="53"/>
        <v>0</v>
      </c>
      <c r="J98" s="27">
        <f t="shared" si="53"/>
        <v>0</v>
      </c>
      <c r="K98" s="27">
        <f t="shared" si="53"/>
        <v>0</v>
      </c>
      <c r="L98" s="27">
        <f t="shared" si="53"/>
        <v>0</v>
      </c>
      <c r="M98" s="27">
        <f t="shared" si="53"/>
        <v>0</v>
      </c>
      <c r="N98" s="27">
        <f t="shared" si="53"/>
        <v>0</v>
      </c>
      <c r="O98" s="27">
        <f t="shared" si="53"/>
        <v>0</v>
      </c>
      <c r="P98" s="27">
        <f t="shared" si="53"/>
        <v>0</v>
      </c>
      <c r="Q98" s="27">
        <f t="shared" si="53"/>
        <v>0</v>
      </c>
      <c r="R98" s="27">
        <f t="shared" si="53"/>
        <v>0</v>
      </c>
    </row>
    <row r="99" spans="2:18" x14ac:dyDescent="0.3">
      <c r="B99" s="36" t="s">
        <v>90</v>
      </c>
      <c r="D99" s="27"/>
      <c r="E99" s="27"/>
      <c r="F99" s="27"/>
      <c r="G99" s="27"/>
      <c r="H99" s="27"/>
      <c r="I99" s="27"/>
      <c r="J99" s="27"/>
      <c r="K99" s="27"/>
      <c r="L99" s="27"/>
      <c r="M99" s="27"/>
      <c r="N99" s="27"/>
      <c r="O99" s="27"/>
      <c r="P99" s="27"/>
      <c r="Q99" s="27"/>
      <c r="R99" s="27"/>
    </row>
    <row r="100" spans="2:18" x14ac:dyDescent="0.3">
      <c r="B100" s="22" t="s">
        <v>36</v>
      </c>
      <c r="C100" s="22"/>
      <c r="D100" s="14"/>
      <c r="E100" s="117">
        <f t="shared" ref="E100:R100" si="54">E99-D99</f>
        <v>0</v>
      </c>
      <c r="F100" s="117">
        <f t="shared" si="54"/>
        <v>0</v>
      </c>
      <c r="G100" s="117">
        <f t="shared" si="54"/>
        <v>0</v>
      </c>
      <c r="H100" s="117">
        <f t="shared" si="54"/>
        <v>0</v>
      </c>
      <c r="I100" s="117">
        <f t="shared" si="54"/>
        <v>0</v>
      </c>
      <c r="J100" s="117">
        <f t="shared" si="54"/>
        <v>0</v>
      </c>
      <c r="K100" s="117">
        <f t="shared" si="54"/>
        <v>0</v>
      </c>
      <c r="L100" s="117">
        <f t="shared" si="54"/>
        <v>0</v>
      </c>
      <c r="M100" s="117">
        <f t="shared" si="54"/>
        <v>0</v>
      </c>
      <c r="N100" s="117">
        <f t="shared" si="54"/>
        <v>0</v>
      </c>
      <c r="O100" s="117">
        <f t="shared" si="54"/>
        <v>0</v>
      </c>
      <c r="P100" s="117">
        <f t="shared" si="54"/>
        <v>0</v>
      </c>
      <c r="Q100" s="117">
        <f t="shared" si="54"/>
        <v>0</v>
      </c>
      <c r="R100" s="117">
        <f t="shared" si="54"/>
        <v>0</v>
      </c>
    </row>
    <row r="102" spans="2:18" x14ac:dyDescent="0.3">
      <c r="B102" s="1" t="s">
        <v>63</v>
      </c>
    </row>
    <row r="103" spans="2:18" x14ac:dyDescent="0.3">
      <c r="B103" s="24" t="s">
        <v>61</v>
      </c>
      <c r="E103" s="2">
        <f t="shared" ref="E103:R103" si="55">D105</f>
        <v>0</v>
      </c>
      <c r="F103" s="2">
        <f t="shared" si="55"/>
        <v>0</v>
      </c>
      <c r="G103" s="2">
        <f t="shared" si="55"/>
        <v>0</v>
      </c>
      <c r="H103" s="2">
        <f t="shared" si="55"/>
        <v>0</v>
      </c>
      <c r="I103" s="2">
        <f t="shared" si="55"/>
        <v>0</v>
      </c>
      <c r="J103" s="2">
        <f t="shared" ca="1" si="55"/>
        <v>0</v>
      </c>
      <c r="K103" s="2">
        <f t="shared" ca="1" si="55"/>
        <v>0</v>
      </c>
      <c r="L103" s="2">
        <f t="shared" ca="1" si="55"/>
        <v>0</v>
      </c>
      <c r="M103" s="2">
        <f t="shared" ca="1" si="55"/>
        <v>0</v>
      </c>
      <c r="N103" s="2">
        <f t="shared" ca="1" si="55"/>
        <v>0</v>
      </c>
      <c r="O103" s="2">
        <f t="shared" ca="1" si="55"/>
        <v>0</v>
      </c>
      <c r="P103" s="2">
        <f t="shared" ca="1" si="55"/>
        <v>0</v>
      </c>
      <c r="Q103" s="2">
        <f t="shared" ca="1" si="55"/>
        <v>0</v>
      </c>
      <c r="R103" s="2">
        <f t="shared" ca="1" si="55"/>
        <v>0</v>
      </c>
    </row>
    <row r="104" spans="2:18" x14ac:dyDescent="0.3">
      <c r="B104" s="33" t="s">
        <v>67</v>
      </c>
      <c r="D104" s="2">
        <f t="shared" ref="D104:R104" si="56">D83</f>
        <v>0</v>
      </c>
      <c r="E104" s="2">
        <f t="shared" si="56"/>
        <v>0</v>
      </c>
      <c r="F104" s="2">
        <f t="shared" si="56"/>
        <v>0</v>
      </c>
      <c r="G104" s="2">
        <f t="shared" si="56"/>
        <v>0</v>
      </c>
      <c r="H104" s="2">
        <f t="shared" si="56"/>
        <v>0</v>
      </c>
      <c r="I104" s="2">
        <f t="shared" si="56"/>
        <v>0</v>
      </c>
      <c r="J104" s="2">
        <f t="shared" si="56"/>
        <v>0</v>
      </c>
      <c r="K104" s="2">
        <f t="shared" si="56"/>
        <v>0</v>
      </c>
      <c r="L104" s="2">
        <f t="shared" si="56"/>
        <v>0</v>
      </c>
      <c r="M104" s="2">
        <f t="shared" si="56"/>
        <v>0</v>
      </c>
      <c r="N104" s="2">
        <f t="shared" si="56"/>
        <v>0</v>
      </c>
      <c r="O104" s="2">
        <f t="shared" si="56"/>
        <v>0</v>
      </c>
      <c r="P104" s="2">
        <f t="shared" si="56"/>
        <v>0</v>
      </c>
      <c r="Q104" s="2">
        <f t="shared" si="56"/>
        <v>0</v>
      </c>
      <c r="R104" s="2">
        <f t="shared" si="56"/>
        <v>0</v>
      </c>
    </row>
    <row r="105" spans="2:18" x14ac:dyDescent="0.3">
      <c r="B105" s="22" t="s">
        <v>64</v>
      </c>
      <c r="C105" s="22"/>
      <c r="D105" s="14">
        <f t="shared" ref="D105:R105" si="57">D61+D65</f>
        <v>0</v>
      </c>
      <c r="E105" s="14">
        <f t="shared" si="57"/>
        <v>0</v>
      </c>
      <c r="F105" s="14">
        <f t="shared" si="57"/>
        <v>0</v>
      </c>
      <c r="G105" s="14">
        <f t="shared" si="57"/>
        <v>0</v>
      </c>
      <c r="H105" s="14">
        <f t="shared" si="57"/>
        <v>0</v>
      </c>
      <c r="I105" s="14">
        <f t="shared" ca="1" si="57"/>
        <v>0</v>
      </c>
      <c r="J105" s="14">
        <f t="shared" ca="1" si="57"/>
        <v>0</v>
      </c>
      <c r="K105" s="14">
        <f t="shared" ca="1" si="57"/>
        <v>0</v>
      </c>
      <c r="L105" s="14">
        <f t="shared" ca="1" si="57"/>
        <v>0</v>
      </c>
      <c r="M105" s="14">
        <f t="shared" ca="1" si="57"/>
        <v>0</v>
      </c>
      <c r="N105" s="14">
        <f t="shared" ca="1" si="57"/>
        <v>0</v>
      </c>
      <c r="O105" s="14">
        <f t="shared" ca="1" si="57"/>
        <v>0</v>
      </c>
      <c r="P105" s="14">
        <f t="shared" ca="1" si="57"/>
        <v>0</v>
      </c>
      <c r="Q105" s="14">
        <f t="shared" ca="1" si="57"/>
        <v>0</v>
      </c>
      <c r="R105" s="14">
        <f t="shared" ca="1" si="57"/>
        <v>0</v>
      </c>
    </row>
    <row r="107" spans="2:18" x14ac:dyDescent="0.3">
      <c r="B107" s="1" t="s">
        <v>74</v>
      </c>
    </row>
    <row r="108" spans="2:18" x14ac:dyDescent="0.3">
      <c r="B108" s="24" t="s">
        <v>75</v>
      </c>
      <c r="D108" s="34">
        <v>0.14649999999999999</v>
      </c>
      <c r="E108" s="34">
        <v>0.11899999999999999</v>
      </c>
      <c r="F108" s="34">
        <v>9.9000000000000005E-2</v>
      </c>
      <c r="G108" s="34">
        <f t="shared" ref="G108:R108" si="58">F108</f>
        <v>9.9000000000000005E-2</v>
      </c>
      <c r="H108" s="34">
        <f t="shared" si="58"/>
        <v>9.9000000000000005E-2</v>
      </c>
      <c r="I108" s="34">
        <f t="shared" si="58"/>
        <v>9.9000000000000005E-2</v>
      </c>
      <c r="J108" s="34">
        <f t="shared" si="58"/>
        <v>9.9000000000000005E-2</v>
      </c>
      <c r="K108" s="34">
        <f t="shared" si="58"/>
        <v>9.9000000000000005E-2</v>
      </c>
      <c r="L108" s="34">
        <f t="shared" si="58"/>
        <v>9.9000000000000005E-2</v>
      </c>
      <c r="M108" s="34">
        <f t="shared" si="58"/>
        <v>9.9000000000000005E-2</v>
      </c>
      <c r="N108" s="34">
        <f t="shared" si="58"/>
        <v>9.9000000000000005E-2</v>
      </c>
      <c r="O108" s="34">
        <f t="shared" si="58"/>
        <v>9.9000000000000005E-2</v>
      </c>
      <c r="P108" s="34">
        <f t="shared" si="58"/>
        <v>9.9000000000000005E-2</v>
      </c>
      <c r="Q108" s="34">
        <f t="shared" si="58"/>
        <v>9.9000000000000005E-2</v>
      </c>
      <c r="R108" s="34">
        <f t="shared" si="58"/>
        <v>9.9000000000000005E-2</v>
      </c>
    </row>
    <row r="109" spans="2:18" x14ac:dyDescent="0.3">
      <c r="B109" s="24" t="s">
        <v>76</v>
      </c>
      <c r="D109" s="34">
        <v>4.9599999999999998E-2</v>
      </c>
      <c r="E109" s="34">
        <v>4.0099999999999997E-2</v>
      </c>
      <c r="F109" s="34">
        <v>3.8300000000000001E-2</v>
      </c>
      <c r="G109" s="34">
        <f t="shared" ref="G109:R109" si="59">F109</f>
        <v>3.8300000000000001E-2</v>
      </c>
      <c r="H109" s="34">
        <f t="shared" si="59"/>
        <v>3.8300000000000001E-2</v>
      </c>
      <c r="I109" s="34">
        <f t="shared" si="59"/>
        <v>3.8300000000000001E-2</v>
      </c>
      <c r="J109" s="34">
        <f t="shared" si="59"/>
        <v>3.8300000000000001E-2</v>
      </c>
      <c r="K109" s="34">
        <f t="shared" si="59"/>
        <v>3.8300000000000001E-2</v>
      </c>
      <c r="L109" s="34">
        <f t="shared" si="59"/>
        <v>3.8300000000000001E-2</v>
      </c>
      <c r="M109" s="34">
        <f t="shared" si="59"/>
        <v>3.8300000000000001E-2</v>
      </c>
      <c r="N109" s="34">
        <f t="shared" si="59"/>
        <v>3.8300000000000001E-2</v>
      </c>
      <c r="O109" s="34">
        <f t="shared" si="59"/>
        <v>3.8300000000000001E-2</v>
      </c>
      <c r="P109" s="34">
        <f t="shared" si="59"/>
        <v>3.8300000000000001E-2</v>
      </c>
      <c r="Q109" s="34">
        <f t="shared" si="59"/>
        <v>3.8300000000000001E-2</v>
      </c>
      <c r="R109" s="34">
        <f t="shared" si="59"/>
        <v>3.8300000000000001E-2</v>
      </c>
    </row>
    <row r="111" spans="2:18" x14ac:dyDescent="0.3">
      <c r="B111" s="1" t="s">
        <v>77</v>
      </c>
    </row>
    <row r="112" spans="2:18" x14ac:dyDescent="0.3">
      <c r="B112" s="24" t="s">
        <v>78</v>
      </c>
      <c r="E112" s="2">
        <f t="shared" ref="E112:R112" si="60">D115</f>
        <v>0</v>
      </c>
      <c r="F112" s="2">
        <f t="shared" si="60"/>
        <v>0</v>
      </c>
      <c r="G112" s="2">
        <f t="shared" si="60"/>
        <v>0</v>
      </c>
      <c r="H112" s="2">
        <f t="shared" si="60"/>
        <v>0</v>
      </c>
      <c r="I112" s="2">
        <f t="shared" si="60"/>
        <v>0</v>
      </c>
      <c r="J112" s="2">
        <f t="shared" si="60"/>
        <v>0</v>
      </c>
      <c r="K112" s="2">
        <f t="shared" si="60"/>
        <v>0</v>
      </c>
      <c r="L112" s="2">
        <f t="shared" si="60"/>
        <v>0</v>
      </c>
      <c r="M112" s="2">
        <f t="shared" si="60"/>
        <v>0</v>
      </c>
      <c r="N112" s="2">
        <f t="shared" si="60"/>
        <v>0</v>
      </c>
      <c r="O112" s="2">
        <f t="shared" si="60"/>
        <v>0</v>
      </c>
      <c r="P112" s="2">
        <f t="shared" si="60"/>
        <v>0</v>
      </c>
      <c r="Q112" s="2">
        <f t="shared" si="60"/>
        <v>0</v>
      </c>
      <c r="R112" s="2">
        <f t="shared" si="60"/>
        <v>0</v>
      </c>
    </row>
    <row r="113" spans="1:18" x14ac:dyDescent="0.3">
      <c r="B113" s="24" t="s">
        <v>79</v>
      </c>
      <c r="D113" s="2">
        <f t="shared" ref="D113:R113" si="61">D80</f>
        <v>0</v>
      </c>
      <c r="E113" s="2">
        <f t="shared" si="61"/>
        <v>0</v>
      </c>
      <c r="F113" s="2">
        <f t="shared" si="61"/>
        <v>0</v>
      </c>
      <c r="G113" s="2">
        <f t="shared" si="61"/>
        <v>0</v>
      </c>
      <c r="H113" s="2">
        <f t="shared" si="61"/>
        <v>0</v>
      </c>
      <c r="I113" s="2">
        <f t="shared" si="61"/>
        <v>0</v>
      </c>
      <c r="J113" s="2">
        <f t="shared" si="61"/>
        <v>0</v>
      </c>
      <c r="K113" s="2">
        <f t="shared" si="61"/>
        <v>0</v>
      </c>
      <c r="L113" s="2">
        <f t="shared" si="61"/>
        <v>0</v>
      </c>
      <c r="M113" s="2">
        <f t="shared" si="61"/>
        <v>0</v>
      </c>
      <c r="N113" s="2">
        <f t="shared" si="61"/>
        <v>0</v>
      </c>
      <c r="O113" s="2">
        <f t="shared" si="61"/>
        <v>0</v>
      </c>
      <c r="P113" s="2">
        <f t="shared" si="61"/>
        <v>0</v>
      </c>
      <c r="Q113" s="2">
        <f t="shared" si="61"/>
        <v>0</v>
      </c>
      <c r="R113" s="2">
        <f t="shared" si="61"/>
        <v>0</v>
      </c>
    </row>
    <row r="114" spans="1:18" x14ac:dyDescent="0.3">
      <c r="B114" s="24" t="s">
        <v>81</v>
      </c>
      <c r="D114" s="2">
        <f t="shared" ref="D114:R114" si="62">D10*D112</f>
        <v>0</v>
      </c>
      <c r="E114" s="2">
        <f t="shared" si="62"/>
        <v>0</v>
      </c>
      <c r="F114" s="2">
        <f t="shared" si="62"/>
        <v>0</v>
      </c>
      <c r="G114" s="2">
        <f t="shared" si="62"/>
        <v>0</v>
      </c>
      <c r="H114" s="2">
        <f t="shared" si="62"/>
        <v>0</v>
      </c>
      <c r="I114" s="2">
        <f t="shared" si="62"/>
        <v>0</v>
      </c>
      <c r="J114" s="2">
        <f t="shared" si="62"/>
        <v>0</v>
      </c>
      <c r="K114" s="2">
        <f t="shared" si="62"/>
        <v>0</v>
      </c>
      <c r="L114" s="2">
        <f t="shared" si="62"/>
        <v>0</v>
      </c>
      <c r="M114" s="2">
        <f t="shared" si="62"/>
        <v>0</v>
      </c>
      <c r="N114" s="2">
        <f t="shared" si="62"/>
        <v>0</v>
      </c>
      <c r="O114" s="2">
        <f t="shared" si="62"/>
        <v>0</v>
      </c>
      <c r="P114" s="2">
        <f t="shared" si="62"/>
        <v>0</v>
      </c>
      <c r="Q114" s="2">
        <f t="shared" si="62"/>
        <v>0</v>
      </c>
      <c r="R114" s="2">
        <f t="shared" si="62"/>
        <v>0</v>
      </c>
    </row>
    <row r="115" spans="1:18" x14ac:dyDescent="0.3">
      <c r="B115" s="22" t="s">
        <v>80</v>
      </c>
      <c r="C115" s="8"/>
      <c r="D115" s="14">
        <f t="shared" ref="D115:R115" si="63">D112+D113-D114</f>
        <v>0</v>
      </c>
      <c r="E115" s="14">
        <f t="shared" si="63"/>
        <v>0</v>
      </c>
      <c r="F115" s="14">
        <f t="shared" si="63"/>
        <v>0</v>
      </c>
      <c r="G115" s="14">
        <f t="shared" si="63"/>
        <v>0</v>
      </c>
      <c r="H115" s="14">
        <f t="shared" si="63"/>
        <v>0</v>
      </c>
      <c r="I115" s="14">
        <f t="shared" si="63"/>
        <v>0</v>
      </c>
      <c r="J115" s="14">
        <f t="shared" si="63"/>
        <v>0</v>
      </c>
      <c r="K115" s="14">
        <f t="shared" si="63"/>
        <v>0</v>
      </c>
      <c r="L115" s="14">
        <f t="shared" si="63"/>
        <v>0</v>
      </c>
      <c r="M115" s="14">
        <f t="shared" si="63"/>
        <v>0</v>
      </c>
      <c r="N115" s="14">
        <f t="shared" si="63"/>
        <v>0</v>
      </c>
      <c r="O115" s="14">
        <f t="shared" si="63"/>
        <v>0</v>
      </c>
      <c r="P115" s="14">
        <f t="shared" si="63"/>
        <v>0</v>
      </c>
      <c r="Q115" s="14">
        <f t="shared" si="63"/>
        <v>0</v>
      </c>
      <c r="R115" s="14">
        <f t="shared" si="63"/>
        <v>0</v>
      </c>
    </row>
    <row r="117" spans="1:18" x14ac:dyDescent="0.3">
      <c r="A117" s="36" t="s">
        <v>1</v>
      </c>
      <c r="B117" s="43" t="s">
        <v>82</v>
      </c>
      <c r="C117" s="42"/>
      <c r="D117" s="92">
        <f>$G$1</f>
        <v>2025</v>
      </c>
      <c r="E117" s="92">
        <f t="shared" ref="E117:R117" si="64">D117+1</f>
        <v>2026</v>
      </c>
      <c r="F117" s="92">
        <f t="shared" si="64"/>
        <v>2027</v>
      </c>
      <c r="G117" s="92">
        <f t="shared" si="64"/>
        <v>2028</v>
      </c>
      <c r="H117" s="92">
        <f t="shared" si="64"/>
        <v>2029</v>
      </c>
      <c r="I117" s="92">
        <f t="shared" si="64"/>
        <v>2030</v>
      </c>
      <c r="J117" s="92">
        <f t="shared" si="64"/>
        <v>2031</v>
      </c>
      <c r="K117" s="92">
        <f t="shared" si="64"/>
        <v>2032</v>
      </c>
      <c r="L117" s="92">
        <f t="shared" si="64"/>
        <v>2033</v>
      </c>
      <c r="M117" s="92">
        <f t="shared" si="64"/>
        <v>2034</v>
      </c>
      <c r="N117" s="92">
        <f t="shared" si="64"/>
        <v>2035</v>
      </c>
      <c r="O117" s="92">
        <f t="shared" si="64"/>
        <v>2036</v>
      </c>
      <c r="P117" s="92">
        <f t="shared" si="64"/>
        <v>2037</v>
      </c>
      <c r="Q117" s="92">
        <f t="shared" si="64"/>
        <v>2038</v>
      </c>
      <c r="R117" s="92">
        <f t="shared" si="64"/>
        <v>2039</v>
      </c>
    </row>
    <row r="119" spans="1:18" x14ac:dyDescent="0.3">
      <c r="B119" s="1" t="s">
        <v>83</v>
      </c>
    </row>
    <row r="120" spans="1:18" x14ac:dyDescent="0.3">
      <c r="B120" s="36" t="s">
        <v>41</v>
      </c>
    </row>
    <row r="121" spans="1:18" x14ac:dyDescent="0.3">
      <c r="B121" s="36" t="s">
        <v>35</v>
      </c>
    </row>
    <row r="122" spans="1:18" x14ac:dyDescent="0.3">
      <c r="B122" s="36" t="s">
        <v>37</v>
      </c>
    </row>
    <row r="123" spans="1:18" x14ac:dyDescent="0.3">
      <c r="B123" s="36" t="s">
        <v>84</v>
      </c>
    </row>
    <row r="124" spans="1:18" x14ac:dyDescent="0.3">
      <c r="B124" s="36" t="s">
        <v>85</v>
      </c>
      <c r="I124" s="2">
        <f t="shared" ref="I124:R124" si="65">I85</f>
        <v>0</v>
      </c>
      <c r="J124" s="2">
        <f t="shared" si="65"/>
        <v>0</v>
      </c>
      <c r="K124" s="2">
        <f t="shared" si="65"/>
        <v>0</v>
      </c>
      <c r="L124" s="2">
        <f t="shared" si="65"/>
        <v>0</v>
      </c>
      <c r="M124" s="2">
        <f t="shared" si="65"/>
        <v>0</v>
      </c>
      <c r="N124" s="2">
        <f t="shared" si="65"/>
        <v>0</v>
      </c>
      <c r="O124" s="2">
        <f t="shared" si="65"/>
        <v>0</v>
      </c>
      <c r="P124" s="2">
        <f t="shared" si="65"/>
        <v>0</v>
      </c>
      <c r="Q124" s="2">
        <f t="shared" si="65"/>
        <v>0</v>
      </c>
      <c r="R124" s="2">
        <f t="shared" si="65"/>
        <v>0</v>
      </c>
    </row>
    <row r="125" spans="1:18" x14ac:dyDescent="0.3">
      <c r="B125" s="22" t="s">
        <v>86</v>
      </c>
      <c r="C125" s="22"/>
      <c r="D125" s="14"/>
      <c r="E125" s="14"/>
      <c r="F125" s="14"/>
      <c r="G125" s="14"/>
      <c r="H125" s="14"/>
      <c r="I125" s="14">
        <f t="shared" ref="I125:R125" si="66">SUM(I119:I124)</f>
        <v>0</v>
      </c>
      <c r="J125" s="14">
        <f t="shared" si="66"/>
        <v>0</v>
      </c>
      <c r="K125" s="14">
        <f t="shared" si="66"/>
        <v>0</v>
      </c>
      <c r="L125" s="14">
        <f t="shared" si="66"/>
        <v>0</v>
      </c>
      <c r="M125" s="14">
        <f t="shared" si="66"/>
        <v>0</v>
      </c>
      <c r="N125" s="14">
        <f t="shared" si="66"/>
        <v>0</v>
      </c>
      <c r="O125" s="14">
        <f t="shared" si="66"/>
        <v>0</v>
      </c>
      <c r="P125" s="14">
        <f t="shared" si="66"/>
        <v>0</v>
      </c>
      <c r="Q125" s="14">
        <f t="shared" si="66"/>
        <v>0</v>
      </c>
      <c r="R125" s="14">
        <f t="shared" si="66"/>
        <v>0</v>
      </c>
    </row>
    <row r="127" spans="1:18" x14ac:dyDescent="0.3">
      <c r="B127" s="1" t="s">
        <v>82</v>
      </c>
    </row>
    <row r="128" spans="1:18" x14ac:dyDescent="0.3">
      <c r="B128" s="37" t="s">
        <v>87</v>
      </c>
      <c r="I128" s="2">
        <f t="shared" ref="I128:R128" si="67">H130</f>
        <v>0</v>
      </c>
      <c r="J128" s="2">
        <f t="shared" ca="1" si="67"/>
        <v>0</v>
      </c>
      <c r="K128" s="2">
        <f t="shared" ca="1" si="67"/>
        <v>0</v>
      </c>
      <c r="L128" s="2">
        <f t="shared" ca="1" si="67"/>
        <v>0</v>
      </c>
      <c r="M128" s="2">
        <f t="shared" ca="1" si="67"/>
        <v>0</v>
      </c>
      <c r="N128" s="2">
        <f t="shared" ca="1" si="67"/>
        <v>0</v>
      </c>
      <c r="O128" s="2">
        <f t="shared" ca="1" si="67"/>
        <v>0</v>
      </c>
      <c r="P128" s="2">
        <f t="shared" ca="1" si="67"/>
        <v>0</v>
      </c>
      <c r="Q128" s="2">
        <f t="shared" ca="1" si="67"/>
        <v>0</v>
      </c>
      <c r="R128" s="2">
        <f t="shared" ca="1" si="67"/>
        <v>0</v>
      </c>
    </row>
    <row r="129" spans="1:18" x14ac:dyDescent="0.3">
      <c r="B129" s="37" t="s">
        <v>88</v>
      </c>
      <c r="I129" s="2">
        <v>0</v>
      </c>
      <c r="J129" s="2">
        <v>0</v>
      </c>
      <c r="K129" s="2">
        <v>0</v>
      </c>
      <c r="L129" s="2">
        <v>0</v>
      </c>
      <c r="M129" s="2">
        <v>0</v>
      </c>
      <c r="N129" s="2">
        <v>0</v>
      </c>
      <c r="O129" s="2">
        <v>0</v>
      </c>
      <c r="P129" s="2">
        <v>0</v>
      </c>
      <c r="Q129" s="2">
        <v>0</v>
      </c>
      <c r="R129" s="2">
        <v>0</v>
      </c>
    </row>
    <row r="130" spans="1:18" x14ac:dyDescent="0.3">
      <c r="B130" s="22" t="s">
        <v>89</v>
      </c>
      <c r="C130" s="22"/>
      <c r="D130" s="14"/>
      <c r="E130" s="14"/>
      <c r="F130" s="14"/>
      <c r="G130" s="14"/>
      <c r="H130" s="14">
        <f>H61</f>
        <v>0</v>
      </c>
      <c r="I130" s="14">
        <f t="shared" ref="I130:R130" ca="1" si="68">SUM(I128:I130)</f>
        <v>0</v>
      </c>
      <c r="J130" s="14">
        <f t="shared" ca="1" si="68"/>
        <v>0</v>
      </c>
      <c r="K130" s="14">
        <f t="shared" ca="1" si="68"/>
        <v>0</v>
      </c>
      <c r="L130" s="14">
        <f t="shared" ca="1" si="68"/>
        <v>0</v>
      </c>
      <c r="M130" s="14">
        <f t="shared" ca="1" si="68"/>
        <v>0</v>
      </c>
      <c r="N130" s="14">
        <f t="shared" ca="1" si="68"/>
        <v>0</v>
      </c>
      <c r="O130" s="14">
        <f t="shared" ca="1" si="68"/>
        <v>0</v>
      </c>
      <c r="P130" s="14">
        <f t="shared" ca="1" si="68"/>
        <v>0</v>
      </c>
      <c r="Q130" s="14">
        <f t="shared" ca="1" si="68"/>
        <v>0</v>
      </c>
      <c r="R130" s="14">
        <f t="shared" ca="1" si="68"/>
        <v>0</v>
      </c>
    </row>
    <row r="132" spans="1:18" x14ac:dyDescent="0.3">
      <c r="B132" s="1" t="s">
        <v>91</v>
      </c>
    </row>
    <row r="133" spans="1:18" x14ac:dyDescent="0.3">
      <c r="B133" s="36" t="s">
        <v>92</v>
      </c>
      <c r="I133" s="34">
        <f t="shared" ref="I133:R133" si="69">I12</f>
        <v>0</v>
      </c>
      <c r="J133" s="34">
        <f t="shared" si="69"/>
        <v>0</v>
      </c>
      <c r="K133" s="34">
        <f t="shared" si="69"/>
        <v>0</v>
      </c>
      <c r="L133" s="34">
        <f t="shared" si="69"/>
        <v>0</v>
      </c>
      <c r="M133" s="34">
        <f t="shared" si="69"/>
        <v>0</v>
      </c>
      <c r="N133" s="34">
        <f t="shared" si="69"/>
        <v>0</v>
      </c>
      <c r="O133" s="34">
        <f t="shared" si="69"/>
        <v>0</v>
      </c>
      <c r="P133" s="34">
        <f t="shared" si="69"/>
        <v>0</v>
      </c>
      <c r="Q133" s="34">
        <f t="shared" si="69"/>
        <v>0</v>
      </c>
      <c r="R133" s="34">
        <f t="shared" si="69"/>
        <v>0</v>
      </c>
    </row>
    <row r="134" spans="1:18" x14ac:dyDescent="0.3">
      <c r="B134" s="36" t="s">
        <v>93</v>
      </c>
      <c r="I134" s="2">
        <f ca="1">I133*I130</f>
        <v>0</v>
      </c>
    </row>
    <row r="135" spans="1:18" x14ac:dyDescent="0.3">
      <c r="B135" s="22" t="s">
        <v>95</v>
      </c>
      <c r="C135" s="22"/>
      <c r="D135" s="22"/>
      <c r="E135" s="22"/>
      <c r="F135" s="22"/>
      <c r="G135" s="22"/>
      <c r="H135" s="22"/>
      <c r="I135" s="14">
        <f t="shared" ref="I135:R135" ca="1" si="70">I134+(I65*I11)</f>
        <v>0</v>
      </c>
      <c r="J135" s="14">
        <f t="shared" si="70"/>
        <v>0</v>
      </c>
      <c r="K135" s="14">
        <f t="shared" si="70"/>
        <v>0</v>
      </c>
      <c r="L135" s="14">
        <f t="shared" si="70"/>
        <v>0</v>
      </c>
      <c r="M135" s="14">
        <f t="shared" si="70"/>
        <v>0</v>
      </c>
      <c r="N135" s="14">
        <f t="shared" si="70"/>
        <v>0</v>
      </c>
      <c r="O135" s="14">
        <f t="shared" si="70"/>
        <v>0</v>
      </c>
      <c r="P135" s="14">
        <f t="shared" si="70"/>
        <v>0</v>
      </c>
      <c r="Q135" s="14">
        <f t="shared" si="70"/>
        <v>0</v>
      </c>
      <c r="R135" s="14">
        <f t="shared" si="70"/>
        <v>0</v>
      </c>
    </row>
    <row r="137" spans="1:18" x14ac:dyDescent="0.3">
      <c r="A137" s="36" t="s">
        <v>1</v>
      </c>
      <c r="B137" s="43" t="s">
        <v>96</v>
      </c>
      <c r="C137" s="92"/>
      <c r="D137" s="92">
        <f t="shared" ref="D137:R137" si="71">D117</f>
        <v>2025</v>
      </c>
      <c r="E137" s="92">
        <f t="shared" si="71"/>
        <v>2026</v>
      </c>
      <c r="F137" s="92">
        <f t="shared" si="71"/>
        <v>2027</v>
      </c>
      <c r="G137" s="92">
        <f t="shared" si="71"/>
        <v>2028</v>
      </c>
      <c r="H137" s="92">
        <f t="shared" si="71"/>
        <v>2029</v>
      </c>
      <c r="I137" s="92">
        <f t="shared" si="71"/>
        <v>2030</v>
      </c>
      <c r="J137" s="92">
        <f t="shared" si="71"/>
        <v>2031</v>
      </c>
      <c r="K137" s="92">
        <f t="shared" si="71"/>
        <v>2032</v>
      </c>
      <c r="L137" s="92">
        <f t="shared" si="71"/>
        <v>2033</v>
      </c>
      <c r="M137" s="92">
        <f t="shared" si="71"/>
        <v>2034</v>
      </c>
      <c r="N137" s="92">
        <f t="shared" si="71"/>
        <v>2035</v>
      </c>
      <c r="O137" s="92">
        <f t="shared" si="71"/>
        <v>2036</v>
      </c>
      <c r="P137" s="92">
        <f t="shared" si="71"/>
        <v>2037</v>
      </c>
      <c r="Q137" s="92">
        <f t="shared" si="71"/>
        <v>2038</v>
      </c>
      <c r="R137" s="92">
        <f t="shared" si="71"/>
        <v>2039</v>
      </c>
    </row>
    <row r="139" spans="1:18" x14ac:dyDescent="0.3">
      <c r="B139" s="1" t="s">
        <v>97</v>
      </c>
    </row>
    <row r="140" spans="1:18" x14ac:dyDescent="0.3">
      <c r="B140" s="36" t="s">
        <v>104</v>
      </c>
    </row>
    <row r="141" spans="1:18" x14ac:dyDescent="0.3">
      <c r="B141" s="36" t="s">
        <v>98</v>
      </c>
      <c r="D141" s="34"/>
    </row>
    <row r="142" spans="1:18" x14ac:dyDescent="0.3">
      <c r="B142" s="36" t="s">
        <v>99</v>
      </c>
    </row>
    <row r="143" spans="1:18" x14ac:dyDescent="0.3">
      <c r="B143" s="36" t="s">
        <v>100</v>
      </c>
    </row>
    <row r="144" spans="1:18" x14ac:dyDescent="0.3">
      <c r="B144" s="36" t="s">
        <v>102</v>
      </c>
      <c r="D144" s="39">
        <v>45638</v>
      </c>
    </row>
    <row r="145" spans="2:19" x14ac:dyDescent="0.3">
      <c r="B145" s="5" t="s">
        <v>101</v>
      </c>
      <c r="D145" s="38">
        <v>45657</v>
      </c>
    </row>
    <row r="147" spans="2:19" x14ac:dyDescent="0.3">
      <c r="B147" s="1" t="s">
        <v>103</v>
      </c>
      <c r="H147" s="1" t="s">
        <v>105</v>
      </c>
      <c r="I147" s="92">
        <f t="shared" ref="I147:R147" si="72">I137</f>
        <v>2030</v>
      </c>
      <c r="J147" s="92">
        <f t="shared" si="72"/>
        <v>2031</v>
      </c>
      <c r="K147" s="92">
        <f t="shared" si="72"/>
        <v>2032</v>
      </c>
      <c r="L147" s="92">
        <f t="shared" si="72"/>
        <v>2033</v>
      </c>
      <c r="M147" s="92">
        <f t="shared" si="72"/>
        <v>2034</v>
      </c>
      <c r="N147" s="92">
        <f t="shared" si="72"/>
        <v>2035</v>
      </c>
      <c r="O147" s="92">
        <f t="shared" si="72"/>
        <v>2036</v>
      </c>
      <c r="P147" s="92">
        <f t="shared" si="72"/>
        <v>2037</v>
      </c>
      <c r="Q147" s="92">
        <f t="shared" si="72"/>
        <v>2038</v>
      </c>
      <c r="R147" s="92">
        <f t="shared" si="72"/>
        <v>2039</v>
      </c>
      <c r="S147" s="1" t="s">
        <v>106</v>
      </c>
    </row>
    <row r="148" spans="2:19" x14ac:dyDescent="0.3">
      <c r="B148" s="36" t="s">
        <v>107</v>
      </c>
      <c r="H148" s="38">
        <f>D144</f>
        <v>45638</v>
      </c>
      <c r="I148" s="38">
        <v>45657</v>
      </c>
      <c r="J148" s="38">
        <v>46022</v>
      </c>
      <c r="K148" s="38">
        <v>46387</v>
      </c>
      <c r="L148" s="38">
        <v>46752</v>
      </c>
      <c r="M148" s="38">
        <v>47118</v>
      </c>
      <c r="N148" s="38">
        <v>47483</v>
      </c>
      <c r="O148" s="38">
        <v>47848</v>
      </c>
      <c r="P148" s="38">
        <v>48213</v>
      </c>
      <c r="Q148" s="38">
        <v>48579</v>
      </c>
      <c r="R148" s="38">
        <v>48944</v>
      </c>
      <c r="S148" s="38">
        <f>R148</f>
        <v>48944</v>
      </c>
    </row>
    <row r="149" spans="2:19" x14ac:dyDescent="0.3">
      <c r="B149" s="36" t="s">
        <v>108</v>
      </c>
      <c r="J149" s="2">
        <f t="shared" ref="J149:R149" si="73">I149+1</f>
        <v>1</v>
      </c>
      <c r="K149" s="2">
        <f t="shared" si="73"/>
        <v>2</v>
      </c>
      <c r="L149" s="2">
        <f t="shared" si="73"/>
        <v>3</v>
      </c>
      <c r="M149" s="2">
        <f t="shared" si="73"/>
        <v>4</v>
      </c>
      <c r="N149" s="2">
        <f t="shared" si="73"/>
        <v>5</v>
      </c>
      <c r="O149" s="2">
        <f t="shared" si="73"/>
        <v>6</v>
      </c>
      <c r="P149" s="2">
        <f t="shared" si="73"/>
        <v>7</v>
      </c>
      <c r="Q149" s="2">
        <f t="shared" si="73"/>
        <v>8</v>
      </c>
      <c r="R149" s="2">
        <f t="shared" si="73"/>
        <v>9</v>
      </c>
    </row>
    <row r="150" spans="2:19" x14ac:dyDescent="0.3">
      <c r="B150" s="36" t="s">
        <v>109</v>
      </c>
      <c r="I150" s="40">
        <v>5.2777777777777778E-2</v>
      </c>
      <c r="J150" s="40">
        <v>1</v>
      </c>
      <c r="K150" s="40">
        <v>1</v>
      </c>
      <c r="L150" s="40">
        <v>1</v>
      </c>
      <c r="M150" s="40">
        <v>1</v>
      </c>
      <c r="N150" s="40">
        <v>1</v>
      </c>
      <c r="O150" s="40">
        <v>1</v>
      </c>
      <c r="P150" s="40">
        <v>1</v>
      </c>
      <c r="Q150" s="40">
        <v>1</v>
      </c>
      <c r="R150" s="40">
        <v>1</v>
      </c>
      <c r="S150" s="41">
        <v>1</v>
      </c>
    </row>
    <row r="151" spans="2:19" x14ac:dyDescent="0.3">
      <c r="B151" s="5"/>
    </row>
    <row r="152" spans="2:19" x14ac:dyDescent="0.3">
      <c r="B152" s="21" t="s">
        <v>110</v>
      </c>
      <c r="I152" s="19">
        <f t="shared" ref="I152:R152" ca="1" si="74">I40</f>
        <v>0</v>
      </c>
      <c r="J152" s="19">
        <f t="shared" si="74"/>
        <v>0</v>
      </c>
      <c r="K152" s="19">
        <f t="shared" si="74"/>
        <v>0</v>
      </c>
      <c r="L152" s="19">
        <f t="shared" si="74"/>
        <v>0</v>
      </c>
      <c r="M152" s="19">
        <f t="shared" si="74"/>
        <v>0</v>
      </c>
      <c r="N152" s="19">
        <f t="shared" si="74"/>
        <v>0</v>
      </c>
      <c r="O152" s="19">
        <f t="shared" si="74"/>
        <v>0</v>
      </c>
      <c r="P152" s="19">
        <f t="shared" si="74"/>
        <v>0</v>
      </c>
      <c r="Q152" s="19">
        <f t="shared" si="74"/>
        <v>0</v>
      </c>
      <c r="R152" s="19">
        <f t="shared" si="74"/>
        <v>0</v>
      </c>
    </row>
    <row r="153" spans="2:19" x14ac:dyDescent="0.3">
      <c r="B153" s="36" t="s">
        <v>111</v>
      </c>
      <c r="I153" s="17">
        <f t="shared" ref="I153:R153" ca="1" si="75">$D$141*I152</f>
        <v>0</v>
      </c>
      <c r="J153" s="17">
        <f t="shared" si="75"/>
        <v>0</v>
      </c>
      <c r="K153" s="17">
        <f t="shared" si="75"/>
        <v>0</v>
      </c>
      <c r="L153" s="17">
        <f t="shared" si="75"/>
        <v>0</v>
      </c>
      <c r="M153" s="17">
        <f t="shared" si="75"/>
        <v>0</v>
      </c>
      <c r="N153" s="17">
        <f t="shared" si="75"/>
        <v>0</v>
      </c>
      <c r="O153" s="17">
        <f t="shared" si="75"/>
        <v>0</v>
      </c>
      <c r="P153" s="17">
        <f t="shared" si="75"/>
        <v>0</v>
      </c>
      <c r="Q153" s="17">
        <f t="shared" si="75"/>
        <v>0</v>
      </c>
      <c r="R153" s="17">
        <f t="shared" si="75"/>
        <v>0</v>
      </c>
    </row>
    <row r="154" spans="2:19" x14ac:dyDescent="0.3">
      <c r="B154" s="21" t="s">
        <v>112</v>
      </c>
      <c r="I154" s="19">
        <f t="shared" ref="I154:R154" ca="1" si="76">I152-I153</f>
        <v>0</v>
      </c>
      <c r="J154" s="19">
        <f t="shared" si="76"/>
        <v>0</v>
      </c>
      <c r="K154" s="19">
        <f t="shared" si="76"/>
        <v>0</v>
      </c>
      <c r="L154" s="19">
        <f t="shared" si="76"/>
        <v>0</v>
      </c>
      <c r="M154" s="19">
        <f t="shared" si="76"/>
        <v>0</v>
      </c>
      <c r="N154" s="19">
        <f t="shared" si="76"/>
        <v>0</v>
      </c>
      <c r="O154" s="19">
        <f t="shared" si="76"/>
        <v>0</v>
      </c>
      <c r="P154" s="19">
        <f t="shared" si="76"/>
        <v>0</v>
      </c>
      <c r="Q154" s="19">
        <f t="shared" si="76"/>
        <v>0</v>
      </c>
      <c r="R154" s="19">
        <f t="shared" si="76"/>
        <v>0</v>
      </c>
    </row>
    <row r="155" spans="2:19" x14ac:dyDescent="0.3">
      <c r="B155" s="36" t="s">
        <v>113</v>
      </c>
      <c r="I155" s="17">
        <f t="shared" ref="I155:R155" si="77">I45</f>
        <v>0</v>
      </c>
      <c r="J155" s="17">
        <f t="shared" si="77"/>
        <v>0</v>
      </c>
      <c r="K155" s="17">
        <f t="shared" si="77"/>
        <v>0</v>
      </c>
      <c r="L155" s="17">
        <f t="shared" si="77"/>
        <v>0</v>
      </c>
      <c r="M155" s="17">
        <f t="shared" si="77"/>
        <v>0</v>
      </c>
      <c r="N155" s="17">
        <f t="shared" si="77"/>
        <v>0</v>
      </c>
      <c r="O155" s="17">
        <f t="shared" si="77"/>
        <v>0</v>
      </c>
      <c r="P155" s="17">
        <f t="shared" si="77"/>
        <v>0</v>
      </c>
      <c r="Q155" s="17">
        <f t="shared" si="77"/>
        <v>0</v>
      </c>
      <c r="R155" s="17">
        <f t="shared" si="77"/>
        <v>0</v>
      </c>
    </row>
    <row r="156" spans="2:19" x14ac:dyDescent="0.3">
      <c r="B156" s="21" t="s">
        <v>114</v>
      </c>
      <c r="I156" s="19">
        <f t="shared" ref="I156:R156" ca="1" si="78">I154-I155</f>
        <v>0</v>
      </c>
      <c r="J156" s="19">
        <f t="shared" si="78"/>
        <v>0</v>
      </c>
      <c r="K156" s="19">
        <f t="shared" si="78"/>
        <v>0</v>
      </c>
      <c r="L156" s="19">
        <f t="shared" si="78"/>
        <v>0</v>
      </c>
      <c r="M156" s="19">
        <f t="shared" si="78"/>
        <v>0</v>
      </c>
      <c r="N156" s="19">
        <f t="shared" si="78"/>
        <v>0</v>
      </c>
      <c r="O156" s="19">
        <f t="shared" si="78"/>
        <v>0</v>
      </c>
      <c r="P156" s="19">
        <f t="shared" si="78"/>
        <v>0</v>
      </c>
      <c r="Q156" s="19">
        <f t="shared" si="78"/>
        <v>0</v>
      </c>
      <c r="R156" s="19">
        <f t="shared" si="78"/>
        <v>0</v>
      </c>
    </row>
    <row r="157" spans="2:19" x14ac:dyDescent="0.3">
      <c r="B157" s="36" t="s">
        <v>115</v>
      </c>
      <c r="I157" s="17">
        <f t="shared" ref="I157:R157" si="79">I80</f>
        <v>0</v>
      </c>
      <c r="J157" s="17">
        <f t="shared" si="79"/>
        <v>0</v>
      </c>
      <c r="K157" s="17">
        <f t="shared" si="79"/>
        <v>0</v>
      </c>
      <c r="L157" s="17">
        <f t="shared" si="79"/>
        <v>0</v>
      </c>
      <c r="M157" s="17">
        <f t="shared" si="79"/>
        <v>0</v>
      </c>
      <c r="N157" s="17">
        <f t="shared" si="79"/>
        <v>0</v>
      </c>
      <c r="O157" s="17">
        <f t="shared" si="79"/>
        <v>0</v>
      </c>
      <c r="P157" s="17">
        <f t="shared" si="79"/>
        <v>0</v>
      </c>
      <c r="Q157" s="17">
        <f t="shared" si="79"/>
        <v>0</v>
      </c>
      <c r="R157" s="17">
        <f t="shared" si="79"/>
        <v>0</v>
      </c>
    </row>
    <row r="158" spans="2:19" x14ac:dyDescent="0.3">
      <c r="B158" s="36" t="s">
        <v>70</v>
      </c>
      <c r="I158" s="17">
        <f t="shared" ref="I158:R158" si="80">I100</f>
        <v>0</v>
      </c>
      <c r="J158" s="17">
        <f t="shared" si="80"/>
        <v>0</v>
      </c>
      <c r="K158" s="17">
        <f t="shared" si="80"/>
        <v>0</v>
      </c>
      <c r="L158" s="17">
        <f t="shared" si="80"/>
        <v>0</v>
      </c>
      <c r="M158" s="17">
        <f t="shared" si="80"/>
        <v>0</v>
      </c>
      <c r="N158" s="17">
        <f t="shared" si="80"/>
        <v>0</v>
      </c>
      <c r="O158" s="17">
        <f t="shared" si="80"/>
        <v>0</v>
      </c>
      <c r="P158" s="17">
        <f t="shared" si="80"/>
        <v>0</v>
      </c>
      <c r="Q158" s="17">
        <f t="shared" si="80"/>
        <v>0</v>
      </c>
      <c r="R158" s="17">
        <f t="shared" si="80"/>
        <v>0</v>
      </c>
    </row>
    <row r="159" spans="2:19" x14ac:dyDescent="0.3">
      <c r="B159" s="21" t="s">
        <v>116</v>
      </c>
      <c r="I159" s="19">
        <f t="shared" ref="I159:R159" ca="1" si="81">I156-I157+I158</f>
        <v>0</v>
      </c>
      <c r="J159" s="19">
        <f t="shared" si="81"/>
        <v>0</v>
      </c>
      <c r="K159" s="19">
        <f t="shared" si="81"/>
        <v>0</v>
      </c>
      <c r="L159" s="19">
        <f t="shared" si="81"/>
        <v>0</v>
      </c>
      <c r="M159" s="19">
        <f t="shared" si="81"/>
        <v>0</v>
      </c>
      <c r="N159" s="19">
        <f t="shared" si="81"/>
        <v>0</v>
      </c>
      <c r="O159" s="19">
        <f t="shared" si="81"/>
        <v>0</v>
      </c>
      <c r="P159" s="19">
        <f t="shared" si="81"/>
        <v>0</v>
      </c>
      <c r="Q159" s="19">
        <f t="shared" si="81"/>
        <v>0</v>
      </c>
      <c r="R159" s="19">
        <f t="shared" si="81"/>
        <v>0</v>
      </c>
    </row>
    <row r="160" spans="2:19" x14ac:dyDescent="0.3">
      <c r="B160" s="21" t="s">
        <v>117</v>
      </c>
      <c r="I160" s="17">
        <f t="shared" ref="I160:R160" ca="1" si="82">I159*I150</f>
        <v>0</v>
      </c>
      <c r="J160" s="17">
        <f t="shared" si="82"/>
        <v>0</v>
      </c>
      <c r="K160" s="17">
        <f t="shared" si="82"/>
        <v>0</v>
      </c>
      <c r="L160" s="17">
        <f t="shared" si="82"/>
        <v>0</v>
      </c>
      <c r="M160" s="17">
        <f t="shared" si="82"/>
        <v>0</v>
      </c>
      <c r="N160" s="17">
        <f t="shared" si="82"/>
        <v>0</v>
      </c>
      <c r="O160" s="17">
        <f t="shared" si="82"/>
        <v>0</v>
      </c>
      <c r="P160" s="17">
        <f t="shared" si="82"/>
        <v>0</v>
      </c>
      <c r="Q160" s="17">
        <f t="shared" si="82"/>
        <v>0</v>
      </c>
      <c r="R160" s="17">
        <f t="shared" si="82"/>
        <v>0</v>
      </c>
    </row>
    <row r="161" spans="2:2" x14ac:dyDescent="0.3">
      <c r="B161" s="21" t="s">
        <v>118</v>
      </c>
    </row>
    <row r="162" spans="2:2" x14ac:dyDescent="0.3">
      <c r="B162" s="5"/>
    </row>
  </sheetData>
  <conditionalFormatting sqref="D70:R70">
    <cfRule type="cellIs" priority="1" operator="equal">
      <formula>"✓"</formula>
    </cfRule>
    <cfRule type="cellIs" dxfId="16" priority="2" operator="equal">
      <formul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AF07-1858-4ABD-9F3E-DFAD18200043}">
  <dimension ref="B2:M39"/>
  <sheetViews>
    <sheetView showGridLines="0" zoomScaleNormal="100" workbookViewId="0">
      <selection activeCell="C32" sqref="C32"/>
    </sheetView>
  </sheetViews>
  <sheetFormatPr defaultColWidth="9.109375" defaultRowHeight="13.8" x14ac:dyDescent="0.25"/>
  <cols>
    <col min="1" max="1" width="9.109375" style="35"/>
    <col min="2" max="2" width="57.44140625" style="49" bestFit="1" customWidth="1"/>
    <col min="3" max="16384" width="9.109375" style="35"/>
  </cols>
  <sheetData>
    <row r="2" spans="2:13" x14ac:dyDescent="0.25">
      <c r="B2" s="49" t="s">
        <v>76</v>
      </c>
      <c r="C2" s="36" t="s">
        <v>122</v>
      </c>
      <c r="D2" s="36"/>
      <c r="E2" s="36"/>
      <c r="F2" s="36"/>
      <c r="G2" s="36"/>
      <c r="H2" s="36"/>
      <c r="I2" s="36"/>
      <c r="J2" s="36"/>
      <c r="K2" s="36"/>
      <c r="L2" s="36"/>
      <c r="M2" s="36"/>
    </row>
    <row r="3" spans="2:13" x14ac:dyDescent="0.25">
      <c r="B3" s="49" t="s">
        <v>75</v>
      </c>
      <c r="C3" s="36" t="s">
        <v>122</v>
      </c>
      <c r="D3" s="36"/>
      <c r="E3" s="36"/>
      <c r="F3" s="36"/>
      <c r="G3" s="36"/>
      <c r="H3" s="36"/>
      <c r="I3" s="36"/>
      <c r="J3" s="36"/>
      <c r="K3" s="36"/>
      <c r="L3" s="36"/>
      <c r="M3" s="36"/>
    </row>
    <row r="4" spans="2:13" x14ac:dyDescent="0.25">
      <c r="C4" s="36"/>
      <c r="D4" s="36"/>
      <c r="E4" s="36"/>
      <c r="F4" s="36"/>
      <c r="G4" s="36"/>
      <c r="H4" s="36"/>
      <c r="I4" s="36"/>
      <c r="J4" s="36"/>
      <c r="K4" s="36"/>
      <c r="L4" s="36"/>
      <c r="M4" s="36"/>
    </row>
    <row r="5" spans="2:13" ht="14.4" x14ac:dyDescent="0.25">
      <c r="B5" s="49" t="s">
        <v>120</v>
      </c>
      <c r="C5" s="48"/>
      <c r="D5" s="36"/>
      <c r="E5" s="36"/>
      <c r="F5" s="36"/>
      <c r="G5" s="36"/>
      <c r="H5" s="36"/>
      <c r="I5" s="36"/>
      <c r="J5" s="36"/>
      <c r="K5" s="36"/>
      <c r="L5" s="36"/>
      <c r="M5" s="36"/>
    </row>
    <row r="6" spans="2:13" x14ac:dyDescent="0.25">
      <c r="C6" s="36"/>
      <c r="D6" s="36"/>
      <c r="E6" s="36"/>
      <c r="F6" s="36"/>
      <c r="G6" s="36"/>
      <c r="H6" s="36"/>
      <c r="I6" s="36"/>
      <c r="J6" s="36"/>
      <c r="K6" s="36"/>
      <c r="L6" s="36"/>
      <c r="M6" s="36"/>
    </row>
    <row r="7" spans="2:13" x14ac:dyDescent="0.25">
      <c r="C7" s="36"/>
      <c r="D7" s="36"/>
      <c r="E7" s="36"/>
      <c r="F7" s="36"/>
      <c r="G7" s="36"/>
      <c r="H7" s="36"/>
      <c r="I7" s="36"/>
      <c r="J7" s="36"/>
      <c r="K7" s="36"/>
      <c r="L7" s="36"/>
      <c r="M7" s="36"/>
    </row>
    <row r="8" spans="2:13" x14ac:dyDescent="0.25">
      <c r="C8" s="36"/>
      <c r="D8" s="36"/>
      <c r="E8" s="36"/>
      <c r="F8" s="36"/>
      <c r="G8" s="36"/>
      <c r="H8" s="36"/>
      <c r="I8" s="36"/>
      <c r="J8" s="36"/>
      <c r="K8" s="36"/>
      <c r="L8" s="36"/>
      <c r="M8" s="36"/>
    </row>
    <row r="9" spans="2:13" x14ac:dyDescent="0.25">
      <c r="C9" s="36"/>
      <c r="D9" s="36"/>
      <c r="E9" s="36"/>
      <c r="F9" s="36"/>
      <c r="G9" s="36"/>
      <c r="H9" s="36"/>
      <c r="I9" s="36"/>
      <c r="J9" s="36"/>
      <c r="K9" s="36"/>
      <c r="L9" s="36"/>
      <c r="M9" s="36"/>
    </row>
    <row r="10" spans="2:13" x14ac:dyDescent="0.25">
      <c r="C10" s="36"/>
      <c r="D10" s="36"/>
      <c r="E10" s="36"/>
      <c r="F10" s="36"/>
      <c r="G10" s="36"/>
      <c r="H10" s="36"/>
      <c r="I10" s="36"/>
      <c r="J10" s="36"/>
      <c r="K10" s="36"/>
      <c r="L10" s="36"/>
      <c r="M10" s="36"/>
    </row>
    <row r="11" spans="2:13" x14ac:dyDescent="0.25">
      <c r="C11" s="36"/>
      <c r="D11" s="36"/>
      <c r="E11" s="36"/>
      <c r="F11" s="36"/>
      <c r="G11" s="36"/>
      <c r="H11" s="36"/>
      <c r="I11" s="36"/>
      <c r="J11" s="36"/>
      <c r="K11" s="36"/>
      <c r="L11" s="36"/>
      <c r="M11" s="36"/>
    </row>
    <row r="12" spans="2:13" x14ac:dyDescent="0.25">
      <c r="C12" s="36"/>
      <c r="D12" s="36"/>
      <c r="E12" s="36"/>
      <c r="F12" s="36"/>
      <c r="G12" s="36"/>
      <c r="H12" s="36"/>
      <c r="I12" s="36"/>
      <c r="J12" s="36"/>
      <c r="K12" s="36"/>
      <c r="L12" s="36"/>
      <c r="M12" s="36"/>
    </row>
    <row r="13" spans="2:13" x14ac:dyDescent="0.25">
      <c r="C13" s="36"/>
      <c r="D13" s="36"/>
      <c r="E13" s="36"/>
      <c r="F13" s="36"/>
      <c r="G13" s="36"/>
      <c r="H13" s="36"/>
      <c r="I13" s="36"/>
      <c r="J13" s="36"/>
      <c r="K13" s="36"/>
      <c r="L13" s="36"/>
      <c r="M13" s="36"/>
    </row>
    <row r="14" spans="2:13" x14ac:dyDescent="0.25">
      <c r="C14" s="36"/>
      <c r="D14" s="36"/>
      <c r="E14" s="36"/>
      <c r="F14" s="36"/>
      <c r="G14" s="36"/>
      <c r="H14" s="36"/>
      <c r="I14" s="36"/>
      <c r="J14" s="36"/>
      <c r="K14" s="36"/>
      <c r="L14" s="36"/>
      <c r="M14" s="36"/>
    </row>
    <row r="15" spans="2:13" x14ac:dyDescent="0.25">
      <c r="C15" s="36"/>
      <c r="D15" s="36"/>
      <c r="E15" s="36"/>
      <c r="F15" s="36"/>
      <c r="G15" s="36"/>
      <c r="H15" s="36"/>
      <c r="I15" s="36"/>
      <c r="J15" s="36"/>
      <c r="K15" s="36"/>
      <c r="L15" s="36"/>
      <c r="M15" s="36"/>
    </row>
    <row r="16" spans="2:13" x14ac:dyDescent="0.25">
      <c r="C16" s="36"/>
      <c r="D16" s="36"/>
      <c r="E16" s="36"/>
      <c r="F16" s="36"/>
      <c r="G16" s="36"/>
      <c r="H16" s="36"/>
      <c r="I16" s="36"/>
      <c r="J16" s="36"/>
      <c r="K16" s="36"/>
      <c r="L16" s="36"/>
      <c r="M16" s="36"/>
    </row>
    <row r="17" spans="2:13" x14ac:dyDescent="0.25">
      <c r="C17" s="36"/>
      <c r="D17" s="36"/>
      <c r="E17" s="36"/>
      <c r="F17" s="36"/>
      <c r="G17" s="36"/>
      <c r="H17" s="36"/>
      <c r="I17" s="36"/>
      <c r="J17" s="36"/>
      <c r="K17" s="36"/>
      <c r="L17" s="36"/>
      <c r="M17" s="36"/>
    </row>
    <row r="18" spans="2:13" x14ac:dyDescent="0.25">
      <c r="C18" s="36"/>
      <c r="D18" s="36"/>
      <c r="E18" s="36"/>
      <c r="F18" s="36"/>
      <c r="G18" s="36"/>
      <c r="H18" s="36"/>
      <c r="I18" s="36"/>
      <c r="J18" s="36"/>
      <c r="K18" s="36"/>
      <c r="L18" s="36"/>
      <c r="M18" s="36"/>
    </row>
    <row r="19" spans="2:13" x14ac:dyDescent="0.25">
      <c r="C19" s="36"/>
      <c r="D19" s="36"/>
      <c r="E19" s="36"/>
      <c r="F19" s="36"/>
      <c r="G19" s="36"/>
      <c r="H19" s="36"/>
      <c r="I19" s="36"/>
      <c r="J19" s="36"/>
      <c r="K19" s="36"/>
      <c r="L19" s="36"/>
      <c r="M19" s="36"/>
    </row>
    <row r="20" spans="2:13" x14ac:dyDescent="0.25">
      <c r="C20" s="36"/>
      <c r="D20" s="36"/>
      <c r="E20" s="36"/>
      <c r="F20" s="36"/>
      <c r="G20" s="36"/>
      <c r="H20" s="36"/>
      <c r="I20" s="36"/>
      <c r="J20" s="36"/>
      <c r="K20" s="36"/>
      <c r="L20" s="36"/>
      <c r="M20" s="36"/>
    </row>
    <row r="21" spans="2:13" x14ac:dyDescent="0.25">
      <c r="C21" s="36"/>
      <c r="D21" s="36"/>
      <c r="E21" s="36"/>
      <c r="F21" s="36"/>
      <c r="G21" s="36"/>
      <c r="H21" s="36"/>
      <c r="I21" s="36"/>
      <c r="J21" s="36"/>
      <c r="K21" s="36"/>
      <c r="L21" s="36"/>
      <c r="M21" s="36"/>
    </row>
    <row r="22" spans="2:13" x14ac:dyDescent="0.25">
      <c r="C22" s="36"/>
      <c r="D22" s="36"/>
      <c r="E22" s="36"/>
      <c r="F22" s="36"/>
      <c r="G22" s="36"/>
      <c r="H22" s="36"/>
      <c r="I22" s="36"/>
      <c r="J22" s="36"/>
      <c r="K22" s="36"/>
      <c r="L22" s="36"/>
      <c r="M22" s="36"/>
    </row>
    <row r="23" spans="2:13" x14ac:dyDescent="0.25">
      <c r="C23" s="36"/>
      <c r="D23" s="36"/>
      <c r="E23" s="36"/>
      <c r="F23" s="36"/>
      <c r="G23" s="36"/>
      <c r="H23" s="36"/>
      <c r="I23" s="36"/>
      <c r="J23" s="36"/>
      <c r="K23" s="36"/>
      <c r="L23" s="36"/>
      <c r="M23" s="36"/>
    </row>
    <row r="24" spans="2:13" x14ac:dyDescent="0.25">
      <c r="C24" s="36"/>
      <c r="D24" s="36"/>
      <c r="E24" s="36"/>
      <c r="F24" s="36"/>
      <c r="G24" s="36"/>
      <c r="H24" s="36"/>
      <c r="I24" s="36"/>
      <c r="J24" s="36"/>
      <c r="K24" s="36"/>
      <c r="L24" s="36"/>
      <c r="M24" s="36"/>
    </row>
    <row r="25" spans="2:13" x14ac:dyDescent="0.25">
      <c r="C25" s="36"/>
      <c r="D25" s="36"/>
      <c r="E25" s="36"/>
      <c r="F25" s="36"/>
      <c r="G25" s="36"/>
      <c r="H25" s="36"/>
      <c r="I25" s="36"/>
      <c r="J25" s="36"/>
      <c r="K25" s="36"/>
      <c r="L25" s="36"/>
      <c r="M25" s="36"/>
    </row>
    <row r="26" spans="2:13" x14ac:dyDescent="0.25">
      <c r="C26" s="36"/>
      <c r="D26" s="36"/>
      <c r="E26" s="36"/>
      <c r="F26" s="36"/>
      <c r="G26" s="36"/>
      <c r="H26" s="36"/>
      <c r="I26" s="36"/>
      <c r="J26" s="36"/>
      <c r="K26" s="36"/>
      <c r="L26" s="36"/>
      <c r="M26" s="36"/>
    </row>
    <row r="27" spans="2:13" x14ac:dyDescent="0.25">
      <c r="C27" s="36"/>
      <c r="D27" s="36"/>
      <c r="E27" s="36"/>
      <c r="F27" s="36"/>
      <c r="G27" s="36"/>
      <c r="H27" s="36"/>
      <c r="I27" s="36"/>
      <c r="J27" s="36"/>
      <c r="K27" s="36"/>
      <c r="L27" s="36"/>
      <c r="M27" s="36"/>
    </row>
    <row r="28" spans="2:13" x14ac:dyDescent="0.25">
      <c r="C28" s="36"/>
      <c r="D28" s="36"/>
      <c r="E28" s="36"/>
      <c r="F28" s="36"/>
      <c r="G28" s="36"/>
      <c r="H28" s="36"/>
      <c r="I28" s="36"/>
      <c r="J28" s="36"/>
      <c r="K28" s="36"/>
      <c r="L28" s="36"/>
      <c r="M28" s="36"/>
    </row>
    <row r="29" spans="2:13" x14ac:dyDescent="0.25">
      <c r="C29" s="36"/>
      <c r="D29" s="36"/>
      <c r="E29" s="36"/>
      <c r="F29" s="36"/>
      <c r="G29" s="36"/>
      <c r="H29" s="36"/>
      <c r="I29" s="36"/>
      <c r="J29" s="36"/>
      <c r="K29" s="36"/>
      <c r="L29" s="36"/>
      <c r="M29" s="36"/>
    </row>
    <row r="30" spans="2:13" ht="14.4" x14ac:dyDescent="0.25">
      <c r="B30" s="49" t="s">
        <v>121</v>
      </c>
      <c r="C30" s="48" t="s">
        <v>131</v>
      </c>
      <c r="D30" s="36"/>
      <c r="E30" s="36"/>
      <c r="F30" s="36"/>
      <c r="G30" s="36"/>
      <c r="H30" s="36"/>
      <c r="I30" s="36"/>
      <c r="J30" s="36"/>
      <c r="K30" s="36"/>
      <c r="L30" s="36"/>
      <c r="M30" s="36"/>
    </row>
    <row r="31" spans="2:13" x14ac:dyDescent="0.25">
      <c r="B31" s="49" t="s">
        <v>123</v>
      </c>
      <c r="C31" s="35" t="s">
        <v>124</v>
      </c>
    </row>
    <row r="32" spans="2:13" x14ac:dyDescent="0.25">
      <c r="B32" s="49" t="s">
        <v>129</v>
      </c>
      <c r="C32" s="35" t="s">
        <v>127</v>
      </c>
    </row>
    <row r="33" spans="2:3" x14ac:dyDescent="0.25">
      <c r="B33" s="49" t="s">
        <v>132</v>
      </c>
      <c r="C33" s="35" t="s">
        <v>133</v>
      </c>
    </row>
    <row r="34" spans="2:3" ht="14.4" x14ac:dyDescent="0.3">
      <c r="B34" s="49" t="s">
        <v>145</v>
      </c>
      <c r="C34" s="55" t="s">
        <v>135</v>
      </c>
    </row>
    <row r="35" spans="2:3" x14ac:dyDescent="0.25">
      <c r="B35" s="49" t="s">
        <v>141</v>
      </c>
    </row>
    <row r="36" spans="2:3" x14ac:dyDescent="0.25">
      <c r="B36" s="49" t="s">
        <v>138</v>
      </c>
      <c r="C36" s="35" t="s">
        <v>139</v>
      </c>
    </row>
    <row r="37" spans="2:3" x14ac:dyDescent="0.25">
      <c r="B37" s="49" t="s">
        <v>140</v>
      </c>
      <c r="C37" s="35" t="s">
        <v>144</v>
      </c>
    </row>
    <row r="38" spans="2:3" x14ac:dyDescent="0.25">
      <c r="B38" s="49" t="s">
        <v>142</v>
      </c>
    </row>
    <row r="39" spans="2:3" x14ac:dyDescent="0.25">
      <c r="B39" s="49" t="s">
        <v>143</v>
      </c>
    </row>
  </sheetData>
  <hyperlinks>
    <hyperlink ref="C34" r:id="rId1" xr:uid="{5B724B5A-16BF-405A-A254-7B5385878C08}"/>
  </hyperlinks>
  <pageMargins left="0.511811024" right="0.511811024" top="0.78740157499999996" bottom="0.78740157499999996" header="0.31496062000000002" footer="0.31496062000000002"/>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5AE1-C12B-425E-9988-BED0875C5F5C}">
  <dimension ref="B1:AD398"/>
  <sheetViews>
    <sheetView showGridLines="0" topLeftCell="A4" workbookViewId="0">
      <selection activeCell="F10" sqref="F10"/>
    </sheetView>
  </sheetViews>
  <sheetFormatPr defaultColWidth="9.109375" defaultRowHeight="13.8" outlineLevelRow="1" x14ac:dyDescent="0.3"/>
  <cols>
    <col min="1" max="1" width="10.5546875" style="47" customWidth="1"/>
    <col min="2" max="2" width="23.5546875" style="47" bestFit="1" customWidth="1"/>
    <col min="3" max="3" width="14.5546875" style="78" customWidth="1"/>
    <col min="4" max="4" width="15.88671875" style="47" bestFit="1" customWidth="1"/>
    <col min="5" max="5" width="18.6640625" style="47" bestFit="1" customWidth="1"/>
    <col min="6" max="6" width="17.5546875" style="47" bestFit="1" customWidth="1"/>
    <col min="7" max="7" width="15.109375" style="47" customWidth="1"/>
    <col min="8" max="9" width="18.109375" style="47" bestFit="1" customWidth="1"/>
    <col min="10" max="11" width="11.5546875" style="47" customWidth="1"/>
    <col min="12" max="12" width="13.33203125" style="47" customWidth="1"/>
    <col min="13" max="13" width="15" style="47" bestFit="1" customWidth="1"/>
    <col min="14" max="16384" width="9.109375" style="47"/>
  </cols>
  <sheetData>
    <row r="1" spans="2:30" s="71" customFormat="1" hidden="1" outlineLevel="1" x14ac:dyDescent="0.25">
      <c r="B1" s="47"/>
      <c r="C1" s="70">
        <f ca="1">YEAR(TODAY())</f>
        <v>2026</v>
      </c>
      <c r="D1" s="70">
        <f ca="1">C1+1</f>
        <v>2027</v>
      </c>
      <c r="E1" s="70">
        <f ca="1">D1+1</f>
        <v>2028</v>
      </c>
      <c r="F1" s="70">
        <f ca="1">E1+1</f>
        <v>2029</v>
      </c>
      <c r="G1" s="70">
        <f ca="1">F1+1</f>
        <v>2030</v>
      </c>
      <c r="H1" s="70">
        <f ca="1">G1+1</f>
        <v>2031</v>
      </c>
      <c r="I1" s="70"/>
      <c r="J1" s="70"/>
      <c r="K1" s="70"/>
    </row>
    <row r="2" spans="2:30" s="71" customFormat="1" hidden="1" outlineLevel="1" x14ac:dyDescent="0.25">
      <c r="B2" s="72" t="s">
        <v>76</v>
      </c>
      <c r="C2" s="73">
        <v>3.9E-2</v>
      </c>
      <c r="D2" s="73">
        <v>3.78E-2</v>
      </c>
      <c r="E2" s="73">
        <v>3.5999999999999997E-2</v>
      </c>
      <c r="F2" s="73">
        <v>3.5000000000000003E-2</v>
      </c>
      <c r="G2" s="74">
        <v>3.5000000000000003E-2</v>
      </c>
      <c r="H2" s="74">
        <v>3.5000000000000003E-2</v>
      </c>
      <c r="I2" s="74" t="s">
        <v>229</v>
      </c>
      <c r="J2" s="74"/>
      <c r="K2" s="74" t="s">
        <v>229</v>
      </c>
    </row>
    <row r="3" spans="2:30" s="71" customFormat="1" hidden="1" outlineLevel="1" x14ac:dyDescent="0.25">
      <c r="B3" s="72" t="s">
        <v>75</v>
      </c>
      <c r="C3" s="73">
        <v>0.14749999999999999</v>
      </c>
      <c r="D3" s="73">
        <v>0.125</v>
      </c>
      <c r="E3" s="73">
        <v>0.105</v>
      </c>
      <c r="F3" s="73">
        <v>0.1</v>
      </c>
      <c r="G3" s="74">
        <v>0.1</v>
      </c>
      <c r="H3" s="74">
        <v>0.1</v>
      </c>
      <c r="I3" s="74" t="s">
        <v>229</v>
      </c>
      <c r="J3" s="74"/>
      <c r="K3" s="74" t="s">
        <v>229</v>
      </c>
    </row>
    <row r="4" spans="2:30" s="71" customFormat="1" collapsed="1" x14ac:dyDescent="0.25">
      <c r="J4" s="47"/>
      <c r="K4" s="47"/>
      <c r="L4" s="47"/>
      <c r="M4" s="47"/>
      <c r="N4" s="47"/>
      <c r="O4" s="47"/>
      <c r="P4" s="47"/>
      <c r="Q4" s="47"/>
      <c r="R4" s="47"/>
      <c r="S4" s="47"/>
      <c r="T4" s="47"/>
      <c r="U4" s="47"/>
      <c r="V4" s="47"/>
      <c r="W4" s="47"/>
      <c r="X4" s="47"/>
      <c r="Y4" s="47"/>
      <c r="Z4" s="47"/>
      <c r="AA4" s="47"/>
      <c r="AB4" s="47"/>
      <c r="AC4" s="47"/>
      <c r="AD4" s="47"/>
    </row>
    <row r="5" spans="2:30" s="71" customFormat="1" x14ac:dyDescent="0.25">
      <c r="B5" s="89" t="s">
        <v>157</v>
      </c>
      <c r="C5" s="75">
        <v>250000</v>
      </c>
      <c r="E5" s="89" t="s">
        <v>158</v>
      </c>
      <c r="F5" s="75"/>
      <c r="J5" s="88" t="s">
        <v>159</v>
      </c>
      <c r="K5" s="88" t="s">
        <v>93</v>
      </c>
      <c r="L5" s="88" t="s">
        <v>160</v>
      </c>
      <c r="M5" s="88" t="s">
        <v>156</v>
      </c>
      <c r="N5" s="47"/>
      <c r="O5" s="47"/>
      <c r="P5" s="47"/>
      <c r="Q5" s="47"/>
      <c r="R5" s="47"/>
      <c r="S5" s="47"/>
      <c r="T5" s="47"/>
      <c r="U5" s="47"/>
      <c r="V5" s="47"/>
      <c r="W5" s="47"/>
      <c r="X5" s="47"/>
      <c r="Y5" s="47"/>
      <c r="Z5" s="47"/>
      <c r="AA5" s="47"/>
      <c r="AB5" s="47"/>
      <c r="AC5" s="47"/>
      <c r="AD5" s="47"/>
    </row>
    <row r="6" spans="2:30" s="71" customFormat="1" x14ac:dyDescent="0.25">
      <c r="B6" s="89" t="s">
        <v>161</v>
      </c>
      <c r="C6" s="47" t="s">
        <v>162</v>
      </c>
      <c r="E6" s="89" t="s">
        <v>163</v>
      </c>
      <c r="F6" s="75"/>
      <c r="J6" s="83">
        <v>2025</v>
      </c>
      <c r="K6" s="75">
        <v>12938.098691941514</v>
      </c>
      <c r="L6" s="75">
        <v>0</v>
      </c>
      <c r="M6" s="75">
        <v>250000</v>
      </c>
      <c r="N6" s="47"/>
      <c r="O6" s="47"/>
      <c r="P6" s="47"/>
      <c r="Q6" s="47"/>
      <c r="R6" s="47"/>
      <c r="S6" s="47"/>
      <c r="T6" s="47"/>
      <c r="U6" s="47"/>
      <c r="V6" s="47"/>
      <c r="W6" s="47"/>
      <c r="X6" s="47"/>
      <c r="Y6" s="47"/>
      <c r="Z6" s="47"/>
      <c r="AA6" s="47"/>
      <c r="AB6" s="47"/>
      <c r="AC6" s="47"/>
      <c r="AD6" s="47"/>
    </row>
    <row r="7" spans="2:30" s="71" customFormat="1" x14ac:dyDescent="0.25">
      <c r="B7" s="89" t="str">
        <f>"Taxa "&amp;" ("&amp;C6&amp;")"</f>
        <v>Taxa  (CDI+)</v>
      </c>
      <c r="C7" s="74">
        <v>7.0000000000000007E-2</v>
      </c>
      <c r="J7" s="83">
        <v>2026</v>
      </c>
      <c r="K7" s="75">
        <v>44124.905500798021</v>
      </c>
      <c r="L7" s="75">
        <v>41666.666666666657</v>
      </c>
      <c r="M7" s="75">
        <v>208333.33333333328</v>
      </c>
      <c r="N7" s="47"/>
      <c r="O7" s="47"/>
      <c r="P7" s="47"/>
      <c r="Q7" s="47"/>
      <c r="R7" s="47"/>
      <c r="S7" s="47"/>
      <c r="T7" s="47"/>
      <c r="U7" s="47"/>
      <c r="V7" s="47"/>
      <c r="W7" s="47"/>
      <c r="X7" s="47"/>
      <c r="Y7" s="47"/>
      <c r="Z7" s="47"/>
      <c r="AA7" s="47"/>
      <c r="AB7" s="47"/>
      <c r="AC7" s="47"/>
      <c r="AD7" s="47"/>
    </row>
    <row r="8" spans="2:30" s="71" customFormat="1" x14ac:dyDescent="0.25">
      <c r="B8" s="89" t="s">
        <v>164</v>
      </c>
      <c r="C8" s="76">
        <v>60</v>
      </c>
      <c r="E8" s="89" t="s">
        <v>165</v>
      </c>
      <c r="F8" s="75"/>
      <c r="J8" s="83">
        <v>2027</v>
      </c>
      <c r="K8" s="75">
        <v>30846.301237355638</v>
      </c>
      <c r="L8" s="75">
        <v>55555.55555555554</v>
      </c>
      <c r="M8" s="75">
        <v>152777.77777777766</v>
      </c>
      <c r="N8" s="47"/>
      <c r="O8" s="47"/>
      <c r="P8" s="47"/>
      <c r="Q8" s="47"/>
      <c r="R8" s="47"/>
      <c r="S8" s="47"/>
      <c r="T8" s="47"/>
      <c r="U8" s="47"/>
      <c r="V8" s="47"/>
      <c r="W8" s="47"/>
      <c r="X8" s="47"/>
      <c r="Y8" s="47"/>
      <c r="Z8" s="47"/>
      <c r="AA8" s="47"/>
      <c r="AB8" s="47"/>
      <c r="AC8" s="47"/>
      <c r="AD8" s="47"/>
    </row>
    <row r="9" spans="2:30" x14ac:dyDescent="0.25">
      <c r="B9" s="89" t="s">
        <v>166</v>
      </c>
      <c r="C9" s="76">
        <v>6</v>
      </c>
      <c r="D9" s="71"/>
      <c r="E9" s="89" t="s">
        <v>167</v>
      </c>
      <c r="F9" s="77"/>
      <c r="G9" s="71"/>
      <c r="H9" s="71"/>
      <c r="I9" s="71"/>
      <c r="J9" s="83">
        <v>2028</v>
      </c>
      <c r="K9" s="75">
        <v>20889.875058607082</v>
      </c>
      <c r="L9" s="75">
        <v>55555.55555555554</v>
      </c>
      <c r="M9" s="75">
        <v>97222.222222222044</v>
      </c>
    </row>
    <row r="10" spans="2:30" x14ac:dyDescent="0.25">
      <c r="B10" s="89" t="s">
        <v>168</v>
      </c>
      <c r="C10" s="78">
        <v>45901</v>
      </c>
      <c r="D10" s="71"/>
      <c r="E10" s="90" t="s">
        <v>169</v>
      </c>
      <c r="F10" s="79">
        <v>0</v>
      </c>
      <c r="G10" s="71"/>
      <c r="H10" s="71"/>
      <c r="I10" s="71"/>
      <c r="J10" s="83">
        <v>2029</v>
      </c>
      <c r="K10" s="75">
        <v>11774.293214851243</v>
      </c>
      <c r="L10" s="75">
        <v>55555.55555555554</v>
      </c>
      <c r="M10" s="75">
        <v>41666.666666666468</v>
      </c>
    </row>
    <row r="11" spans="2:30" x14ac:dyDescent="0.25">
      <c r="B11" s="89" t="s">
        <v>160</v>
      </c>
      <c r="C11" s="47" t="s">
        <v>170</v>
      </c>
      <c r="D11" s="80">
        <v>1</v>
      </c>
      <c r="E11" s="89" t="s">
        <v>171</v>
      </c>
      <c r="F11" s="77"/>
      <c r="G11" s="71"/>
      <c r="H11" s="71"/>
      <c r="I11" s="71"/>
      <c r="J11" s="83">
        <v>2030</v>
      </c>
      <c r="K11" s="75">
        <v>2848.6193261736721</v>
      </c>
      <c r="L11" s="75">
        <v>41666.666666666657</v>
      </c>
      <c r="M11" s="75">
        <v>-1.8917489796876907E-10</v>
      </c>
    </row>
    <row r="12" spans="2:30" x14ac:dyDescent="0.25">
      <c r="B12" s="89" t="s">
        <v>172</v>
      </c>
      <c r="C12" s="47" t="s">
        <v>173</v>
      </c>
      <c r="D12" s="71"/>
      <c r="E12" s="89" t="s">
        <v>174</v>
      </c>
      <c r="F12" s="77">
        <f>C5-F11-F9-F8</f>
        <v>250000</v>
      </c>
      <c r="G12" s="71"/>
      <c r="H12" s="71"/>
      <c r="I12" s="71"/>
    </row>
    <row r="13" spans="2:30" ht="9" customHeight="1" x14ac:dyDescent="0.25">
      <c r="B13" s="71"/>
      <c r="C13" s="71"/>
      <c r="D13" s="71"/>
      <c r="E13" s="71"/>
      <c r="F13" s="71"/>
      <c r="G13" s="71"/>
      <c r="H13" s="71"/>
      <c r="I13" s="71"/>
    </row>
    <row r="14" spans="2:30" x14ac:dyDescent="0.3">
      <c r="B14" s="88" t="s">
        <v>175</v>
      </c>
      <c r="C14" s="88" t="s">
        <v>176</v>
      </c>
      <c r="D14" s="88" t="s">
        <v>183</v>
      </c>
      <c r="E14" s="88" t="s">
        <v>177</v>
      </c>
      <c r="F14" s="88" t="s">
        <v>178</v>
      </c>
      <c r="G14" s="88" t="s">
        <v>179</v>
      </c>
      <c r="H14" s="88" t="s">
        <v>180</v>
      </c>
      <c r="I14" s="88" t="s">
        <v>181</v>
      </c>
    </row>
    <row r="15" spans="2:30" x14ac:dyDescent="0.3">
      <c r="B15" s="47">
        <v>0</v>
      </c>
      <c r="C15" s="78">
        <v>45901</v>
      </c>
      <c r="D15" s="83">
        <f t="shared" ref="D15:D46" si="0">YEAR(C15)</f>
        <v>2025</v>
      </c>
      <c r="E15" s="81">
        <v>0</v>
      </c>
      <c r="F15" s="74">
        <v>0</v>
      </c>
      <c r="I15" s="75">
        <f>$C$5</f>
        <v>250000</v>
      </c>
    </row>
    <row r="16" spans="2:30" x14ac:dyDescent="0.3">
      <c r="B16" s="47" cm="1">
        <v>1</v>
      </c>
      <c r="C16" s="78">
        <v>45931</v>
      </c>
      <c r="D16" s="83">
        <f t="shared" si="0"/>
        <v>2025</v>
      </c>
      <c r="E16" s="81">
        <v>0</v>
      </c>
      <c r="F16" s="74">
        <v>1.7250798255922017E-2</v>
      </c>
      <c r="G16" s="75">
        <v>4312.6995639805045</v>
      </c>
      <c r="H16" s="75">
        <v>4312.6995639805045</v>
      </c>
      <c r="I16" s="75">
        <v>250000</v>
      </c>
      <c r="K16" s="84"/>
    </row>
    <row r="17" spans="2:9" x14ac:dyDescent="0.3">
      <c r="B17" s="47">
        <v>2</v>
      </c>
      <c r="C17" s="78">
        <v>45962</v>
      </c>
      <c r="D17" s="83">
        <f t="shared" si="0"/>
        <v>2025</v>
      </c>
      <c r="E17" s="81">
        <v>0</v>
      </c>
      <c r="F17" s="74">
        <v>1.7250798255922017E-2</v>
      </c>
      <c r="G17" s="75">
        <v>4312.6995639805045</v>
      </c>
      <c r="H17" s="75">
        <v>4312.6995639805045</v>
      </c>
      <c r="I17" s="75">
        <v>250000</v>
      </c>
    </row>
    <row r="18" spans="2:9" x14ac:dyDescent="0.3">
      <c r="B18" s="47">
        <v>3</v>
      </c>
      <c r="C18" s="78">
        <v>45992</v>
      </c>
      <c r="D18" s="83">
        <f t="shared" si="0"/>
        <v>2025</v>
      </c>
      <c r="E18" s="81">
        <v>0</v>
      </c>
      <c r="F18" s="74">
        <v>1.7250798255922017E-2</v>
      </c>
      <c r="G18" s="75">
        <v>4312.6995639805045</v>
      </c>
      <c r="H18" s="75">
        <v>4312.6995639805045</v>
      </c>
      <c r="I18" s="75">
        <v>250000</v>
      </c>
    </row>
    <row r="19" spans="2:9" x14ac:dyDescent="0.3">
      <c r="B19" s="47">
        <v>4</v>
      </c>
      <c r="C19" s="78">
        <v>46023</v>
      </c>
      <c r="D19" s="83">
        <f t="shared" si="0"/>
        <v>2026</v>
      </c>
      <c r="E19" s="81">
        <v>0</v>
      </c>
      <c r="F19" s="74">
        <v>1.5573496059105185E-2</v>
      </c>
      <c r="G19" s="75">
        <v>3893.3740147762965</v>
      </c>
      <c r="H19" s="75">
        <v>3893.3740147762965</v>
      </c>
      <c r="I19" s="75">
        <v>250000</v>
      </c>
    </row>
    <row r="20" spans="2:9" x14ac:dyDescent="0.3">
      <c r="B20" s="47">
        <v>5</v>
      </c>
      <c r="C20" s="78">
        <v>46054</v>
      </c>
      <c r="D20" s="83">
        <f t="shared" si="0"/>
        <v>2026</v>
      </c>
      <c r="E20" s="81">
        <v>0</v>
      </c>
      <c r="F20" s="74">
        <v>1.5573496059105185E-2</v>
      </c>
      <c r="G20" s="75">
        <v>3893.3740147762965</v>
      </c>
      <c r="H20" s="75">
        <v>3893.3740147762965</v>
      </c>
      <c r="I20" s="75">
        <v>250000</v>
      </c>
    </row>
    <row r="21" spans="2:9" x14ac:dyDescent="0.3">
      <c r="B21" s="47">
        <v>6</v>
      </c>
      <c r="C21" s="78">
        <v>46082</v>
      </c>
      <c r="D21" s="83">
        <f t="shared" si="0"/>
        <v>2026</v>
      </c>
      <c r="E21" s="81">
        <v>0</v>
      </c>
      <c r="F21" s="74">
        <v>1.5573496059105185E-2</v>
      </c>
      <c r="G21" s="75">
        <v>3893.3740147762965</v>
      </c>
      <c r="H21" s="75">
        <v>3893.3740147762965</v>
      </c>
      <c r="I21" s="75">
        <v>250000</v>
      </c>
    </row>
    <row r="22" spans="2:9" x14ac:dyDescent="0.3">
      <c r="B22" s="47">
        <v>7</v>
      </c>
      <c r="C22" s="78">
        <v>46113</v>
      </c>
      <c r="D22" s="83">
        <f t="shared" si="0"/>
        <v>2026</v>
      </c>
      <c r="E22" s="81">
        <v>4629.6296296296296</v>
      </c>
      <c r="F22" s="74">
        <v>1.5573496059105185E-2</v>
      </c>
      <c r="G22" s="75">
        <v>3893.3740147762965</v>
      </c>
      <c r="H22" s="75">
        <v>8523.003644405926</v>
      </c>
      <c r="I22" s="75">
        <v>245370.37037037036</v>
      </c>
    </row>
    <row r="23" spans="2:9" x14ac:dyDescent="0.3">
      <c r="B23" s="47">
        <v>8</v>
      </c>
      <c r="C23" s="78">
        <v>46143</v>
      </c>
      <c r="D23" s="83">
        <f t="shared" si="0"/>
        <v>2026</v>
      </c>
      <c r="E23" s="81">
        <v>4629.6296296296296</v>
      </c>
      <c r="F23" s="74">
        <v>1.5573496059105185E-2</v>
      </c>
      <c r="G23" s="75">
        <v>3821.2744959841425</v>
      </c>
      <c r="H23" s="75">
        <v>8450.9041256137716</v>
      </c>
      <c r="I23" s="75">
        <v>240740.74074074073</v>
      </c>
    </row>
    <row r="24" spans="2:9" x14ac:dyDescent="0.3">
      <c r="B24" s="47">
        <v>9</v>
      </c>
      <c r="C24" s="78">
        <v>46174</v>
      </c>
      <c r="D24" s="83">
        <f t="shared" si="0"/>
        <v>2026</v>
      </c>
      <c r="E24" s="81">
        <v>4629.6296296296296</v>
      </c>
      <c r="F24" s="74">
        <v>1.5573496059105185E-2</v>
      </c>
      <c r="G24" s="75">
        <v>3749.174977191989</v>
      </c>
      <c r="H24" s="75">
        <v>8378.804606821619</v>
      </c>
      <c r="I24" s="75">
        <v>236111.11111111109</v>
      </c>
    </row>
    <row r="25" spans="2:9" x14ac:dyDescent="0.3">
      <c r="B25" s="47">
        <v>10</v>
      </c>
      <c r="C25" s="78">
        <v>46204</v>
      </c>
      <c r="D25" s="83">
        <f t="shared" si="0"/>
        <v>2026</v>
      </c>
      <c r="E25" s="81">
        <v>4629.6296296296296</v>
      </c>
      <c r="F25" s="74">
        <v>1.5573496059105185E-2</v>
      </c>
      <c r="G25" s="75">
        <v>3677.075458399835</v>
      </c>
      <c r="H25" s="75">
        <v>8306.7050880294646</v>
      </c>
      <c r="I25" s="75">
        <v>231481.48148148146</v>
      </c>
    </row>
    <row r="26" spans="2:9" x14ac:dyDescent="0.3">
      <c r="B26" s="47">
        <v>11</v>
      </c>
      <c r="C26" s="78">
        <v>46235</v>
      </c>
      <c r="D26" s="83">
        <f t="shared" si="0"/>
        <v>2026</v>
      </c>
      <c r="E26" s="81">
        <v>4629.6296296296296</v>
      </c>
      <c r="F26" s="74">
        <v>1.5573496059105185E-2</v>
      </c>
      <c r="G26" s="75">
        <v>3604.9759396076815</v>
      </c>
      <c r="H26" s="75">
        <v>8234.605569237312</v>
      </c>
      <c r="I26" s="75">
        <v>226851.85185185182</v>
      </c>
    </row>
    <row r="27" spans="2:9" x14ac:dyDescent="0.3">
      <c r="B27" s="47">
        <v>12</v>
      </c>
      <c r="C27" s="78">
        <v>46266</v>
      </c>
      <c r="D27" s="83">
        <f t="shared" si="0"/>
        <v>2026</v>
      </c>
      <c r="E27" s="81">
        <v>4629.6296296296296</v>
      </c>
      <c r="F27" s="74">
        <v>1.5573496059105185E-2</v>
      </c>
      <c r="G27" s="75">
        <v>3532.8764208155276</v>
      </c>
      <c r="H27" s="75">
        <v>8162.5060504451576</v>
      </c>
      <c r="I27" s="75">
        <v>222222.22222222219</v>
      </c>
    </row>
    <row r="28" spans="2:9" x14ac:dyDescent="0.3">
      <c r="B28" s="47">
        <v>13</v>
      </c>
      <c r="C28" s="78">
        <v>46296</v>
      </c>
      <c r="D28" s="83">
        <f t="shared" si="0"/>
        <v>2026</v>
      </c>
      <c r="E28" s="81">
        <v>4629.6296296296296</v>
      </c>
      <c r="F28" s="74">
        <v>1.5573496059105185E-2</v>
      </c>
      <c r="G28" s="75">
        <v>3460.7769020233741</v>
      </c>
      <c r="H28" s="75">
        <v>8090.4065316530032</v>
      </c>
      <c r="I28" s="75">
        <v>217592.59259259255</v>
      </c>
    </row>
    <row r="29" spans="2:9" x14ac:dyDescent="0.3">
      <c r="B29" s="47">
        <v>14</v>
      </c>
      <c r="C29" s="78">
        <v>46327</v>
      </c>
      <c r="D29" s="83">
        <f t="shared" si="0"/>
        <v>2026</v>
      </c>
      <c r="E29" s="81">
        <v>4629.6296296296296</v>
      </c>
      <c r="F29" s="74">
        <v>1.5573496059105185E-2</v>
      </c>
      <c r="G29" s="75">
        <v>3388.6773832312201</v>
      </c>
      <c r="H29" s="75">
        <v>8018.3070128608497</v>
      </c>
      <c r="I29" s="75">
        <v>212962.96296296292</v>
      </c>
    </row>
    <row r="30" spans="2:9" x14ac:dyDescent="0.3">
      <c r="B30" s="47">
        <v>15</v>
      </c>
      <c r="C30" s="78">
        <v>46357</v>
      </c>
      <c r="D30" s="83">
        <f t="shared" si="0"/>
        <v>2026</v>
      </c>
      <c r="E30" s="81">
        <v>4629.6296296296296</v>
      </c>
      <c r="F30" s="74">
        <v>1.5573496059105185E-2</v>
      </c>
      <c r="G30" s="75">
        <v>3316.5778644390666</v>
      </c>
      <c r="H30" s="75">
        <v>7946.2074940686962</v>
      </c>
      <c r="I30" s="75">
        <v>208333.33333333328</v>
      </c>
    </row>
    <row r="31" spans="2:9" x14ac:dyDescent="0.3">
      <c r="B31" s="47">
        <v>16</v>
      </c>
      <c r="C31" s="78">
        <v>46388</v>
      </c>
      <c r="D31" s="83">
        <f t="shared" si="0"/>
        <v>2027</v>
      </c>
      <c r="E31" s="81">
        <v>4629.6296296296296</v>
      </c>
      <c r="F31" s="74">
        <v>1.4056542336010169E-2</v>
      </c>
      <c r="G31" s="75">
        <v>2928.4463200021178</v>
      </c>
      <c r="H31" s="75">
        <v>7558.0759496317478</v>
      </c>
      <c r="I31" s="75">
        <v>203703.70370370365</v>
      </c>
    </row>
    <row r="32" spans="2:9" x14ac:dyDescent="0.3">
      <c r="B32" s="47">
        <v>17</v>
      </c>
      <c r="C32" s="78">
        <v>46419</v>
      </c>
      <c r="D32" s="83">
        <f t="shared" si="0"/>
        <v>2027</v>
      </c>
      <c r="E32" s="81">
        <v>4629.6296296296296</v>
      </c>
      <c r="F32" s="74">
        <v>1.4056542336010169E-2</v>
      </c>
      <c r="G32" s="75">
        <v>2863.3697351131818</v>
      </c>
      <c r="H32" s="75">
        <v>7492.9993647428109</v>
      </c>
      <c r="I32" s="75">
        <v>199074.07407407401</v>
      </c>
    </row>
    <row r="33" spans="2:9" x14ac:dyDescent="0.3">
      <c r="B33" s="47">
        <v>18</v>
      </c>
      <c r="C33" s="78">
        <v>46447</v>
      </c>
      <c r="D33" s="83">
        <f t="shared" si="0"/>
        <v>2027</v>
      </c>
      <c r="E33" s="81">
        <v>4629.6296296296296</v>
      </c>
      <c r="F33" s="74">
        <v>1.4056542336010169E-2</v>
      </c>
      <c r="G33" s="75">
        <v>2798.2931502242459</v>
      </c>
      <c r="H33" s="75">
        <v>7427.9227798538759</v>
      </c>
      <c r="I33" s="75">
        <v>194444.44444444438</v>
      </c>
    </row>
    <row r="34" spans="2:9" x14ac:dyDescent="0.3">
      <c r="B34" s="47">
        <v>19</v>
      </c>
      <c r="C34" s="78">
        <v>46478</v>
      </c>
      <c r="D34" s="83">
        <f t="shared" si="0"/>
        <v>2027</v>
      </c>
      <c r="E34" s="81">
        <v>4629.6296296296296</v>
      </c>
      <c r="F34" s="74">
        <v>1.4056542336010169E-2</v>
      </c>
      <c r="G34" s="75">
        <v>2733.21656533531</v>
      </c>
      <c r="H34" s="75">
        <v>7362.8461949649391</v>
      </c>
      <c r="I34" s="75">
        <v>189814.81481481474</v>
      </c>
    </row>
    <row r="35" spans="2:9" x14ac:dyDescent="0.3">
      <c r="B35" s="47">
        <v>20</v>
      </c>
      <c r="C35" s="78">
        <v>46508</v>
      </c>
      <c r="D35" s="83">
        <f t="shared" si="0"/>
        <v>2027</v>
      </c>
      <c r="E35" s="81">
        <v>4629.6296296296296</v>
      </c>
      <c r="F35" s="74">
        <v>1.4056542336010169E-2</v>
      </c>
      <c r="G35" s="75">
        <v>2668.1399804463736</v>
      </c>
      <c r="H35" s="75">
        <v>7297.7696100760031</v>
      </c>
      <c r="I35" s="75">
        <v>185185.18518518511</v>
      </c>
    </row>
    <row r="36" spans="2:9" x14ac:dyDescent="0.3">
      <c r="B36" s="47">
        <v>21</v>
      </c>
      <c r="C36" s="78">
        <v>46539</v>
      </c>
      <c r="D36" s="83">
        <f t="shared" si="0"/>
        <v>2027</v>
      </c>
      <c r="E36" s="81">
        <v>4629.6296296296296</v>
      </c>
      <c r="F36" s="74">
        <v>1.4056542336010169E-2</v>
      </c>
      <c r="G36" s="75">
        <v>2603.0633955574376</v>
      </c>
      <c r="H36" s="75">
        <v>7232.6930251870672</v>
      </c>
      <c r="I36" s="75">
        <v>180555.55555555547</v>
      </c>
    </row>
    <row r="37" spans="2:9" x14ac:dyDescent="0.3">
      <c r="B37" s="47">
        <v>22</v>
      </c>
      <c r="C37" s="78">
        <v>46569</v>
      </c>
      <c r="D37" s="83">
        <f t="shared" si="0"/>
        <v>2027</v>
      </c>
      <c r="E37" s="81">
        <v>4629.6296296296296</v>
      </c>
      <c r="F37" s="74">
        <v>1.4056542336010169E-2</v>
      </c>
      <c r="G37" s="75">
        <v>2537.9868106685017</v>
      </c>
      <c r="H37" s="75">
        <v>7167.6164402981312</v>
      </c>
      <c r="I37" s="75">
        <v>175925.92592592584</v>
      </c>
    </row>
    <row r="38" spans="2:9" x14ac:dyDescent="0.3">
      <c r="B38" s="47">
        <v>23</v>
      </c>
      <c r="C38" s="78">
        <v>46600</v>
      </c>
      <c r="D38" s="83">
        <f t="shared" si="0"/>
        <v>2027</v>
      </c>
      <c r="E38" s="81">
        <v>4629.6296296296296</v>
      </c>
      <c r="F38" s="74">
        <v>1.4056542336010169E-2</v>
      </c>
      <c r="G38" s="75">
        <v>2472.9102257795657</v>
      </c>
      <c r="H38" s="75">
        <v>7102.5398554091953</v>
      </c>
      <c r="I38" s="75">
        <v>171296.2962962962</v>
      </c>
    </row>
    <row r="39" spans="2:9" x14ac:dyDescent="0.3">
      <c r="B39" s="47">
        <v>24</v>
      </c>
      <c r="C39" s="78">
        <v>46631</v>
      </c>
      <c r="D39" s="83">
        <f t="shared" si="0"/>
        <v>2027</v>
      </c>
      <c r="E39" s="81">
        <v>4629.6296296296296</v>
      </c>
      <c r="F39" s="74">
        <v>1.4056542336010169E-2</v>
      </c>
      <c r="G39" s="75">
        <v>2407.8336408906298</v>
      </c>
      <c r="H39" s="75">
        <v>7037.4632705202594</v>
      </c>
      <c r="I39" s="75">
        <v>166666.66666666657</v>
      </c>
    </row>
    <row r="40" spans="2:9" x14ac:dyDescent="0.3">
      <c r="B40" s="47">
        <v>25</v>
      </c>
      <c r="C40" s="78">
        <v>46661</v>
      </c>
      <c r="D40" s="83">
        <f t="shared" si="0"/>
        <v>2027</v>
      </c>
      <c r="E40" s="81">
        <v>4629.6296296296296</v>
      </c>
      <c r="F40" s="74">
        <v>1.4056542336010169E-2</v>
      </c>
      <c r="G40" s="75">
        <v>2342.7570560016934</v>
      </c>
      <c r="H40" s="75">
        <v>6972.3866856313234</v>
      </c>
      <c r="I40" s="75">
        <v>162037.03703703693</v>
      </c>
    </row>
    <row r="41" spans="2:9" x14ac:dyDescent="0.3">
      <c r="B41" s="47">
        <v>26</v>
      </c>
      <c r="C41" s="78">
        <v>46692</v>
      </c>
      <c r="D41" s="83">
        <f t="shared" si="0"/>
        <v>2027</v>
      </c>
      <c r="E41" s="81">
        <v>4629.6296296296296</v>
      </c>
      <c r="F41" s="74">
        <v>1.4056542336010169E-2</v>
      </c>
      <c r="G41" s="75">
        <v>2277.6804711127575</v>
      </c>
      <c r="H41" s="75">
        <v>6907.3101007423866</v>
      </c>
      <c r="I41" s="75">
        <v>157407.4074074073</v>
      </c>
    </row>
    <row r="42" spans="2:9" x14ac:dyDescent="0.3">
      <c r="B42" s="47">
        <v>27</v>
      </c>
      <c r="C42" s="78">
        <v>46722</v>
      </c>
      <c r="D42" s="83">
        <f t="shared" si="0"/>
        <v>2027</v>
      </c>
      <c r="E42" s="81">
        <v>4629.6296296296296</v>
      </c>
      <c r="F42" s="74">
        <v>1.4056542336010169E-2</v>
      </c>
      <c r="G42" s="75">
        <v>2212.6038862238215</v>
      </c>
      <c r="H42" s="75">
        <v>6842.2335158534515</v>
      </c>
      <c r="I42" s="75">
        <v>152777.77777777766</v>
      </c>
    </row>
    <row r="43" spans="2:9" x14ac:dyDescent="0.3">
      <c r="B43" s="47">
        <v>28</v>
      </c>
      <c r="C43" s="78">
        <v>46753</v>
      </c>
      <c r="D43" s="83">
        <f t="shared" si="0"/>
        <v>2028</v>
      </c>
      <c r="E43" s="81">
        <v>4629.6296296296296</v>
      </c>
      <c r="F43" s="74">
        <v>1.367337276563374E-2</v>
      </c>
      <c r="G43" s="75">
        <v>2088.9875058607086</v>
      </c>
      <c r="H43" s="75">
        <v>6718.6171354903381</v>
      </c>
      <c r="I43" s="75">
        <v>148148.14814814803</v>
      </c>
    </row>
    <row r="44" spans="2:9" x14ac:dyDescent="0.3">
      <c r="B44" s="47">
        <v>29</v>
      </c>
      <c r="C44" s="78">
        <v>46784</v>
      </c>
      <c r="D44" s="83">
        <f t="shared" si="0"/>
        <v>2028</v>
      </c>
      <c r="E44" s="81">
        <v>4629.6296296296296</v>
      </c>
      <c r="F44" s="74">
        <v>1.367337276563374E-2</v>
      </c>
      <c r="G44" s="75">
        <v>2025.6848541679599</v>
      </c>
      <c r="H44" s="75">
        <v>6655.3144837975897</v>
      </c>
      <c r="I44" s="75">
        <v>143518.51851851839</v>
      </c>
    </row>
    <row r="45" spans="2:9" x14ac:dyDescent="0.3">
      <c r="B45" s="47">
        <v>30</v>
      </c>
      <c r="C45" s="78">
        <v>46813</v>
      </c>
      <c r="D45" s="83">
        <f t="shared" si="0"/>
        <v>2028</v>
      </c>
      <c r="E45" s="81">
        <v>4629.6296296296296</v>
      </c>
      <c r="F45" s="74">
        <v>1.367337276563374E-2</v>
      </c>
      <c r="G45" s="75">
        <v>1962.382202475211</v>
      </c>
      <c r="H45" s="75">
        <v>6592.0118321048403</v>
      </c>
      <c r="I45" s="75">
        <v>138888.88888888876</v>
      </c>
    </row>
    <row r="46" spans="2:9" x14ac:dyDescent="0.3">
      <c r="B46" s="47">
        <v>31</v>
      </c>
      <c r="C46" s="78">
        <v>46844</v>
      </c>
      <c r="D46" s="83">
        <f t="shared" si="0"/>
        <v>2028</v>
      </c>
      <c r="E46" s="81">
        <v>4629.6296296296296</v>
      </c>
      <c r="F46" s="74">
        <v>1.367337276563374E-2</v>
      </c>
      <c r="G46" s="75">
        <v>1899.0795507824621</v>
      </c>
      <c r="H46" s="75">
        <v>6528.7091804120919</v>
      </c>
      <c r="I46" s="75">
        <v>134259.25925925912</v>
      </c>
    </row>
    <row r="47" spans="2:9" x14ac:dyDescent="0.3">
      <c r="B47" s="47">
        <v>32</v>
      </c>
      <c r="C47" s="78">
        <v>46874</v>
      </c>
      <c r="D47" s="83">
        <f t="shared" ref="D47:D75" si="1">YEAR(C47)</f>
        <v>2028</v>
      </c>
      <c r="E47" s="81">
        <v>4629.6296296296296</v>
      </c>
      <c r="F47" s="74">
        <v>1.367337276563374E-2</v>
      </c>
      <c r="G47" s="75">
        <v>1835.7768990897132</v>
      </c>
      <c r="H47" s="75">
        <v>6465.4065287193425</v>
      </c>
      <c r="I47" s="75">
        <v>129629.62962962949</v>
      </c>
    </row>
    <row r="48" spans="2:9" x14ac:dyDescent="0.3">
      <c r="B48" s="47">
        <v>33</v>
      </c>
      <c r="C48" s="78">
        <v>46905</v>
      </c>
      <c r="D48" s="83">
        <f t="shared" si="1"/>
        <v>2028</v>
      </c>
      <c r="E48" s="81">
        <v>4629.6296296296296</v>
      </c>
      <c r="F48" s="74">
        <v>1.367337276563374E-2</v>
      </c>
      <c r="G48" s="75">
        <v>1772.4742473969643</v>
      </c>
      <c r="H48" s="75">
        <v>6402.1038770265941</v>
      </c>
      <c r="I48" s="75">
        <v>124999.99999999985</v>
      </c>
    </row>
    <row r="49" spans="2:9" x14ac:dyDescent="0.3">
      <c r="B49" s="47">
        <v>34</v>
      </c>
      <c r="C49" s="78">
        <v>46935</v>
      </c>
      <c r="D49" s="83">
        <f t="shared" si="1"/>
        <v>2028</v>
      </c>
      <c r="E49" s="81">
        <v>4629.6296296296296</v>
      </c>
      <c r="F49" s="74">
        <v>1.367337276563374E-2</v>
      </c>
      <c r="G49" s="75">
        <v>1709.1715957042154</v>
      </c>
      <c r="H49" s="75">
        <v>6338.8012253338447</v>
      </c>
      <c r="I49" s="75">
        <v>120370.37037037022</v>
      </c>
    </row>
    <row r="50" spans="2:9" x14ac:dyDescent="0.3">
      <c r="B50" s="47">
        <v>35</v>
      </c>
      <c r="C50" s="78">
        <v>46966</v>
      </c>
      <c r="D50" s="83">
        <f t="shared" si="1"/>
        <v>2028</v>
      </c>
      <c r="E50" s="81">
        <v>4629.6296296296296</v>
      </c>
      <c r="F50" s="74">
        <v>1.367337276563374E-2</v>
      </c>
      <c r="G50" s="75">
        <v>1645.8689440114667</v>
      </c>
      <c r="H50" s="75">
        <v>6275.4985736410963</v>
      </c>
      <c r="I50" s="75">
        <v>115740.74074074058</v>
      </c>
    </row>
    <row r="51" spans="2:9" x14ac:dyDescent="0.3">
      <c r="B51" s="47">
        <v>36</v>
      </c>
      <c r="C51" s="78">
        <v>46997</v>
      </c>
      <c r="D51" s="83">
        <f t="shared" si="1"/>
        <v>2028</v>
      </c>
      <c r="E51" s="81">
        <v>4629.6296296296296</v>
      </c>
      <c r="F51" s="74">
        <v>1.367337276563374E-2</v>
      </c>
      <c r="G51" s="75">
        <v>1582.5662923187178</v>
      </c>
      <c r="H51" s="75">
        <v>6212.1959219483469</v>
      </c>
      <c r="I51" s="75">
        <v>111111.11111111095</v>
      </c>
    </row>
    <row r="52" spans="2:9" x14ac:dyDescent="0.3">
      <c r="B52" s="47">
        <v>37</v>
      </c>
      <c r="C52" s="78">
        <v>47027</v>
      </c>
      <c r="D52" s="83">
        <f t="shared" si="1"/>
        <v>2028</v>
      </c>
      <c r="E52" s="81">
        <v>4629.6296296296296</v>
      </c>
      <c r="F52" s="74">
        <v>1.367337276563374E-2</v>
      </c>
      <c r="G52" s="75">
        <v>1519.2636406259689</v>
      </c>
      <c r="H52" s="75">
        <v>6148.8932702555985</v>
      </c>
      <c r="I52" s="75">
        <v>106481.48148148131</v>
      </c>
    </row>
    <row r="53" spans="2:9" x14ac:dyDescent="0.3">
      <c r="B53" s="47">
        <v>38</v>
      </c>
      <c r="C53" s="78">
        <v>47058</v>
      </c>
      <c r="D53" s="83">
        <f t="shared" si="1"/>
        <v>2028</v>
      </c>
      <c r="E53" s="81">
        <v>4629.6296296296296</v>
      </c>
      <c r="F53" s="74">
        <v>1.367337276563374E-2</v>
      </c>
      <c r="G53" s="75">
        <v>1455.9609889332201</v>
      </c>
      <c r="H53" s="75">
        <v>6085.5906185628501</v>
      </c>
      <c r="I53" s="75">
        <v>101851.85185185168</v>
      </c>
    </row>
    <row r="54" spans="2:9" x14ac:dyDescent="0.3">
      <c r="B54" s="47">
        <v>39</v>
      </c>
      <c r="C54" s="78">
        <v>47088</v>
      </c>
      <c r="D54" s="83">
        <f t="shared" si="1"/>
        <v>2028</v>
      </c>
      <c r="E54" s="81">
        <v>4629.6296296296296</v>
      </c>
      <c r="F54" s="74">
        <v>1.367337276563374E-2</v>
      </c>
      <c r="G54" s="75">
        <v>1392.6583372404712</v>
      </c>
      <c r="H54" s="75">
        <v>6022.2879668701007</v>
      </c>
      <c r="I54" s="75">
        <v>97222.222222222044</v>
      </c>
    </row>
    <row r="55" spans="2:9" x14ac:dyDescent="0.3">
      <c r="B55" s="47">
        <v>40</v>
      </c>
      <c r="C55" s="78">
        <v>47119</v>
      </c>
      <c r="D55" s="83">
        <f t="shared" si="1"/>
        <v>2029</v>
      </c>
      <c r="E55" s="81">
        <v>4629.6296296296296</v>
      </c>
      <c r="F55" s="74">
        <v>1.367337276563374E-2</v>
      </c>
      <c r="G55" s="75">
        <v>1329.3556855477223</v>
      </c>
      <c r="H55" s="75">
        <v>5958.9853151773514</v>
      </c>
      <c r="I55" s="75">
        <v>92592.592592592409</v>
      </c>
    </row>
    <row r="56" spans="2:9" x14ac:dyDescent="0.3">
      <c r="B56" s="47">
        <v>41</v>
      </c>
      <c r="C56" s="78">
        <v>47150</v>
      </c>
      <c r="D56" s="83">
        <f t="shared" si="1"/>
        <v>2029</v>
      </c>
      <c r="E56" s="81">
        <v>4629.6296296296296</v>
      </c>
      <c r="F56" s="74">
        <v>1.367337276563374E-2</v>
      </c>
      <c r="G56" s="75">
        <v>1266.0530338549734</v>
      </c>
      <c r="H56" s="75">
        <v>5895.6826634846029</v>
      </c>
      <c r="I56" s="75">
        <v>87962.962962962774</v>
      </c>
    </row>
    <row r="57" spans="2:9" x14ac:dyDescent="0.3">
      <c r="B57" s="47">
        <v>42</v>
      </c>
      <c r="C57" s="78">
        <v>47178</v>
      </c>
      <c r="D57" s="83">
        <f t="shared" si="1"/>
        <v>2029</v>
      </c>
      <c r="E57" s="81">
        <v>4629.6296296296296</v>
      </c>
      <c r="F57" s="74">
        <v>1.367337276563374E-2</v>
      </c>
      <c r="G57" s="75">
        <v>1202.7503821622245</v>
      </c>
      <c r="H57" s="75">
        <v>5832.3800117918545</v>
      </c>
      <c r="I57" s="75">
        <v>83333.333333333139</v>
      </c>
    </row>
    <row r="58" spans="2:9" x14ac:dyDescent="0.3">
      <c r="B58" s="47">
        <v>43</v>
      </c>
      <c r="C58" s="78">
        <v>47209</v>
      </c>
      <c r="D58" s="83">
        <f t="shared" si="1"/>
        <v>2029</v>
      </c>
      <c r="E58" s="81">
        <v>4629.6296296296296</v>
      </c>
      <c r="F58" s="74">
        <v>1.367337276563374E-2</v>
      </c>
      <c r="G58" s="75">
        <v>1139.4477304694756</v>
      </c>
      <c r="H58" s="75">
        <v>5769.0773600991051</v>
      </c>
      <c r="I58" s="75">
        <v>78703.703703703504</v>
      </c>
    </row>
    <row r="59" spans="2:9" x14ac:dyDescent="0.3">
      <c r="B59" s="47">
        <v>44</v>
      </c>
      <c r="C59" s="78">
        <v>47239</v>
      </c>
      <c r="D59" s="83">
        <f t="shared" si="1"/>
        <v>2029</v>
      </c>
      <c r="E59" s="81">
        <v>4629.6296296296296</v>
      </c>
      <c r="F59" s="74">
        <v>1.367337276563374E-2</v>
      </c>
      <c r="G59" s="75">
        <v>1076.1450787767269</v>
      </c>
      <c r="H59" s="75">
        <v>5705.7747084063567</v>
      </c>
      <c r="I59" s="75">
        <v>74074.074074073869</v>
      </c>
    </row>
    <row r="60" spans="2:9" x14ac:dyDescent="0.3">
      <c r="B60" s="47">
        <v>45</v>
      </c>
      <c r="C60" s="78">
        <v>47270</v>
      </c>
      <c r="D60" s="83">
        <f t="shared" si="1"/>
        <v>2029</v>
      </c>
      <c r="E60" s="81">
        <v>4629.6296296296296</v>
      </c>
      <c r="F60" s="74">
        <v>1.367337276563374E-2</v>
      </c>
      <c r="G60" s="75">
        <v>1012.8424270839779</v>
      </c>
      <c r="H60" s="75">
        <v>5642.4720567136073</v>
      </c>
      <c r="I60" s="75">
        <v>69444.444444444234</v>
      </c>
    </row>
    <row r="61" spans="2:9" x14ac:dyDescent="0.3">
      <c r="B61" s="47">
        <v>46</v>
      </c>
      <c r="C61" s="78">
        <v>47300</v>
      </c>
      <c r="D61" s="83">
        <f t="shared" si="1"/>
        <v>2029</v>
      </c>
      <c r="E61" s="81">
        <v>4629.6296296296296</v>
      </c>
      <c r="F61" s="74">
        <v>1.367337276563374E-2</v>
      </c>
      <c r="G61" s="75">
        <v>949.53977539122911</v>
      </c>
      <c r="H61" s="75">
        <v>5579.1694050208589</v>
      </c>
      <c r="I61" s="75">
        <v>64814.814814814607</v>
      </c>
    </row>
    <row r="62" spans="2:9" x14ac:dyDescent="0.3">
      <c r="B62" s="47">
        <v>47</v>
      </c>
      <c r="C62" s="78">
        <v>47331</v>
      </c>
      <c r="D62" s="83">
        <f t="shared" si="1"/>
        <v>2029</v>
      </c>
      <c r="E62" s="81">
        <v>4629.6296296296296</v>
      </c>
      <c r="F62" s="74">
        <v>1.367337276563374E-2</v>
      </c>
      <c r="G62" s="75">
        <v>886.23712369848033</v>
      </c>
      <c r="H62" s="75">
        <v>5515.8667533281096</v>
      </c>
      <c r="I62" s="75">
        <v>60185.185185184979</v>
      </c>
    </row>
    <row r="63" spans="2:9" x14ac:dyDescent="0.3">
      <c r="B63" s="47">
        <v>48</v>
      </c>
      <c r="C63" s="78">
        <v>47362</v>
      </c>
      <c r="D63" s="83">
        <f t="shared" si="1"/>
        <v>2029</v>
      </c>
      <c r="E63" s="81">
        <v>4629.6296296296296</v>
      </c>
      <c r="F63" s="74">
        <v>1.367337276563374E-2</v>
      </c>
      <c r="G63" s="75">
        <v>822.93447200573155</v>
      </c>
      <c r="H63" s="75">
        <v>5452.5641016353611</v>
      </c>
      <c r="I63" s="75">
        <v>55555.555555555351</v>
      </c>
    </row>
    <row r="64" spans="2:9" x14ac:dyDescent="0.3">
      <c r="B64" s="47">
        <v>49</v>
      </c>
      <c r="C64" s="78">
        <v>47392</v>
      </c>
      <c r="D64" s="83">
        <f t="shared" si="1"/>
        <v>2029</v>
      </c>
      <c r="E64" s="81">
        <v>4629.6296296296296</v>
      </c>
      <c r="F64" s="74">
        <v>1.367337276563374E-2</v>
      </c>
      <c r="G64" s="75">
        <v>759.63182031298277</v>
      </c>
      <c r="H64" s="75">
        <v>5389.2614499426127</v>
      </c>
      <c r="I64" s="75">
        <v>50925.925925925723</v>
      </c>
    </row>
    <row r="65" spans="2:9" x14ac:dyDescent="0.3">
      <c r="B65" s="47">
        <v>50</v>
      </c>
      <c r="C65" s="78">
        <v>47423</v>
      </c>
      <c r="D65" s="83">
        <f t="shared" si="1"/>
        <v>2029</v>
      </c>
      <c r="E65" s="81">
        <v>4629.6296296296296</v>
      </c>
      <c r="F65" s="74">
        <v>1.367337276563374E-2</v>
      </c>
      <c r="G65" s="75">
        <v>696.32916862023399</v>
      </c>
      <c r="H65" s="75">
        <v>5325.9587982498633</v>
      </c>
      <c r="I65" s="75">
        <v>46296.296296296096</v>
      </c>
    </row>
    <row r="66" spans="2:9" x14ac:dyDescent="0.3">
      <c r="B66" s="47">
        <v>51</v>
      </c>
      <c r="C66" s="78">
        <v>47453</v>
      </c>
      <c r="D66" s="83">
        <f t="shared" si="1"/>
        <v>2029</v>
      </c>
      <c r="E66" s="81">
        <v>4629.6296296296296</v>
      </c>
      <c r="F66" s="74">
        <v>1.367337276563374E-2</v>
      </c>
      <c r="G66" s="75">
        <v>633.0265169274852</v>
      </c>
      <c r="H66" s="75">
        <v>5262.6561465571149</v>
      </c>
      <c r="I66" s="75">
        <v>41666.666666666468</v>
      </c>
    </row>
    <row r="67" spans="2:9" x14ac:dyDescent="0.3">
      <c r="B67" s="47">
        <v>52</v>
      </c>
      <c r="C67" s="78">
        <v>47484</v>
      </c>
      <c r="D67" s="83">
        <f t="shared" si="1"/>
        <v>2030</v>
      </c>
      <c r="E67" s="81">
        <v>4629.6296296296296</v>
      </c>
      <c r="F67" s="74">
        <v>1.367337276563374E-2</v>
      </c>
      <c r="G67" s="75">
        <v>569.72386523473642</v>
      </c>
      <c r="H67" s="75">
        <v>5199.3534948643664</v>
      </c>
      <c r="I67" s="75">
        <v>37037.03703703684</v>
      </c>
    </row>
    <row r="68" spans="2:9" x14ac:dyDescent="0.3">
      <c r="B68" s="47">
        <v>53</v>
      </c>
      <c r="C68" s="78">
        <v>47515</v>
      </c>
      <c r="D68" s="83">
        <f t="shared" si="1"/>
        <v>2030</v>
      </c>
      <c r="E68" s="81">
        <v>4629.6296296296296</v>
      </c>
      <c r="F68" s="74">
        <v>1.367337276563374E-2</v>
      </c>
      <c r="G68" s="75">
        <v>506.4212135419877</v>
      </c>
      <c r="H68" s="75">
        <v>5136.0508431716171</v>
      </c>
      <c r="I68" s="75">
        <v>32407.407407407212</v>
      </c>
    </row>
    <row r="69" spans="2:9" x14ac:dyDescent="0.3">
      <c r="B69" s="47">
        <v>54</v>
      </c>
      <c r="C69" s="78">
        <v>47543</v>
      </c>
      <c r="D69" s="83">
        <f t="shared" si="1"/>
        <v>2030</v>
      </c>
      <c r="E69" s="81">
        <v>4629.6296296296296</v>
      </c>
      <c r="F69" s="74">
        <v>1.367337276563374E-2</v>
      </c>
      <c r="G69" s="75">
        <v>443.11856184923892</v>
      </c>
      <c r="H69" s="75">
        <v>5072.7481914788686</v>
      </c>
      <c r="I69" s="75">
        <v>27777.777777777585</v>
      </c>
    </row>
    <row r="70" spans="2:9" x14ac:dyDescent="0.3">
      <c r="B70" s="47">
        <v>55</v>
      </c>
      <c r="C70" s="78">
        <v>47574</v>
      </c>
      <c r="D70" s="83">
        <f t="shared" si="1"/>
        <v>2030</v>
      </c>
      <c r="E70" s="81">
        <v>4629.6296296296296</v>
      </c>
      <c r="F70" s="74">
        <v>1.367337276563374E-2</v>
      </c>
      <c r="G70" s="75">
        <v>379.81591015649013</v>
      </c>
      <c r="H70" s="75">
        <v>5009.4455397861193</v>
      </c>
      <c r="I70" s="75">
        <v>23148.148148147957</v>
      </c>
    </row>
    <row r="71" spans="2:9" x14ac:dyDescent="0.3">
      <c r="B71" s="47">
        <v>56</v>
      </c>
      <c r="C71" s="78">
        <v>47604</v>
      </c>
      <c r="D71" s="83">
        <f t="shared" si="1"/>
        <v>2030</v>
      </c>
      <c r="E71" s="81">
        <v>4629.6296296296296</v>
      </c>
      <c r="F71" s="74">
        <v>1.367337276563374E-2</v>
      </c>
      <c r="G71" s="75">
        <v>316.51325846374135</v>
      </c>
      <c r="H71" s="75">
        <v>4946.1428880933709</v>
      </c>
      <c r="I71" s="75">
        <v>18518.518518518329</v>
      </c>
    </row>
    <row r="72" spans="2:9" x14ac:dyDescent="0.3">
      <c r="B72" s="47">
        <v>57</v>
      </c>
      <c r="C72" s="78">
        <v>47635</v>
      </c>
      <c r="D72" s="83">
        <f t="shared" si="1"/>
        <v>2030</v>
      </c>
      <c r="E72" s="81">
        <v>4629.6296296296296</v>
      </c>
      <c r="F72" s="74">
        <v>1.367337276563374E-2</v>
      </c>
      <c r="G72" s="75">
        <v>253.2106067709926</v>
      </c>
      <c r="H72" s="75">
        <v>4882.8402364006224</v>
      </c>
      <c r="I72" s="75">
        <v>13888.8888888887</v>
      </c>
    </row>
    <row r="73" spans="2:9" x14ac:dyDescent="0.3">
      <c r="B73" s="47">
        <v>58</v>
      </c>
      <c r="C73" s="78">
        <v>47665</v>
      </c>
      <c r="D73" s="83">
        <f t="shared" si="1"/>
        <v>2030</v>
      </c>
      <c r="E73" s="81">
        <v>4629.6296296296296</v>
      </c>
      <c r="F73" s="74">
        <v>1.367337276563374E-2</v>
      </c>
      <c r="G73" s="75">
        <v>189.90795507824379</v>
      </c>
      <c r="H73" s="75">
        <v>4819.5375847078731</v>
      </c>
      <c r="I73" s="75">
        <v>9259.2592592590699</v>
      </c>
    </row>
    <row r="74" spans="2:9" x14ac:dyDescent="0.3">
      <c r="B74" s="47">
        <v>59</v>
      </c>
      <c r="C74" s="78">
        <v>47696</v>
      </c>
      <c r="D74" s="83">
        <f t="shared" si="1"/>
        <v>2030</v>
      </c>
      <c r="E74" s="81">
        <v>4629.6296296296296</v>
      </c>
      <c r="F74" s="74">
        <v>1.367337276563374E-2</v>
      </c>
      <c r="G74" s="75">
        <v>126.60530338549501</v>
      </c>
      <c r="H74" s="75">
        <v>4756.2349330151246</v>
      </c>
      <c r="I74" s="75">
        <v>4629.6296296294404</v>
      </c>
    </row>
    <row r="75" spans="2:9" x14ac:dyDescent="0.3">
      <c r="B75" s="47">
        <v>60</v>
      </c>
      <c r="C75" s="78">
        <v>47727</v>
      </c>
      <c r="D75" s="83">
        <f t="shared" si="1"/>
        <v>2030</v>
      </c>
      <c r="E75" s="81">
        <v>4629.6296296296296</v>
      </c>
      <c r="F75" s="74">
        <v>1.367337276563374E-2</v>
      </c>
      <c r="G75" s="75">
        <v>63.30265169274621</v>
      </c>
      <c r="H75" s="75">
        <v>4692.9322813223762</v>
      </c>
      <c r="I75" s="75">
        <v>-1.8917489796876907E-10</v>
      </c>
    </row>
    <row r="76" spans="2:9" x14ac:dyDescent="0.3">
      <c r="C76" s="78" t="s">
        <v>229</v>
      </c>
      <c r="D76" s="78"/>
      <c r="E76" s="81" t="s">
        <v>229</v>
      </c>
      <c r="F76" s="74" t="s">
        <v>229</v>
      </c>
      <c r="G76" s="75" t="s">
        <v>229</v>
      </c>
      <c r="H76" s="75" t="s">
        <v>229</v>
      </c>
      <c r="I76" s="75" t="s">
        <v>229</v>
      </c>
    </row>
    <row r="77" spans="2:9" x14ac:dyDescent="0.3">
      <c r="C77" s="78" t="s">
        <v>229</v>
      </c>
      <c r="D77" s="78"/>
      <c r="E77" s="81" t="s">
        <v>229</v>
      </c>
      <c r="F77" s="74" t="s">
        <v>229</v>
      </c>
      <c r="G77" s="75" t="s">
        <v>229</v>
      </c>
      <c r="H77" s="75" t="s">
        <v>229</v>
      </c>
      <c r="I77" s="75" t="s">
        <v>229</v>
      </c>
    </row>
    <row r="78" spans="2:9" x14ac:dyDescent="0.3">
      <c r="C78" s="78" t="s">
        <v>229</v>
      </c>
      <c r="D78" s="78"/>
      <c r="E78" s="81" t="s">
        <v>229</v>
      </c>
      <c r="F78" s="74" t="s">
        <v>229</v>
      </c>
      <c r="G78" s="75" t="s">
        <v>229</v>
      </c>
      <c r="H78" s="75" t="s">
        <v>229</v>
      </c>
      <c r="I78" s="75" t="s">
        <v>229</v>
      </c>
    </row>
    <row r="79" spans="2:9" x14ac:dyDescent="0.3">
      <c r="C79" s="78" t="s">
        <v>229</v>
      </c>
      <c r="D79" s="78"/>
      <c r="E79" s="81" t="s">
        <v>229</v>
      </c>
      <c r="F79" s="74" t="s">
        <v>229</v>
      </c>
      <c r="G79" s="75" t="s">
        <v>229</v>
      </c>
      <c r="H79" s="75" t="s">
        <v>229</v>
      </c>
      <c r="I79" s="75" t="s">
        <v>229</v>
      </c>
    </row>
    <row r="80" spans="2:9" x14ac:dyDescent="0.3">
      <c r="C80" s="78" t="s">
        <v>229</v>
      </c>
      <c r="D80" s="78"/>
      <c r="E80" s="81" t="s">
        <v>229</v>
      </c>
      <c r="F80" s="74" t="s">
        <v>229</v>
      </c>
      <c r="G80" s="75" t="s">
        <v>229</v>
      </c>
      <c r="H80" s="75" t="s">
        <v>229</v>
      </c>
      <c r="I80" s="75" t="s">
        <v>229</v>
      </c>
    </row>
    <row r="81" spans="3:9" x14ac:dyDescent="0.3">
      <c r="C81" s="78" t="s">
        <v>229</v>
      </c>
      <c r="D81" s="78"/>
      <c r="E81" s="81" t="s">
        <v>229</v>
      </c>
      <c r="F81" s="74" t="s">
        <v>229</v>
      </c>
      <c r="G81" s="75" t="s">
        <v>229</v>
      </c>
      <c r="H81" s="75" t="s">
        <v>229</v>
      </c>
      <c r="I81" s="75" t="s">
        <v>229</v>
      </c>
    </row>
    <row r="82" spans="3:9" x14ac:dyDescent="0.3">
      <c r="C82" s="78" t="s">
        <v>229</v>
      </c>
      <c r="D82" s="78"/>
      <c r="E82" s="81" t="s">
        <v>229</v>
      </c>
      <c r="F82" s="74" t="s">
        <v>229</v>
      </c>
      <c r="G82" s="75" t="s">
        <v>229</v>
      </c>
      <c r="H82" s="75" t="s">
        <v>229</v>
      </c>
      <c r="I82" s="75" t="s">
        <v>229</v>
      </c>
    </row>
    <row r="83" spans="3:9" x14ac:dyDescent="0.3">
      <c r="C83" s="78" t="s">
        <v>229</v>
      </c>
      <c r="D83" s="78"/>
      <c r="E83" s="81" t="s">
        <v>229</v>
      </c>
      <c r="F83" s="74" t="s">
        <v>229</v>
      </c>
      <c r="G83" s="75" t="s">
        <v>229</v>
      </c>
      <c r="H83" s="75" t="s">
        <v>229</v>
      </c>
      <c r="I83" s="75" t="s">
        <v>229</v>
      </c>
    </row>
    <row r="84" spans="3:9" x14ac:dyDescent="0.3">
      <c r="C84" s="78" t="s">
        <v>229</v>
      </c>
      <c r="D84" s="78"/>
      <c r="E84" s="81" t="s">
        <v>229</v>
      </c>
      <c r="F84" s="74" t="s">
        <v>229</v>
      </c>
      <c r="G84" s="75" t="s">
        <v>229</v>
      </c>
      <c r="H84" s="75" t="s">
        <v>229</v>
      </c>
      <c r="I84" s="75" t="s">
        <v>229</v>
      </c>
    </row>
    <row r="85" spans="3:9" x14ac:dyDescent="0.3">
      <c r="C85" s="78" t="s">
        <v>229</v>
      </c>
      <c r="D85" s="78"/>
      <c r="E85" s="81" t="s">
        <v>229</v>
      </c>
      <c r="F85" s="74" t="s">
        <v>229</v>
      </c>
      <c r="G85" s="75" t="s">
        <v>229</v>
      </c>
      <c r="H85" s="75" t="s">
        <v>229</v>
      </c>
      <c r="I85" s="75" t="s">
        <v>229</v>
      </c>
    </row>
    <row r="86" spans="3:9" x14ac:dyDescent="0.3">
      <c r="C86" s="78" t="s">
        <v>229</v>
      </c>
      <c r="D86" s="78"/>
      <c r="E86" s="81" t="s">
        <v>229</v>
      </c>
      <c r="F86" s="74" t="s">
        <v>229</v>
      </c>
      <c r="G86" s="75" t="s">
        <v>229</v>
      </c>
      <c r="H86" s="75" t="s">
        <v>229</v>
      </c>
      <c r="I86" s="75" t="s">
        <v>229</v>
      </c>
    </row>
    <row r="87" spans="3:9" x14ac:dyDescent="0.3">
      <c r="C87" s="78" t="s">
        <v>229</v>
      </c>
      <c r="D87" s="78"/>
      <c r="E87" s="81" t="s">
        <v>229</v>
      </c>
      <c r="F87" s="74" t="s">
        <v>229</v>
      </c>
      <c r="G87" s="75" t="s">
        <v>229</v>
      </c>
      <c r="H87" s="75" t="s">
        <v>229</v>
      </c>
      <c r="I87" s="75" t="s">
        <v>229</v>
      </c>
    </row>
    <row r="88" spans="3:9" x14ac:dyDescent="0.3">
      <c r="C88" s="78" t="s">
        <v>229</v>
      </c>
      <c r="D88" s="78"/>
      <c r="E88" s="81" t="s">
        <v>229</v>
      </c>
      <c r="F88" s="74" t="s">
        <v>229</v>
      </c>
      <c r="G88" s="75" t="s">
        <v>229</v>
      </c>
      <c r="H88" s="75" t="s">
        <v>229</v>
      </c>
      <c r="I88" s="75" t="s">
        <v>229</v>
      </c>
    </row>
    <row r="89" spans="3:9" x14ac:dyDescent="0.3">
      <c r="C89" s="78" t="s">
        <v>229</v>
      </c>
      <c r="D89" s="78"/>
      <c r="E89" s="81" t="s">
        <v>229</v>
      </c>
      <c r="F89" s="74" t="s">
        <v>229</v>
      </c>
      <c r="G89" s="75" t="s">
        <v>229</v>
      </c>
      <c r="H89" s="75" t="s">
        <v>229</v>
      </c>
      <c r="I89" s="75" t="s">
        <v>229</v>
      </c>
    </row>
    <row r="90" spans="3:9" x14ac:dyDescent="0.3">
      <c r="C90" s="78" t="s">
        <v>229</v>
      </c>
      <c r="D90" s="78"/>
      <c r="E90" s="81" t="s">
        <v>229</v>
      </c>
      <c r="F90" s="74" t="s">
        <v>229</v>
      </c>
      <c r="G90" s="75" t="s">
        <v>229</v>
      </c>
      <c r="H90" s="75" t="s">
        <v>229</v>
      </c>
      <c r="I90" s="75" t="s">
        <v>229</v>
      </c>
    </row>
    <row r="91" spans="3:9" x14ac:dyDescent="0.3">
      <c r="C91" s="78" t="s">
        <v>229</v>
      </c>
      <c r="D91" s="78"/>
      <c r="E91" s="81" t="s">
        <v>229</v>
      </c>
      <c r="F91" s="74" t="s">
        <v>229</v>
      </c>
      <c r="G91" s="75" t="s">
        <v>229</v>
      </c>
      <c r="H91" s="75" t="s">
        <v>229</v>
      </c>
      <c r="I91" s="75" t="s">
        <v>229</v>
      </c>
    </row>
    <row r="92" spans="3:9" x14ac:dyDescent="0.3">
      <c r="C92" s="78" t="s">
        <v>229</v>
      </c>
      <c r="D92" s="78"/>
      <c r="E92" s="81" t="s">
        <v>229</v>
      </c>
      <c r="F92" s="74" t="s">
        <v>229</v>
      </c>
      <c r="G92" s="75" t="s">
        <v>229</v>
      </c>
      <c r="H92" s="75" t="s">
        <v>229</v>
      </c>
      <c r="I92" s="75" t="s">
        <v>229</v>
      </c>
    </row>
    <row r="93" spans="3:9" x14ac:dyDescent="0.3">
      <c r="C93" s="78" t="s">
        <v>229</v>
      </c>
      <c r="D93" s="78"/>
      <c r="E93" s="81" t="s">
        <v>229</v>
      </c>
      <c r="F93" s="74" t="s">
        <v>229</v>
      </c>
      <c r="G93" s="75" t="s">
        <v>229</v>
      </c>
      <c r="H93" s="75" t="s">
        <v>229</v>
      </c>
      <c r="I93" s="75" t="s">
        <v>229</v>
      </c>
    </row>
    <row r="94" spans="3:9" x14ac:dyDescent="0.3">
      <c r="C94" s="78" t="s">
        <v>229</v>
      </c>
      <c r="D94" s="78"/>
      <c r="E94" s="81" t="s">
        <v>229</v>
      </c>
      <c r="F94" s="74" t="s">
        <v>229</v>
      </c>
      <c r="G94" s="75" t="s">
        <v>229</v>
      </c>
      <c r="H94" s="75" t="s">
        <v>229</v>
      </c>
      <c r="I94" s="75" t="s">
        <v>229</v>
      </c>
    </row>
    <row r="95" spans="3:9" x14ac:dyDescent="0.3">
      <c r="C95" s="78" t="s">
        <v>229</v>
      </c>
      <c r="D95" s="78"/>
      <c r="E95" s="81" t="s">
        <v>229</v>
      </c>
      <c r="F95" s="74" t="s">
        <v>229</v>
      </c>
      <c r="G95" s="75" t="s">
        <v>229</v>
      </c>
      <c r="H95" s="75" t="s">
        <v>229</v>
      </c>
      <c r="I95" s="75" t="s">
        <v>229</v>
      </c>
    </row>
    <row r="96" spans="3:9" x14ac:dyDescent="0.3">
      <c r="C96" s="78" t="s">
        <v>229</v>
      </c>
      <c r="D96" s="78"/>
      <c r="E96" s="81" t="s">
        <v>229</v>
      </c>
      <c r="F96" s="74" t="s">
        <v>229</v>
      </c>
      <c r="G96" s="75" t="s">
        <v>229</v>
      </c>
      <c r="H96" s="75" t="s">
        <v>229</v>
      </c>
      <c r="I96" s="75" t="s">
        <v>229</v>
      </c>
    </row>
    <row r="97" spans="3:9" x14ac:dyDescent="0.3">
      <c r="C97" s="78" t="s">
        <v>229</v>
      </c>
      <c r="D97" s="78"/>
      <c r="E97" s="81" t="s">
        <v>229</v>
      </c>
      <c r="F97" s="74" t="s">
        <v>229</v>
      </c>
      <c r="G97" s="75" t="s">
        <v>229</v>
      </c>
      <c r="H97" s="75" t="s">
        <v>229</v>
      </c>
      <c r="I97" s="75" t="s">
        <v>229</v>
      </c>
    </row>
    <row r="98" spans="3:9" x14ac:dyDescent="0.3">
      <c r="C98" s="78" t="s">
        <v>229</v>
      </c>
      <c r="D98" s="78"/>
      <c r="E98" s="81" t="s">
        <v>229</v>
      </c>
      <c r="F98" s="74" t="s">
        <v>229</v>
      </c>
      <c r="G98" s="75" t="s">
        <v>229</v>
      </c>
      <c r="H98" s="75" t="s">
        <v>229</v>
      </c>
      <c r="I98" s="75" t="s">
        <v>229</v>
      </c>
    </row>
    <row r="99" spans="3:9" x14ac:dyDescent="0.3">
      <c r="C99" s="78" t="s">
        <v>229</v>
      </c>
      <c r="D99" s="78"/>
      <c r="E99" s="81" t="s">
        <v>229</v>
      </c>
      <c r="F99" s="74" t="s">
        <v>229</v>
      </c>
      <c r="G99" s="75" t="s">
        <v>229</v>
      </c>
      <c r="H99" s="75" t="s">
        <v>229</v>
      </c>
      <c r="I99" s="75" t="s">
        <v>229</v>
      </c>
    </row>
    <row r="100" spans="3:9" x14ac:dyDescent="0.3">
      <c r="C100" s="78" t="s">
        <v>229</v>
      </c>
      <c r="D100" s="78"/>
      <c r="E100" s="81" t="s">
        <v>229</v>
      </c>
      <c r="F100" s="74" t="s">
        <v>229</v>
      </c>
      <c r="G100" s="75" t="s">
        <v>229</v>
      </c>
      <c r="H100" s="75" t="s">
        <v>229</v>
      </c>
      <c r="I100" s="75" t="s">
        <v>229</v>
      </c>
    </row>
    <row r="101" spans="3:9" x14ac:dyDescent="0.3">
      <c r="C101" s="78" t="s">
        <v>229</v>
      </c>
      <c r="D101" s="78"/>
      <c r="E101" s="81" t="s">
        <v>229</v>
      </c>
      <c r="F101" s="74" t="s">
        <v>229</v>
      </c>
      <c r="G101" s="75" t="s">
        <v>229</v>
      </c>
      <c r="H101" s="75" t="s">
        <v>229</v>
      </c>
      <c r="I101" s="75" t="s">
        <v>229</v>
      </c>
    </row>
    <row r="102" spans="3:9" x14ac:dyDescent="0.3">
      <c r="C102" s="78" t="s">
        <v>229</v>
      </c>
      <c r="D102" s="78"/>
      <c r="E102" s="81" t="s">
        <v>229</v>
      </c>
      <c r="F102" s="74" t="s">
        <v>229</v>
      </c>
      <c r="G102" s="75" t="s">
        <v>229</v>
      </c>
      <c r="H102" s="75" t="s">
        <v>229</v>
      </c>
      <c r="I102" s="75" t="s">
        <v>229</v>
      </c>
    </row>
    <row r="103" spans="3:9" x14ac:dyDescent="0.3">
      <c r="C103" s="78" t="s">
        <v>229</v>
      </c>
      <c r="D103" s="78"/>
      <c r="E103" s="81" t="s">
        <v>229</v>
      </c>
      <c r="F103" s="74" t="s">
        <v>229</v>
      </c>
      <c r="G103" s="75" t="s">
        <v>229</v>
      </c>
      <c r="H103" s="75" t="s">
        <v>229</v>
      </c>
      <c r="I103" s="75" t="s">
        <v>229</v>
      </c>
    </row>
    <row r="104" spans="3:9" x14ac:dyDescent="0.3">
      <c r="C104" s="78" t="s">
        <v>229</v>
      </c>
      <c r="D104" s="78"/>
      <c r="E104" s="81" t="s">
        <v>229</v>
      </c>
      <c r="F104" s="74" t="s">
        <v>229</v>
      </c>
      <c r="G104" s="75" t="s">
        <v>229</v>
      </c>
      <c r="H104" s="75" t="s">
        <v>229</v>
      </c>
      <c r="I104" s="75" t="s">
        <v>229</v>
      </c>
    </row>
    <row r="105" spans="3:9" x14ac:dyDescent="0.3">
      <c r="C105" s="78" t="s">
        <v>229</v>
      </c>
      <c r="D105" s="78"/>
      <c r="E105" s="81" t="s">
        <v>229</v>
      </c>
      <c r="F105" s="74" t="s">
        <v>229</v>
      </c>
      <c r="G105" s="75" t="s">
        <v>229</v>
      </c>
      <c r="H105" s="75" t="s">
        <v>229</v>
      </c>
      <c r="I105" s="75" t="s">
        <v>229</v>
      </c>
    </row>
    <row r="106" spans="3:9" x14ac:dyDescent="0.3">
      <c r="C106" s="78" t="s">
        <v>229</v>
      </c>
      <c r="D106" s="78"/>
      <c r="E106" s="81" t="s">
        <v>229</v>
      </c>
      <c r="F106" s="74" t="s">
        <v>229</v>
      </c>
      <c r="G106" s="75" t="s">
        <v>229</v>
      </c>
      <c r="H106" s="75" t="s">
        <v>229</v>
      </c>
      <c r="I106" s="75" t="s">
        <v>229</v>
      </c>
    </row>
    <row r="107" spans="3:9" x14ac:dyDescent="0.3">
      <c r="C107" s="78" t="s">
        <v>229</v>
      </c>
      <c r="D107" s="78"/>
      <c r="E107" s="81" t="s">
        <v>229</v>
      </c>
      <c r="F107" s="74" t="s">
        <v>229</v>
      </c>
      <c r="G107" s="75" t="s">
        <v>229</v>
      </c>
      <c r="H107" s="75" t="s">
        <v>229</v>
      </c>
      <c r="I107" s="75" t="s">
        <v>229</v>
      </c>
    </row>
    <row r="108" spans="3:9" x14ac:dyDescent="0.3">
      <c r="C108" s="78" t="s">
        <v>229</v>
      </c>
      <c r="D108" s="78"/>
      <c r="E108" s="81" t="s">
        <v>229</v>
      </c>
      <c r="F108" s="74" t="s">
        <v>229</v>
      </c>
      <c r="G108" s="75" t="s">
        <v>229</v>
      </c>
      <c r="H108" s="75" t="s">
        <v>229</v>
      </c>
      <c r="I108" s="75" t="s">
        <v>229</v>
      </c>
    </row>
    <row r="109" spans="3:9" x14ac:dyDescent="0.3">
      <c r="C109" s="78" t="s">
        <v>229</v>
      </c>
      <c r="D109" s="78"/>
      <c r="E109" s="81" t="s">
        <v>229</v>
      </c>
      <c r="F109" s="74" t="s">
        <v>229</v>
      </c>
      <c r="G109" s="75" t="s">
        <v>229</v>
      </c>
      <c r="H109" s="75" t="s">
        <v>229</v>
      </c>
      <c r="I109" s="75" t="s">
        <v>229</v>
      </c>
    </row>
    <row r="110" spans="3:9" x14ac:dyDescent="0.3">
      <c r="C110" s="78" t="s">
        <v>229</v>
      </c>
      <c r="D110" s="78"/>
      <c r="E110" s="81" t="s">
        <v>229</v>
      </c>
      <c r="F110" s="74" t="s">
        <v>229</v>
      </c>
      <c r="G110" s="75" t="s">
        <v>229</v>
      </c>
      <c r="H110" s="75" t="s">
        <v>229</v>
      </c>
      <c r="I110" s="75" t="s">
        <v>229</v>
      </c>
    </row>
    <row r="111" spans="3:9" x14ac:dyDescent="0.3">
      <c r="C111" s="78" t="s">
        <v>229</v>
      </c>
      <c r="D111" s="78"/>
      <c r="E111" s="81" t="s">
        <v>229</v>
      </c>
      <c r="F111" s="74" t="s">
        <v>229</v>
      </c>
      <c r="G111" s="75" t="s">
        <v>229</v>
      </c>
      <c r="H111" s="75" t="s">
        <v>229</v>
      </c>
      <c r="I111" s="75" t="s">
        <v>229</v>
      </c>
    </row>
    <row r="112" spans="3:9" x14ac:dyDescent="0.3">
      <c r="C112" s="78" t="s">
        <v>229</v>
      </c>
      <c r="D112" s="78"/>
      <c r="E112" s="81" t="s">
        <v>229</v>
      </c>
      <c r="F112" s="74" t="s">
        <v>229</v>
      </c>
      <c r="G112" s="75" t="s">
        <v>229</v>
      </c>
      <c r="H112" s="75" t="s">
        <v>229</v>
      </c>
      <c r="I112" s="75" t="s">
        <v>229</v>
      </c>
    </row>
    <row r="113" spans="3:9" x14ac:dyDescent="0.3">
      <c r="C113" s="78" t="s">
        <v>229</v>
      </c>
      <c r="D113" s="78"/>
      <c r="E113" s="81" t="s">
        <v>229</v>
      </c>
      <c r="F113" s="74" t="s">
        <v>229</v>
      </c>
      <c r="G113" s="75" t="s">
        <v>229</v>
      </c>
      <c r="H113" s="75" t="s">
        <v>229</v>
      </c>
      <c r="I113" s="75" t="s">
        <v>229</v>
      </c>
    </row>
    <row r="114" spans="3:9" x14ac:dyDescent="0.3">
      <c r="C114" s="78" t="s">
        <v>229</v>
      </c>
      <c r="D114" s="78"/>
      <c r="E114" s="81" t="s">
        <v>229</v>
      </c>
      <c r="F114" s="74" t="s">
        <v>229</v>
      </c>
      <c r="G114" s="75" t="s">
        <v>229</v>
      </c>
      <c r="H114" s="75" t="s">
        <v>229</v>
      </c>
      <c r="I114" s="75" t="s">
        <v>229</v>
      </c>
    </row>
    <row r="115" spans="3:9" x14ac:dyDescent="0.3">
      <c r="C115" s="78" t="s">
        <v>229</v>
      </c>
      <c r="D115" s="78"/>
      <c r="E115" s="81" t="s">
        <v>229</v>
      </c>
      <c r="F115" s="74" t="s">
        <v>229</v>
      </c>
      <c r="G115" s="75" t="s">
        <v>229</v>
      </c>
      <c r="H115" s="75" t="s">
        <v>229</v>
      </c>
      <c r="I115" s="75" t="s">
        <v>229</v>
      </c>
    </row>
    <row r="116" spans="3:9" x14ac:dyDescent="0.3">
      <c r="C116" s="78" t="s">
        <v>229</v>
      </c>
      <c r="D116" s="78"/>
      <c r="E116" s="81" t="s">
        <v>229</v>
      </c>
      <c r="F116" s="74" t="s">
        <v>229</v>
      </c>
      <c r="G116" s="75" t="s">
        <v>229</v>
      </c>
      <c r="H116" s="75" t="s">
        <v>229</v>
      </c>
      <c r="I116" s="75" t="s">
        <v>229</v>
      </c>
    </row>
    <row r="117" spans="3:9" x14ac:dyDescent="0.3">
      <c r="C117" s="78" t="s">
        <v>229</v>
      </c>
      <c r="D117" s="78"/>
      <c r="E117" s="81" t="s">
        <v>229</v>
      </c>
      <c r="F117" s="74" t="s">
        <v>229</v>
      </c>
      <c r="G117" s="75" t="s">
        <v>229</v>
      </c>
      <c r="H117" s="75" t="s">
        <v>229</v>
      </c>
      <c r="I117" s="75" t="s">
        <v>229</v>
      </c>
    </row>
    <row r="118" spans="3:9" x14ac:dyDescent="0.3">
      <c r="C118" s="78" t="s">
        <v>229</v>
      </c>
      <c r="D118" s="78"/>
      <c r="E118" s="81" t="s">
        <v>229</v>
      </c>
      <c r="F118" s="74" t="s">
        <v>229</v>
      </c>
      <c r="G118" s="75" t="s">
        <v>229</v>
      </c>
      <c r="H118" s="75" t="s">
        <v>229</v>
      </c>
      <c r="I118" s="75" t="s">
        <v>229</v>
      </c>
    </row>
    <row r="119" spans="3:9" x14ac:dyDescent="0.3">
      <c r="C119" s="78" t="s">
        <v>229</v>
      </c>
      <c r="D119" s="78"/>
      <c r="E119" s="81" t="s">
        <v>229</v>
      </c>
      <c r="F119" s="74" t="s">
        <v>229</v>
      </c>
      <c r="G119" s="75" t="s">
        <v>229</v>
      </c>
      <c r="H119" s="75" t="s">
        <v>229</v>
      </c>
      <c r="I119" s="75" t="s">
        <v>229</v>
      </c>
    </row>
    <row r="120" spans="3:9" x14ac:dyDescent="0.3">
      <c r="C120" s="78" t="s">
        <v>229</v>
      </c>
      <c r="D120" s="78"/>
      <c r="E120" s="81" t="s">
        <v>229</v>
      </c>
      <c r="F120" s="74" t="s">
        <v>229</v>
      </c>
      <c r="G120" s="75" t="s">
        <v>229</v>
      </c>
      <c r="H120" s="75" t="s">
        <v>229</v>
      </c>
      <c r="I120" s="75" t="s">
        <v>229</v>
      </c>
    </row>
    <row r="121" spans="3:9" x14ac:dyDescent="0.3">
      <c r="C121" s="78" t="s">
        <v>229</v>
      </c>
      <c r="D121" s="78"/>
      <c r="E121" s="81" t="s">
        <v>229</v>
      </c>
      <c r="F121" s="74" t="s">
        <v>229</v>
      </c>
      <c r="G121" s="75" t="s">
        <v>229</v>
      </c>
      <c r="H121" s="75" t="s">
        <v>229</v>
      </c>
      <c r="I121" s="75" t="s">
        <v>229</v>
      </c>
    </row>
    <row r="122" spans="3:9" x14ac:dyDescent="0.3">
      <c r="C122" s="78" t="s">
        <v>229</v>
      </c>
      <c r="D122" s="78"/>
      <c r="E122" s="81" t="s">
        <v>229</v>
      </c>
      <c r="F122" s="74" t="s">
        <v>229</v>
      </c>
      <c r="G122" s="75" t="s">
        <v>229</v>
      </c>
      <c r="H122" s="75" t="s">
        <v>229</v>
      </c>
      <c r="I122" s="75" t="s">
        <v>229</v>
      </c>
    </row>
    <row r="123" spans="3:9" x14ac:dyDescent="0.3">
      <c r="C123" s="78" t="s">
        <v>229</v>
      </c>
      <c r="D123" s="78"/>
      <c r="E123" s="81" t="s">
        <v>229</v>
      </c>
      <c r="F123" s="74" t="s">
        <v>229</v>
      </c>
      <c r="G123" s="75" t="s">
        <v>229</v>
      </c>
      <c r="H123" s="75" t="s">
        <v>229</v>
      </c>
      <c r="I123" s="75" t="s">
        <v>229</v>
      </c>
    </row>
    <row r="124" spans="3:9" x14ac:dyDescent="0.3">
      <c r="C124" s="78" t="s">
        <v>229</v>
      </c>
      <c r="D124" s="78"/>
      <c r="E124" s="81" t="s">
        <v>229</v>
      </c>
      <c r="F124" s="74" t="s">
        <v>229</v>
      </c>
      <c r="G124" s="75" t="s">
        <v>229</v>
      </c>
      <c r="H124" s="75" t="s">
        <v>229</v>
      </c>
      <c r="I124" s="75" t="s">
        <v>229</v>
      </c>
    </row>
    <row r="125" spans="3:9" x14ac:dyDescent="0.3">
      <c r="C125" s="78" t="s">
        <v>229</v>
      </c>
      <c r="D125" s="78"/>
      <c r="E125" s="81" t="s">
        <v>229</v>
      </c>
      <c r="F125" s="74" t="s">
        <v>229</v>
      </c>
      <c r="G125" s="75" t="s">
        <v>229</v>
      </c>
      <c r="H125" s="75" t="s">
        <v>229</v>
      </c>
      <c r="I125" s="75" t="s">
        <v>229</v>
      </c>
    </row>
    <row r="126" spans="3:9" x14ac:dyDescent="0.3">
      <c r="C126" s="78" t="s">
        <v>229</v>
      </c>
      <c r="D126" s="78"/>
      <c r="E126" s="81" t="s">
        <v>229</v>
      </c>
      <c r="F126" s="74" t="s">
        <v>229</v>
      </c>
      <c r="G126" s="75" t="s">
        <v>229</v>
      </c>
      <c r="H126" s="75" t="s">
        <v>229</v>
      </c>
      <c r="I126" s="75" t="s">
        <v>229</v>
      </c>
    </row>
    <row r="127" spans="3:9" x14ac:dyDescent="0.3">
      <c r="C127" s="78" t="s">
        <v>229</v>
      </c>
      <c r="D127" s="78"/>
      <c r="E127" s="81" t="s">
        <v>229</v>
      </c>
      <c r="F127" s="74" t="s">
        <v>229</v>
      </c>
      <c r="G127" s="75" t="s">
        <v>229</v>
      </c>
      <c r="H127" s="75" t="s">
        <v>229</v>
      </c>
      <c r="I127" s="75" t="s">
        <v>229</v>
      </c>
    </row>
    <row r="128" spans="3:9" x14ac:dyDescent="0.3">
      <c r="C128" s="78" t="s">
        <v>229</v>
      </c>
      <c r="D128" s="78"/>
      <c r="E128" s="81" t="s">
        <v>229</v>
      </c>
      <c r="F128" s="74" t="s">
        <v>229</v>
      </c>
      <c r="G128" s="75" t="s">
        <v>229</v>
      </c>
      <c r="H128" s="75" t="s">
        <v>229</v>
      </c>
      <c r="I128" s="75" t="s">
        <v>229</v>
      </c>
    </row>
    <row r="129" spans="3:9" x14ac:dyDescent="0.3">
      <c r="C129" s="78" t="s">
        <v>229</v>
      </c>
      <c r="D129" s="78"/>
      <c r="E129" s="81" t="s">
        <v>229</v>
      </c>
      <c r="F129" s="74" t="s">
        <v>229</v>
      </c>
      <c r="G129" s="75" t="s">
        <v>229</v>
      </c>
      <c r="H129" s="75" t="s">
        <v>229</v>
      </c>
      <c r="I129" s="75" t="s">
        <v>229</v>
      </c>
    </row>
    <row r="130" spans="3:9" x14ac:dyDescent="0.3">
      <c r="C130" s="78" t="s">
        <v>229</v>
      </c>
      <c r="D130" s="78"/>
      <c r="E130" s="81" t="s">
        <v>229</v>
      </c>
      <c r="F130" s="74" t="s">
        <v>229</v>
      </c>
      <c r="G130" s="75" t="s">
        <v>229</v>
      </c>
      <c r="H130" s="75" t="s">
        <v>229</v>
      </c>
      <c r="I130" s="75" t="s">
        <v>229</v>
      </c>
    </row>
    <row r="131" spans="3:9" x14ac:dyDescent="0.3">
      <c r="C131" s="78" t="s">
        <v>229</v>
      </c>
      <c r="D131" s="78"/>
      <c r="E131" s="81" t="s">
        <v>229</v>
      </c>
      <c r="F131" s="74" t="s">
        <v>229</v>
      </c>
      <c r="G131" s="75" t="s">
        <v>229</v>
      </c>
      <c r="H131" s="75" t="s">
        <v>229</v>
      </c>
      <c r="I131" s="75" t="s">
        <v>229</v>
      </c>
    </row>
    <row r="132" spans="3:9" x14ac:dyDescent="0.3">
      <c r="C132" s="78" t="s">
        <v>229</v>
      </c>
      <c r="D132" s="78"/>
      <c r="E132" s="81" t="s">
        <v>229</v>
      </c>
      <c r="F132" s="74" t="s">
        <v>229</v>
      </c>
      <c r="G132" s="75" t="s">
        <v>229</v>
      </c>
      <c r="H132" s="75" t="s">
        <v>229</v>
      </c>
      <c r="I132" s="75" t="s">
        <v>229</v>
      </c>
    </row>
    <row r="133" spans="3:9" x14ac:dyDescent="0.3">
      <c r="C133" s="78" t="s">
        <v>229</v>
      </c>
      <c r="D133" s="78"/>
      <c r="E133" s="81" t="s">
        <v>229</v>
      </c>
      <c r="F133" s="74" t="s">
        <v>229</v>
      </c>
      <c r="G133" s="75" t="s">
        <v>229</v>
      </c>
      <c r="H133" s="75" t="s">
        <v>229</v>
      </c>
      <c r="I133" s="75" t="s">
        <v>229</v>
      </c>
    </row>
    <row r="134" spans="3:9" x14ac:dyDescent="0.3">
      <c r="C134" s="78" t="s">
        <v>229</v>
      </c>
      <c r="D134" s="78"/>
      <c r="E134" s="81" t="s">
        <v>229</v>
      </c>
      <c r="F134" s="74" t="s">
        <v>229</v>
      </c>
      <c r="G134" s="75" t="s">
        <v>229</v>
      </c>
      <c r="H134" s="75" t="s">
        <v>229</v>
      </c>
      <c r="I134" s="75" t="s">
        <v>229</v>
      </c>
    </row>
    <row r="135" spans="3:9" x14ac:dyDescent="0.3">
      <c r="C135" s="78" t="s">
        <v>229</v>
      </c>
      <c r="D135" s="78"/>
      <c r="E135" s="81" t="s">
        <v>229</v>
      </c>
      <c r="F135" s="74" t="s">
        <v>229</v>
      </c>
      <c r="G135" s="75" t="s">
        <v>229</v>
      </c>
      <c r="H135" s="75" t="s">
        <v>229</v>
      </c>
      <c r="I135" s="75" t="s">
        <v>229</v>
      </c>
    </row>
    <row r="136" spans="3:9" x14ac:dyDescent="0.3">
      <c r="C136" s="78" t="s">
        <v>229</v>
      </c>
      <c r="D136" s="78"/>
      <c r="E136" s="81" t="s">
        <v>229</v>
      </c>
      <c r="F136" s="74" t="s">
        <v>229</v>
      </c>
      <c r="G136" s="75" t="s">
        <v>229</v>
      </c>
      <c r="H136" s="75" t="s">
        <v>229</v>
      </c>
      <c r="I136" s="75" t="s">
        <v>229</v>
      </c>
    </row>
    <row r="137" spans="3:9" x14ac:dyDescent="0.3">
      <c r="C137" s="78" t="s">
        <v>229</v>
      </c>
      <c r="D137" s="78"/>
      <c r="E137" s="81" t="s">
        <v>229</v>
      </c>
      <c r="F137" s="74" t="s">
        <v>229</v>
      </c>
      <c r="G137" s="75" t="s">
        <v>229</v>
      </c>
      <c r="H137" s="75" t="s">
        <v>229</v>
      </c>
      <c r="I137" s="75" t="s">
        <v>229</v>
      </c>
    </row>
    <row r="138" spans="3:9" x14ac:dyDescent="0.3">
      <c r="C138" s="78" t="s">
        <v>229</v>
      </c>
      <c r="D138" s="78"/>
      <c r="E138" s="81" t="s">
        <v>229</v>
      </c>
      <c r="F138" s="74" t="s">
        <v>229</v>
      </c>
      <c r="G138" s="75" t="s">
        <v>229</v>
      </c>
      <c r="H138" s="75" t="s">
        <v>229</v>
      </c>
      <c r="I138" s="75" t="s">
        <v>229</v>
      </c>
    </row>
    <row r="139" spans="3:9" x14ac:dyDescent="0.3">
      <c r="C139" s="78" t="s">
        <v>229</v>
      </c>
      <c r="D139" s="78"/>
      <c r="E139" s="81" t="s">
        <v>229</v>
      </c>
      <c r="F139" s="74" t="s">
        <v>229</v>
      </c>
      <c r="G139" s="75" t="s">
        <v>229</v>
      </c>
      <c r="H139" s="75" t="s">
        <v>229</v>
      </c>
      <c r="I139" s="75" t="s">
        <v>229</v>
      </c>
    </row>
    <row r="140" spans="3:9" x14ac:dyDescent="0.3">
      <c r="C140" s="78" t="s">
        <v>229</v>
      </c>
      <c r="D140" s="78"/>
      <c r="E140" s="81" t="s">
        <v>229</v>
      </c>
      <c r="F140" s="74" t="s">
        <v>229</v>
      </c>
      <c r="G140" s="75" t="s">
        <v>229</v>
      </c>
      <c r="H140" s="75" t="s">
        <v>229</v>
      </c>
      <c r="I140" s="75" t="s">
        <v>229</v>
      </c>
    </row>
    <row r="141" spans="3:9" x14ac:dyDescent="0.3">
      <c r="C141" s="78" t="s">
        <v>229</v>
      </c>
      <c r="D141" s="78"/>
      <c r="E141" s="81" t="s">
        <v>229</v>
      </c>
      <c r="F141" s="74" t="s">
        <v>229</v>
      </c>
      <c r="G141" s="75" t="s">
        <v>229</v>
      </c>
      <c r="H141" s="75" t="s">
        <v>229</v>
      </c>
      <c r="I141" s="75" t="s">
        <v>229</v>
      </c>
    </row>
    <row r="142" spans="3:9" x14ac:dyDescent="0.3">
      <c r="C142" s="78" t="s">
        <v>229</v>
      </c>
      <c r="D142" s="78"/>
      <c r="E142" s="81" t="s">
        <v>229</v>
      </c>
      <c r="F142" s="74" t="s">
        <v>229</v>
      </c>
      <c r="G142" s="75" t="s">
        <v>229</v>
      </c>
      <c r="H142" s="75" t="s">
        <v>229</v>
      </c>
      <c r="I142" s="75" t="s">
        <v>229</v>
      </c>
    </row>
    <row r="143" spans="3:9" x14ac:dyDescent="0.3">
      <c r="C143" s="78" t="s">
        <v>229</v>
      </c>
      <c r="D143" s="78"/>
      <c r="E143" s="81" t="s">
        <v>229</v>
      </c>
      <c r="F143" s="74" t="s">
        <v>229</v>
      </c>
      <c r="G143" s="75" t="s">
        <v>229</v>
      </c>
      <c r="H143" s="75" t="s">
        <v>229</v>
      </c>
      <c r="I143" s="75" t="s">
        <v>229</v>
      </c>
    </row>
    <row r="144" spans="3:9" x14ac:dyDescent="0.3">
      <c r="C144" s="78" t="s">
        <v>229</v>
      </c>
      <c r="D144" s="78"/>
      <c r="E144" s="81" t="s">
        <v>229</v>
      </c>
      <c r="F144" s="74" t="s">
        <v>229</v>
      </c>
      <c r="G144" s="75" t="s">
        <v>229</v>
      </c>
      <c r="H144" s="75" t="s">
        <v>229</v>
      </c>
      <c r="I144" s="75" t="s">
        <v>229</v>
      </c>
    </row>
    <row r="145" spans="3:9" x14ac:dyDescent="0.3">
      <c r="C145" s="78" t="s">
        <v>229</v>
      </c>
      <c r="D145" s="78"/>
      <c r="E145" s="81" t="s">
        <v>229</v>
      </c>
      <c r="F145" s="74" t="s">
        <v>229</v>
      </c>
      <c r="G145" s="75" t="s">
        <v>229</v>
      </c>
      <c r="H145" s="75" t="s">
        <v>229</v>
      </c>
      <c r="I145" s="75" t="s">
        <v>229</v>
      </c>
    </row>
    <row r="146" spans="3:9" x14ac:dyDescent="0.3">
      <c r="C146" s="78" t="s">
        <v>229</v>
      </c>
      <c r="D146" s="78"/>
      <c r="E146" s="81" t="s">
        <v>229</v>
      </c>
      <c r="F146" s="74" t="s">
        <v>229</v>
      </c>
      <c r="G146" s="75" t="s">
        <v>229</v>
      </c>
      <c r="H146" s="75" t="s">
        <v>229</v>
      </c>
      <c r="I146" s="75" t="s">
        <v>229</v>
      </c>
    </row>
    <row r="147" spans="3:9" x14ac:dyDescent="0.3">
      <c r="C147" s="78" t="s">
        <v>229</v>
      </c>
      <c r="D147" s="78"/>
      <c r="E147" s="81" t="s">
        <v>229</v>
      </c>
      <c r="F147" s="74" t="s">
        <v>229</v>
      </c>
      <c r="G147" s="75" t="s">
        <v>229</v>
      </c>
      <c r="H147" s="75" t="s">
        <v>229</v>
      </c>
      <c r="I147" s="75" t="s">
        <v>229</v>
      </c>
    </row>
    <row r="148" spans="3:9" x14ac:dyDescent="0.3">
      <c r="C148" s="78" t="s">
        <v>229</v>
      </c>
      <c r="D148" s="78"/>
      <c r="E148" s="81" t="s">
        <v>229</v>
      </c>
      <c r="F148" s="74" t="s">
        <v>229</v>
      </c>
      <c r="G148" s="75" t="s">
        <v>229</v>
      </c>
      <c r="H148" s="75" t="s">
        <v>229</v>
      </c>
      <c r="I148" s="75" t="s">
        <v>229</v>
      </c>
    </row>
    <row r="149" spans="3:9" x14ac:dyDescent="0.3">
      <c r="C149" s="78" t="s">
        <v>229</v>
      </c>
      <c r="D149" s="78"/>
      <c r="E149" s="81" t="s">
        <v>229</v>
      </c>
      <c r="F149" s="74" t="s">
        <v>229</v>
      </c>
      <c r="G149" s="75" t="s">
        <v>229</v>
      </c>
      <c r="H149" s="75" t="s">
        <v>229</v>
      </c>
      <c r="I149" s="75" t="s">
        <v>229</v>
      </c>
    </row>
    <row r="150" spans="3:9" x14ac:dyDescent="0.3">
      <c r="C150" s="78" t="s">
        <v>229</v>
      </c>
      <c r="D150" s="78"/>
      <c r="E150" s="81" t="s">
        <v>229</v>
      </c>
      <c r="F150" s="74" t="s">
        <v>229</v>
      </c>
      <c r="G150" s="75" t="s">
        <v>229</v>
      </c>
      <c r="H150" s="75" t="s">
        <v>229</v>
      </c>
      <c r="I150" s="75" t="s">
        <v>229</v>
      </c>
    </row>
    <row r="151" spans="3:9" x14ac:dyDescent="0.3">
      <c r="C151" s="78" t="s">
        <v>229</v>
      </c>
      <c r="D151" s="78"/>
      <c r="E151" s="81" t="s">
        <v>229</v>
      </c>
      <c r="F151" s="74" t="s">
        <v>229</v>
      </c>
      <c r="G151" s="75" t="s">
        <v>229</v>
      </c>
      <c r="H151" s="75" t="s">
        <v>229</v>
      </c>
      <c r="I151" s="75" t="s">
        <v>229</v>
      </c>
    </row>
    <row r="152" spans="3:9" x14ac:dyDescent="0.3">
      <c r="C152" s="78" t="s">
        <v>229</v>
      </c>
      <c r="D152" s="78"/>
      <c r="E152" s="81" t="s">
        <v>229</v>
      </c>
      <c r="F152" s="74" t="s">
        <v>229</v>
      </c>
      <c r="G152" s="75" t="s">
        <v>229</v>
      </c>
      <c r="H152" s="75" t="s">
        <v>229</v>
      </c>
      <c r="I152" s="75" t="s">
        <v>229</v>
      </c>
    </row>
    <row r="153" spans="3:9" x14ac:dyDescent="0.3">
      <c r="C153" s="78" t="s">
        <v>229</v>
      </c>
      <c r="D153" s="78"/>
      <c r="E153" s="81" t="s">
        <v>229</v>
      </c>
      <c r="F153" s="74" t="s">
        <v>229</v>
      </c>
      <c r="G153" s="75" t="s">
        <v>229</v>
      </c>
      <c r="H153" s="75" t="s">
        <v>229</v>
      </c>
      <c r="I153" s="75" t="s">
        <v>229</v>
      </c>
    </row>
    <row r="154" spans="3:9" x14ac:dyDescent="0.3">
      <c r="C154" s="78" t="s">
        <v>229</v>
      </c>
      <c r="D154" s="78"/>
      <c r="E154" s="81" t="s">
        <v>229</v>
      </c>
      <c r="F154" s="74" t="s">
        <v>229</v>
      </c>
      <c r="G154" s="75" t="s">
        <v>229</v>
      </c>
      <c r="H154" s="75" t="s">
        <v>229</v>
      </c>
      <c r="I154" s="75" t="s">
        <v>229</v>
      </c>
    </row>
    <row r="155" spans="3:9" x14ac:dyDescent="0.3">
      <c r="C155" s="78" t="s">
        <v>229</v>
      </c>
      <c r="D155" s="78"/>
      <c r="E155" s="81" t="s">
        <v>229</v>
      </c>
      <c r="F155" s="74" t="s">
        <v>229</v>
      </c>
      <c r="G155" s="75" t="s">
        <v>229</v>
      </c>
      <c r="H155" s="75" t="s">
        <v>229</v>
      </c>
      <c r="I155" s="75" t="s">
        <v>229</v>
      </c>
    </row>
    <row r="156" spans="3:9" x14ac:dyDescent="0.3">
      <c r="C156" s="78" t="s">
        <v>229</v>
      </c>
      <c r="D156" s="78"/>
      <c r="E156" s="81" t="s">
        <v>229</v>
      </c>
      <c r="F156" s="74" t="s">
        <v>229</v>
      </c>
      <c r="G156" s="75" t="s">
        <v>229</v>
      </c>
      <c r="H156" s="75" t="s">
        <v>229</v>
      </c>
      <c r="I156" s="75" t="s">
        <v>229</v>
      </c>
    </row>
    <row r="157" spans="3:9" x14ac:dyDescent="0.3">
      <c r="C157" s="78" t="s">
        <v>229</v>
      </c>
      <c r="D157" s="78"/>
      <c r="E157" s="81" t="s">
        <v>229</v>
      </c>
      <c r="F157" s="74" t="s">
        <v>229</v>
      </c>
      <c r="G157" s="75" t="s">
        <v>229</v>
      </c>
      <c r="H157" s="75" t="s">
        <v>229</v>
      </c>
      <c r="I157" s="75" t="s">
        <v>229</v>
      </c>
    </row>
    <row r="158" spans="3:9" x14ac:dyDescent="0.3">
      <c r="C158" s="78" t="s">
        <v>229</v>
      </c>
      <c r="D158" s="78"/>
      <c r="E158" s="81" t="s">
        <v>229</v>
      </c>
      <c r="F158" s="74" t="s">
        <v>229</v>
      </c>
      <c r="G158" s="75" t="s">
        <v>229</v>
      </c>
      <c r="H158" s="75" t="s">
        <v>229</v>
      </c>
      <c r="I158" s="75" t="s">
        <v>229</v>
      </c>
    </row>
    <row r="159" spans="3:9" x14ac:dyDescent="0.3">
      <c r="C159" s="78" t="s">
        <v>229</v>
      </c>
      <c r="D159" s="78"/>
      <c r="E159" s="81" t="s">
        <v>229</v>
      </c>
      <c r="F159" s="74" t="s">
        <v>229</v>
      </c>
      <c r="G159" s="75" t="s">
        <v>229</v>
      </c>
      <c r="H159" s="75" t="s">
        <v>229</v>
      </c>
      <c r="I159" s="75" t="s">
        <v>229</v>
      </c>
    </row>
    <row r="160" spans="3:9" x14ac:dyDescent="0.3">
      <c r="C160" s="78" t="s">
        <v>229</v>
      </c>
      <c r="D160" s="78"/>
      <c r="E160" s="81" t="s">
        <v>229</v>
      </c>
      <c r="F160" s="74" t="s">
        <v>229</v>
      </c>
      <c r="G160" s="75" t="s">
        <v>229</v>
      </c>
      <c r="H160" s="75" t="s">
        <v>229</v>
      </c>
      <c r="I160" s="75" t="s">
        <v>229</v>
      </c>
    </row>
    <row r="161" spans="3:9" x14ac:dyDescent="0.3">
      <c r="C161" s="78" t="s">
        <v>229</v>
      </c>
      <c r="D161" s="78"/>
      <c r="E161" s="81" t="s">
        <v>229</v>
      </c>
      <c r="F161" s="74" t="s">
        <v>229</v>
      </c>
      <c r="G161" s="75" t="s">
        <v>229</v>
      </c>
      <c r="H161" s="75" t="s">
        <v>229</v>
      </c>
      <c r="I161" s="75" t="s">
        <v>229</v>
      </c>
    </row>
    <row r="162" spans="3:9" x14ac:dyDescent="0.3">
      <c r="C162" s="78" t="s">
        <v>229</v>
      </c>
      <c r="D162" s="78"/>
      <c r="E162" s="81" t="s">
        <v>229</v>
      </c>
      <c r="F162" s="74" t="s">
        <v>229</v>
      </c>
      <c r="G162" s="75" t="s">
        <v>229</v>
      </c>
      <c r="H162" s="75" t="s">
        <v>229</v>
      </c>
      <c r="I162" s="75" t="s">
        <v>229</v>
      </c>
    </row>
    <row r="163" spans="3:9" x14ac:dyDescent="0.3">
      <c r="C163" s="78" t="s">
        <v>229</v>
      </c>
      <c r="D163" s="78"/>
      <c r="E163" s="81" t="s">
        <v>229</v>
      </c>
      <c r="F163" s="74" t="s">
        <v>229</v>
      </c>
      <c r="G163" s="75" t="s">
        <v>229</v>
      </c>
      <c r="H163" s="75" t="s">
        <v>229</v>
      </c>
      <c r="I163" s="75" t="s">
        <v>229</v>
      </c>
    </row>
    <row r="164" spans="3:9" x14ac:dyDescent="0.3">
      <c r="C164" s="78" t="s">
        <v>229</v>
      </c>
      <c r="D164" s="78"/>
      <c r="E164" s="81" t="s">
        <v>229</v>
      </c>
      <c r="F164" s="74" t="s">
        <v>229</v>
      </c>
      <c r="G164" s="75" t="s">
        <v>229</v>
      </c>
      <c r="H164" s="75" t="s">
        <v>229</v>
      </c>
      <c r="I164" s="75" t="s">
        <v>229</v>
      </c>
    </row>
    <row r="165" spans="3:9" x14ac:dyDescent="0.3">
      <c r="C165" s="78" t="s">
        <v>229</v>
      </c>
      <c r="D165" s="78"/>
      <c r="E165" s="81" t="s">
        <v>229</v>
      </c>
      <c r="F165" s="74" t="s">
        <v>229</v>
      </c>
      <c r="G165" s="75" t="s">
        <v>229</v>
      </c>
      <c r="H165" s="75" t="s">
        <v>229</v>
      </c>
      <c r="I165" s="75" t="s">
        <v>229</v>
      </c>
    </row>
    <row r="166" spans="3:9" x14ac:dyDescent="0.3">
      <c r="C166" s="78" t="s">
        <v>229</v>
      </c>
      <c r="D166" s="78"/>
      <c r="E166" s="81" t="s">
        <v>229</v>
      </c>
      <c r="F166" s="74" t="s">
        <v>229</v>
      </c>
      <c r="G166" s="75" t="s">
        <v>229</v>
      </c>
      <c r="H166" s="75" t="s">
        <v>229</v>
      </c>
      <c r="I166" s="75" t="s">
        <v>229</v>
      </c>
    </row>
    <row r="167" spans="3:9" x14ac:dyDescent="0.3">
      <c r="C167" s="78" t="s">
        <v>229</v>
      </c>
      <c r="D167" s="78"/>
      <c r="E167" s="81" t="s">
        <v>229</v>
      </c>
      <c r="F167" s="74" t="s">
        <v>229</v>
      </c>
      <c r="G167" s="75" t="s">
        <v>229</v>
      </c>
      <c r="H167" s="75" t="s">
        <v>229</v>
      </c>
      <c r="I167" s="75" t="s">
        <v>229</v>
      </c>
    </row>
    <row r="168" spans="3:9" x14ac:dyDescent="0.3">
      <c r="C168" s="78" t="s">
        <v>229</v>
      </c>
      <c r="D168" s="78"/>
      <c r="E168" s="81" t="s">
        <v>229</v>
      </c>
      <c r="F168" s="74" t="s">
        <v>229</v>
      </c>
      <c r="G168" s="75" t="s">
        <v>229</v>
      </c>
      <c r="H168" s="75" t="s">
        <v>229</v>
      </c>
      <c r="I168" s="75" t="s">
        <v>229</v>
      </c>
    </row>
    <row r="169" spans="3:9" x14ac:dyDescent="0.3">
      <c r="C169" s="78" t="s">
        <v>229</v>
      </c>
      <c r="D169" s="78"/>
      <c r="E169" s="81" t="s">
        <v>229</v>
      </c>
      <c r="F169" s="74" t="s">
        <v>229</v>
      </c>
      <c r="G169" s="75" t="s">
        <v>229</v>
      </c>
      <c r="H169" s="75" t="s">
        <v>229</v>
      </c>
      <c r="I169" s="75" t="s">
        <v>229</v>
      </c>
    </row>
    <row r="170" spans="3:9" x14ac:dyDescent="0.3">
      <c r="C170" s="78" t="s">
        <v>229</v>
      </c>
      <c r="D170" s="78"/>
      <c r="E170" s="81" t="s">
        <v>229</v>
      </c>
      <c r="F170" s="74" t="s">
        <v>229</v>
      </c>
      <c r="G170" s="75" t="s">
        <v>229</v>
      </c>
      <c r="H170" s="75" t="s">
        <v>229</v>
      </c>
      <c r="I170" s="75" t="s">
        <v>229</v>
      </c>
    </row>
    <row r="171" spans="3:9" x14ac:dyDescent="0.3">
      <c r="C171" s="78" t="s">
        <v>229</v>
      </c>
      <c r="D171" s="78"/>
      <c r="E171" s="81" t="s">
        <v>229</v>
      </c>
      <c r="F171" s="74" t="s">
        <v>229</v>
      </c>
      <c r="G171" s="75" t="s">
        <v>229</v>
      </c>
      <c r="H171" s="75" t="s">
        <v>229</v>
      </c>
      <c r="I171" s="75" t="s">
        <v>229</v>
      </c>
    </row>
    <row r="172" spans="3:9" x14ac:dyDescent="0.3">
      <c r="C172" s="78" t="s">
        <v>229</v>
      </c>
      <c r="D172" s="78"/>
      <c r="E172" s="81" t="s">
        <v>229</v>
      </c>
      <c r="F172" s="74" t="s">
        <v>229</v>
      </c>
      <c r="G172" s="75" t="s">
        <v>229</v>
      </c>
      <c r="H172" s="75" t="s">
        <v>229</v>
      </c>
      <c r="I172" s="75" t="s">
        <v>229</v>
      </c>
    </row>
    <row r="173" spans="3:9" x14ac:dyDescent="0.3">
      <c r="C173" s="78" t="s">
        <v>229</v>
      </c>
      <c r="D173" s="78"/>
      <c r="E173" s="81" t="s">
        <v>229</v>
      </c>
      <c r="F173" s="74" t="s">
        <v>229</v>
      </c>
      <c r="G173" s="75" t="s">
        <v>229</v>
      </c>
      <c r="H173" s="75" t="s">
        <v>229</v>
      </c>
      <c r="I173" s="75" t="s">
        <v>229</v>
      </c>
    </row>
    <row r="174" spans="3:9" x14ac:dyDescent="0.3">
      <c r="C174" s="78" t="s">
        <v>229</v>
      </c>
      <c r="D174" s="78"/>
      <c r="E174" s="81" t="s">
        <v>229</v>
      </c>
      <c r="F174" s="74" t="s">
        <v>229</v>
      </c>
      <c r="G174" s="75" t="s">
        <v>229</v>
      </c>
      <c r="H174" s="75" t="s">
        <v>229</v>
      </c>
      <c r="I174" s="75" t="s">
        <v>229</v>
      </c>
    </row>
    <row r="175" spans="3:9" x14ac:dyDescent="0.3">
      <c r="C175" s="78" t="s">
        <v>229</v>
      </c>
      <c r="D175" s="78"/>
      <c r="E175" s="81" t="s">
        <v>229</v>
      </c>
      <c r="F175" s="74" t="s">
        <v>229</v>
      </c>
      <c r="G175" s="75" t="s">
        <v>229</v>
      </c>
      <c r="H175" s="75" t="s">
        <v>229</v>
      </c>
      <c r="I175" s="75" t="s">
        <v>229</v>
      </c>
    </row>
    <row r="176" spans="3:9" x14ac:dyDescent="0.3">
      <c r="C176" s="78" t="s">
        <v>229</v>
      </c>
      <c r="D176" s="78"/>
      <c r="E176" s="81" t="s">
        <v>229</v>
      </c>
      <c r="F176" s="74" t="s">
        <v>229</v>
      </c>
      <c r="G176" s="75" t="s">
        <v>229</v>
      </c>
      <c r="H176" s="75" t="s">
        <v>229</v>
      </c>
      <c r="I176" s="75" t="s">
        <v>229</v>
      </c>
    </row>
    <row r="177" spans="3:9" x14ac:dyDescent="0.3">
      <c r="C177" s="78" t="s">
        <v>229</v>
      </c>
      <c r="D177" s="78"/>
      <c r="E177" s="81" t="s">
        <v>229</v>
      </c>
      <c r="F177" s="74" t="s">
        <v>229</v>
      </c>
      <c r="G177" s="75" t="s">
        <v>229</v>
      </c>
      <c r="H177" s="75" t="s">
        <v>229</v>
      </c>
      <c r="I177" s="75" t="s">
        <v>229</v>
      </c>
    </row>
    <row r="178" spans="3:9" x14ac:dyDescent="0.3">
      <c r="C178" s="78" t="s">
        <v>229</v>
      </c>
      <c r="D178" s="78"/>
      <c r="E178" s="81" t="s">
        <v>229</v>
      </c>
      <c r="F178" s="74" t="s">
        <v>229</v>
      </c>
      <c r="G178" s="75" t="s">
        <v>229</v>
      </c>
      <c r="H178" s="75" t="s">
        <v>229</v>
      </c>
      <c r="I178" s="75" t="s">
        <v>229</v>
      </c>
    </row>
    <row r="179" spans="3:9" x14ac:dyDescent="0.3">
      <c r="C179" s="78" t="s">
        <v>229</v>
      </c>
      <c r="D179" s="78"/>
      <c r="E179" s="81" t="s">
        <v>229</v>
      </c>
      <c r="F179" s="74" t="s">
        <v>229</v>
      </c>
      <c r="G179" s="75" t="s">
        <v>229</v>
      </c>
      <c r="H179" s="75" t="s">
        <v>229</v>
      </c>
      <c r="I179" s="75" t="s">
        <v>229</v>
      </c>
    </row>
    <row r="180" spans="3:9" x14ac:dyDescent="0.3">
      <c r="C180" s="78" t="s">
        <v>229</v>
      </c>
      <c r="D180" s="78"/>
      <c r="E180" s="81" t="s">
        <v>229</v>
      </c>
      <c r="F180" s="74" t="s">
        <v>229</v>
      </c>
      <c r="G180" s="75" t="s">
        <v>229</v>
      </c>
      <c r="H180" s="75" t="s">
        <v>229</v>
      </c>
      <c r="I180" s="75" t="s">
        <v>229</v>
      </c>
    </row>
    <row r="181" spans="3:9" x14ac:dyDescent="0.3">
      <c r="C181" s="78" t="s">
        <v>229</v>
      </c>
      <c r="D181" s="78"/>
      <c r="E181" s="81" t="s">
        <v>229</v>
      </c>
      <c r="F181" s="74" t="s">
        <v>229</v>
      </c>
      <c r="G181" s="75" t="s">
        <v>229</v>
      </c>
      <c r="H181" s="75" t="s">
        <v>229</v>
      </c>
      <c r="I181" s="75" t="s">
        <v>229</v>
      </c>
    </row>
    <row r="182" spans="3:9" x14ac:dyDescent="0.3">
      <c r="C182" s="78" t="s">
        <v>229</v>
      </c>
      <c r="D182" s="78"/>
      <c r="E182" s="81" t="s">
        <v>229</v>
      </c>
      <c r="F182" s="74" t="s">
        <v>229</v>
      </c>
      <c r="G182" s="75" t="s">
        <v>229</v>
      </c>
      <c r="H182" s="75" t="s">
        <v>229</v>
      </c>
      <c r="I182" s="75" t="s">
        <v>229</v>
      </c>
    </row>
    <row r="183" spans="3:9" x14ac:dyDescent="0.3">
      <c r="C183" s="78" t="s">
        <v>229</v>
      </c>
      <c r="D183" s="78"/>
      <c r="E183" s="81" t="s">
        <v>229</v>
      </c>
      <c r="F183" s="74" t="s">
        <v>229</v>
      </c>
      <c r="G183" s="75" t="s">
        <v>229</v>
      </c>
      <c r="H183" s="75" t="s">
        <v>229</v>
      </c>
      <c r="I183" s="75" t="s">
        <v>229</v>
      </c>
    </row>
    <row r="184" spans="3:9" x14ac:dyDescent="0.3">
      <c r="C184" s="78" t="s">
        <v>229</v>
      </c>
      <c r="D184" s="78"/>
      <c r="E184" s="81" t="s">
        <v>229</v>
      </c>
      <c r="F184" s="74" t="s">
        <v>229</v>
      </c>
      <c r="G184" s="75" t="s">
        <v>229</v>
      </c>
      <c r="H184" s="75" t="s">
        <v>229</v>
      </c>
      <c r="I184" s="75" t="s">
        <v>229</v>
      </c>
    </row>
    <row r="185" spans="3:9" x14ac:dyDescent="0.3">
      <c r="C185" s="78" t="s">
        <v>229</v>
      </c>
      <c r="D185" s="78"/>
      <c r="E185" s="81" t="s">
        <v>229</v>
      </c>
      <c r="F185" s="74" t="s">
        <v>229</v>
      </c>
      <c r="G185" s="75" t="s">
        <v>229</v>
      </c>
      <c r="H185" s="75" t="s">
        <v>229</v>
      </c>
      <c r="I185" s="75" t="s">
        <v>229</v>
      </c>
    </row>
    <row r="186" spans="3:9" x14ac:dyDescent="0.3">
      <c r="C186" s="78" t="s">
        <v>229</v>
      </c>
      <c r="D186" s="78"/>
      <c r="E186" s="81" t="s">
        <v>229</v>
      </c>
      <c r="F186" s="74" t="s">
        <v>229</v>
      </c>
      <c r="G186" s="75" t="s">
        <v>229</v>
      </c>
      <c r="H186" s="75" t="s">
        <v>229</v>
      </c>
      <c r="I186" s="75" t="s">
        <v>229</v>
      </c>
    </row>
    <row r="187" spans="3:9" x14ac:dyDescent="0.3">
      <c r="C187" s="78" t="s">
        <v>229</v>
      </c>
      <c r="D187" s="78"/>
      <c r="E187" s="81" t="s">
        <v>229</v>
      </c>
      <c r="F187" s="74" t="s">
        <v>229</v>
      </c>
      <c r="G187" s="75" t="s">
        <v>229</v>
      </c>
      <c r="H187" s="75" t="s">
        <v>229</v>
      </c>
      <c r="I187" s="75" t="s">
        <v>229</v>
      </c>
    </row>
    <row r="188" spans="3:9" x14ac:dyDescent="0.3">
      <c r="C188" s="78" t="s">
        <v>229</v>
      </c>
      <c r="D188" s="78"/>
      <c r="E188" s="81" t="s">
        <v>229</v>
      </c>
      <c r="F188" s="74" t="s">
        <v>229</v>
      </c>
      <c r="G188" s="75" t="s">
        <v>229</v>
      </c>
      <c r="H188" s="75" t="s">
        <v>229</v>
      </c>
      <c r="I188" s="75" t="s">
        <v>229</v>
      </c>
    </row>
    <row r="189" spans="3:9" x14ac:dyDescent="0.3">
      <c r="C189" s="78" t="s">
        <v>229</v>
      </c>
      <c r="D189" s="78"/>
      <c r="E189" s="81" t="s">
        <v>229</v>
      </c>
      <c r="F189" s="74" t="s">
        <v>229</v>
      </c>
      <c r="G189" s="75" t="s">
        <v>229</v>
      </c>
      <c r="H189" s="75" t="s">
        <v>229</v>
      </c>
      <c r="I189" s="75" t="s">
        <v>229</v>
      </c>
    </row>
    <row r="190" spans="3:9" x14ac:dyDescent="0.3">
      <c r="C190" s="78" t="s">
        <v>229</v>
      </c>
      <c r="D190" s="78"/>
      <c r="E190" s="81" t="s">
        <v>229</v>
      </c>
      <c r="F190" s="74" t="s">
        <v>229</v>
      </c>
      <c r="G190" s="75" t="s">
        <v>229</v>
      </c>
      <c r="H190" s="75" t="s">
        <v>229</v>
      </c>
      <c r="I190" s="75" t="s">
        <v>229</v>
      </c>
    </row>
    <row r="191" spans="3:9" x14ac:dyDescent="0.3">
      <c r="C191" s="78" t="s">
        <v>229</v>
      </c>
      <c r="D191" s="78"/>
      <c r="E191" s="81" t="s">
        <v>229</v>
      </c>
      <c r="F191" s="74" t="s">
        <v>229</v>
      </c>
      <c r="G191" s="75" t="s">
        <v>229</v>
      </c>
      <c r="H191" s="75" t="s">
        <v>229</v>
      </c>
      <c r="I191" s="75" t="s">
        <v>229</v>
      </c>
    </row>
    <row r="192" spans="3:9" x14ac:dyDescent="0.3">
      <c r="C192" s="78" t="s">
        <v>229</v>
      </c>
      <c r="D192" s="78"/>
      <c r="E192" s="81" t="s">
        <v>229</v>
      </c>
      <c r="F192" s="74" t="s">
        <v>229</v>
      </c>
      <c r="G192" s="75" t="s">
        <v>229</v>
      </c>
      <c r="H192" s="75" t="s">
        <v>229</v>
      </c>
      <c r="I192" s="75" t="s">
        <v>229</v>
      </c>
    </row>
    <row r="193" spans="3:9" x14ac:dyDescent="0.3">
      <c r="C193" s="78" t="s">
        <v>229</v>
      </c>
      <c r="D193" s="78"/>
      <c r="E193" s="81" t="s">
        <v>229</v>
      </c>
      <c r="F193" s="74" t="s">
        <v>229</v>
      </c>
      <c r="G193" s="75" t="s">
        <v>229</v>
      </c>
      <c r="H193" s="75" t="s">
        <v>229</v>
      </c>
      <c r="I193" s="75" t="s">
        <v>229</v>
      </c>
    </row>
    <row r="194" spans="3:9" x14ac:dyDescent="0.3">
      <c r="C194" s="78" t="s">
        <v>229</v>
      </c>
      <c r="D194" s="78"/>
      <c r="E194" s="81" t="s">
        <v>229</v>
      </c>
      <c r="F194" s="74" t="s">
        <v>229</v>
      </c>
      <c r="G194" s="75" t="s">
        <v>229</v>
      </c>
      <c r="H194" s="75" t="s">
        <v>229</v>
      </c>
      <c r="I194" s="75" t="s">
        <v>229</v>
      </c>
    </row>
    <row r="195" spans="3:9" x14ac:dyDescent="0.3">
      <c r="C195" s="78" t="s">
        <v>229</v>
      </c>
      <c r="D195" s="78"/>
      <c r="E195" s="81" t="s">
        <v>229</v>
      </c>
      <c r="F195" s="74" t="s">
        <v>229</v>
      </c>
      <c r="G195" s="75" t="s">
        <v>229</v>
      </c>
      <c r="H195" s="75" t="s">
        <v>229</v>
      </c>
      <c r="I195" s="75" t="s">
        <v>229</v>
      </c>
    </row>
    <row r="196" spans="3:9" x14ac:dyDescent="0.3">
      <c r="C196" s="78" t="s">
        <v>229</v>
      </c>
      <c r="D196" s="78"/>
      <c r="E196" s="81" t="s">
        <v>229</v>
      </c>
      <c r="F196" s="74" t="s">
        <v>229</v>
      </c>
      <c r="G196" s="75" t="s">
        <v>229</v>
      </c>
      <c r="H196" s="75" t="s">
        <v>229</v>
      </c>
      <c r="I196" s="75" t="s">
        <v>229</v>
      </c>
    </row>
    <row r="197" spans="3:9" x14ac:dyDescent="0.3">
      <c r="C197" s="78" t="s">
        <v>229</v>
      </c>
      <c r="D197" s="78"/>
      <c r="E197" s="81" t="s">
        <v>229</v>
      </c>
      <c r="F197" s="74" t="s">
        <v>229</v>
      </c>
      <c r="G197" s="75" t="s">
        <v>229</v>
      </c>
      <c r="H197" s="75" t="s">
        <v>229</v>
      </c>
      <c r="I197" s="75" t="s">
        <v>229</v>
      </c>
    </row>
    <row r="198" spans="3:9" x14ac:dyDescent="0.3">
      <c r="C198" s="78" t="s">
        <v>229</v>
      </c>
      <c r="D198" s="78"/>
      <c r="E198" s="81" t="s">
        <v>229</v>
      </c>
      <c r="F198" s="74" t="s">
        <v>229</v>
      </c>
      <c r="G198" s="75" t="s">
        <v>229</v>
      </c>
      <c r="H198" s="75" t="s">
        <v>229</v>
      </c>
      <c r="I198" s="75" t="s">
        <v>229</v>
      </c>
    </row>
    <row r="199" spans="3:9" x14ac:dyDescent="0.3">
      <c r="C199" s="78" t="s">
        <v>229</v>
      </c>
      <c r="D199" s="78"/>
      <c r="E199" s="81" t="s">
        <v>229</v>
      </c>
      <c r="F199" s="74" t="s">
        <v>229</v>
      </c>
      <c r="G199" s="75" t="s">
        <v>229</v>
      </c>
      <c r="H199" s="75" t="s">
        <v>229</v>
      </c>
      <c r="I199" s="75" t="s">
        <v>229</v>
      </c>
    </row>
    <row r="200" spans="3:9" x14ac:dyDescent="0.3">
      <c r="C200" s="78" t="s">
        <v>229</v>
      </c>
      <c r="D200" s="78"/>
      <c r="E200" s="81" t="s">
        <v>229</v>
      </c>
      <c r="F200" s="74" t="s">
        <v>229</v>
      </c>
      <c r="G200" s="75" t="s">
        <v>229</v>
      </c>
      <c r="H200" s="75" t="s">
        <v>229</v>
      </c>
      <c r="I200" s="75" t="s">
        <v>229</v>
      </c>
    </row>
    <row r="201" spans="3:9" x14ac:dyDescent="0.3">
      <c r="C201" s="78" t="s">
        <v>229</v>
      </c>
      <c r="D201" s="78"/>
      <c r="E201" s="81" t="s">
        <v>229</v>
      </c>
      <c r="F201" s="74" t="s">
        <v>229</v>
      </c>
      <c r="G201" s="75" t="s">
        <v>229</v>
      </c>
      <c r="H201" s="75" t="s">
        <v>229</v>
      </c>
      <c r="I201" s="75" t="s">
        <v>229</v>
      </c>
    </row>
    <row r="202" spans="3:9" x14ac:dyDescent="0.3">
      <c r="C202" s="78" t="s">
        <v>229</v>
      </c>
      <c r="D202" s="78"/>
      <c r="E202" s="81" t="s">
        <v>229</v>
      </c>
      <c r="F202" s="74" t="s">
        <v>229</v>
      </c>
      <c r="G202" s="75" t="s">
        <v>229</v>
      </c>
      <c r="H202" s="75" t="s">
        <v>229</v>
      </c>
      <c r="I202" s="75" t="s">
        <v>229</v>
      </c>
    </row>
    <row r="203" spans="3:9" x14ac:dyDescent="0.3">
      <c r="C203" s="78" t="s">
        <v>229</v>
      </c>
      <c r="D203" s="78"/>
      <c r="E203" s="81" t="s">
        <v>229</v>
      </c>
      <c r="F203" s="74" t="s">
        <v>229</v>
      </c>
      <c r="G203" s="75" t="s">
        <v>229</v>
      </c>
      <c r="H203" s="75" t="s">
        <v>229</v>
      </c>
      <c r="I203" s="75" t="s">
        <v>229</v>
      </c>
    </row>
    <row r="204" spans="3:9" x14ac:dyDescent="0.3">
      <c r="C204" s="78" t="s">
        <v>229</v>
      </c>
      <c r="D204" s="78"/>
      <c r="E204" s="81" t="s">
        <v>229</v>
      </c>
      <c r="F204" s="74" t="s">
        <v>229</v>
      </c>
      <c r="G204" s="75" t="s">
        <v>229</v>
      </c>
      <c r="H204" s="75" t="s">
        <v>229</v>
      </c>
      <c r="I204" s="75" t="s">
        <v>229</v>
      </c>
    </row>
    <row r="205" spans="3:9" x14ac:dyDescent="0.3">
      <c r="C205" s="78" t="s">
        <v>229</v>
      </c>
      <c r="D205" s="78"/>
      <c r="E205" s="81" t="s">
        <v>229</v>
      </c>
      <c r="F205" s="74" t="s">
        <v>229</v>
      </c>
      <c r="G205" s="75" t="s">
        <v>229</v>
      </c>
      <c r="H205" s="75" t="s">
        <v>229</v>
      </c>
      <c r="I205" s="75" t="s">
        <v>229</v>
      </c>
    </row>
    <row r="206" spans="3:9" x14ac:dyDescent="0.3">
      <c r="C206" s="78" t="s">
        <v>229</v>
      </c>
      <c r="D206" s="78"/>
      <c r="E206" s="81" t="s">
        <v>229</v>
      </c>
      <c r="F206" s="74" t="s">
        <v>229</v>
      </c>
      <c r="G206" s="75" t="s">
        <v>229</v>
      </c>
      <c r="H206" s="75" t="s">
        <v>229</v>
      </c>
      <c r="I206" s="75" t="s">
        <v>229</v>
      </c>
    </row>
    <row r="207" spans="3:9" x14ac:dyDescent="0.3">
      <c r="C207" s="78" t="s">
        <v>229</v>
      </c>
      <c r="D207" s="78"/>
      <c r="E207" s="81" t="s">
        <v>229</v>
      </c>
      <c r="F207" s="74" t="s">
        <v>229</v>
      </c>
      <c r="G207" s="75" t="s">
        <v>229</v>
      </c>
      <c r="H207" s="75" t="s">
        <v>229</v>
      </c>
      <c r="I207" s="75" t="s">
        <v>229</v>
      </c>
    </row>
    <row r="208" spans="3:9" x14ac:dyDescent="0.3">
      <c r="C208" s="78" t="s">
        <v>229</v>
      </c>
      <c r="D208" s="78"/>
      <c r="E208" s="81" t="s">
        <v>229</v>
      </c>
      <c r="F208" s="74" t="s">
        <v>229</v>
      </c>
      <c r="G208" s="75" t="s">
        <v>229</v>
      </c>
      <c r="H208" s="75" t="s">
        <v>229</v>
      </c>
      <c r="I208" s="75" t="s">
        <v>229</v>
      </c>
    </row>
    <row r="209" spans="3:9" x14ac:dyDescent="0.3">
      <c r="C209" s="78" t="s">
        <v>229</v>
      </c>
      <c r="D209" s="78"/>
      <c r="E209" s="81" t="s">
        <v>229</v>
      </c>
      <c r="F209" s="74" t="s">
        <v>229</v>
      </c>
      <c r="G209" s="75" t="s">
        <v>229</v>
      </c>
      <c r="H209" s="75" t="s">
        <v>229</v>
      </c>
      <c r="I209" s="75" t="s">
        <v>229</v>
      </c>
    </row>
    <row r="210" spans="3:9" x14ac:dyDescent="0.3">
      <c r="C210" s="78" t="s">
        <v>229</v>
      </c>
      <c r="D210" s="78"/>
      <c r="E210" s="81" t="s">
        <v>229</v>
      </c>
      <c r="F210" s="74" t="s">
        <v>229</v>
      </c>
      <c r="G210" s="75" t="s">
        <v>229</v>
      </c>
      <c r="H210" s="75" t="s">
        <v>229</v>
      </c>
      <c r="I210" s="75" t="s">
        <v>229</v>
      </c>
    </row>
    <row r="211" spans="3:9" x14ac:dyDescent="0.3">
      <c r="C211" s="78" t="s">
        <v>229</v>
      </c>
      <c r="D211" s="78"/>
      <c r="E211" s="81" t="s">
        <v>229</v>
      </c>
      <c r="F211" s="74" t="s">
        <v>229</v>
      </c>
      <c r="G211" s="75" t="s">
        <v>229</v>
      </c>
      <c r="H211" s="75" t="s">
        <v>229</v>
      </c>
      <c r="I211" s="75" t="s">
        <v>229</v>
      </c>
    </row>
    <row r="212" spans="3:9" x14ac:dyDescent="0.3">
      <c r="C212" s="78" t="s">
        <v>229</v>
      </c>
      <c r="D212" s="78"/>
      <c r="E212" s="81" t="s">
        <v>229</v>
      </c>
      <c r="F212" s="74" t="s">
        <v>229</v>
      </c>
      <c r="G212" s="75" t="s">
        <v>229</v>
      </c>
      <c r="H212" s="75" t="s">
        <v>229</v>
      </c>
      <c r="I212" s="75" t="s">
        <v>229</v>
      </c>
    </row>
    <row r="213" spans="3:9" x14ac:dyDescent="0.3">
      <c r="C213" s="78" t="s">
        <v>229</v>
      </c>
      <c r="D213" s="78"/>
      <c r="E213" s="81" t="s">
        <v>229</v>
      </c>
      <c r="F213" s="74" t="s">
        <v>229</v>
      </c>
      <c r="G213" s="75" t="s">
        <v>229</v>
      </c>
      <c r="H213" s="75" t="s">
        <v>229</v>
      </c>
      <c r="I213" s="75" t="s">
        <v>229</v>
      </c>
    </row>
    <row r="214" spans="3:9" x14ac:dyDescent="0.3">
      <c r="C214" s="78" t="s">
        <v>229</v>
      </c>
      <c r="D214" s="78"/>
      <c r="E214" s="81" t="s">
        <v>229</v>
      </c>
      <c r="F214" s="74" t="s">
        <v>229</v>
      </c>
      <c r="G214" s="75" t="s">
        <v>229</v>
      </c>
      <c r="H214" s="75" t="s">
        <v>229</v>
      </c>
      <c r="I214" s="75" t="s">
        <v>229</v>
      </c>
    </row>
    <row r="215" spans="3:9" x14ac:dyDescent="0.3">
      <c r="C215" s="78" t="s">
        <v>229</v>
      </c>
      <c r="D215" s="78"/>
      <c r="E215" s="81" t="s">
        <v>229</v>
      </c>
      <c r="F215" s="74" t="s">
        <v>229</v>
      </c>
      <c r="G215" s="75" t="s">
        <v>229</v>
      </c>
      <c r="H215" s="75" t="s">
        <v>229</v>
      </c>
      <c r="I215" s="75" t="s">
        <v>229</v>
      </c>
    </row>
    <row r="216" spans="3:9" x14ac:dyDescent="0.3">
      <c r="C216" s="78" t="s">
        <v>229</v>
      </c>
      <c r="D216" s="78"/>
      <c r="E216" s="81" t="s">
        <v>229</v>
      </c>
      <c r="F216" s="74" t="s">
        <v>229</v>
      </c>
      <c r="G216" s="75" t="s">
        <v>229</v>
      </c>
      <c r="H216" s="75" t="s">
        <v>229</v>
      </c>
      <c r="I216" s="75" t="s">
        <v>229</v>
      </c>
    </row>
    <row r="217" spans="3:9" x14ac:dyDescent="0.3">
      <c r="C217" s="78" t="s">
        <v>229</v>
      </c>
      <c r="D217" s="78"/>
      <c r="E217" s="81" t="s">
        <v>229</v>
      </c>
      <c r="F217" s="74" t="s">
        <v>229</v>
      </c>
      <c r="G217" s="75" t="s">
        <v>229</v>
      </c>
      <c r="H217" s="75" t="s">
        <v>229</v>
      </c>
      <c r="I217" s="75" t="s">
        <v>229</v>
      </c>
    </row>
    <row r="218" spans="3:9" x14ac:dyDescent="0.3">
      <c r="C218" s="78" t="s">
        <v>229</v>
      </c>
      <c r="D218" s="78"/>
      <c r="E218" s="81" t="s">
        <v>229</v>
      </c>
      <c r="F218" s="74" t="s">
        <v>229</v>
      </c>
      <c r="G218" s="75" t="s">
        <v>229</v>
      </c>
      <c r="H218" s="75" t="s">
        <v>229</v>
      </c>
      <c r="I218" s="75" t="s">
        <v>229</v>
      </c>
    </row>
    <row r="219" spans="3:9" x14ac:dyDescent="0.3">
      <c r="C219" s="78" t="s">
        <v>229</v>
      </c>
      <c r="D219" s="78"/>
      <c r="E219" s="81" t="s">
        <v>229</v>
      </c>
      <c r="F219" s="74" t="s">
        <v>229</v>
      </c>
      <c r="G219" s="75" t="s">
        <v>229</v>
      </c>
      <c r="H219" s="75" t="s">
        <v>229</v>
      </c>
      <c r="I219" s="75" t="s">
        <v>229</v>
      </c>
    </row>
    <row r="220" spans="3:9" x14ac:dyDescent="0.3">
      <c r="C220" s="78" t="s">
        <v>229</v>
      </c>
      <c r="D220" s="78"/>
      <c r="E220" s="81" t="s">
        <v>229</v>
      </c>
      <c r="F220" s="74" t="s">
        <v>229</v>
      </c>
      <c r="G220" s="75" t="s">
        <v>229</v>
      </c>
      <c r="H220" s="75" t="s">
        <v>229</v>
      </c>
      <c r="I220" s="75" t="s">
        <v>229</v>
      </c>
    </row>
    <row r="221" spans="3:9" x14ac:dyDescent="0.3">
      <c r="C221" s="78" t="s">
        <v>229</v>
      </c>
      <c r="D221" s="78"/>
      <c r="E221" s="81" t="s">
        <v>229</v>
      </c>
      <c r="F221" s="74" t="s">
        <v>229</v>
      </c>
      <c r="G221" s="75" t="s">
        <v>229</v>
      </c>
      <c r="H221" s="75" t="s">
        <v>229</v>
      </c>
      <c r="I221" s="75" t="s">
        <v>229</v>
      </c>
    </row>
    <row r="222" spans="3:9" x14ac:dyDescent="0.3">
      <c r="C222" s="78" t="s">
        <v>229</v>
      </c>
      <c r="D222" s="78"/>
      <c r="E222" s="81" t="s">
        <v>229</v>
      </c>
      <c r="F222" s="74" t="s">
        <v>229</v>
      </c>
      <c r="G222" s="75" t="s">
        <v>229</v>
      </c>
      <c r="H222" s="75" t="s">
        <v>229</v>
      </c>
      <c r="I222" s="75" t="s">
        <v>229</v>
      </c>
    </row>
    <row r="223" spans="3:9" x14ac:dyDescent="0.3">
      <c r="C223" s="78" t="s">
        <v>229</v>
      </c>
      <c r="D223" s="78"/>
      <c r="E223" s="81" t="s">
        <v>229</v>
      </c>
      <c r="F223" s="74" t="s">
        <v>229</v>
      </c>
      <c r="G223" s="75" t="s">
        <v>229</v>
      </c>
      <c r="H223" s="75" t="s">
        <v>229</v>
      </c>
      <c r="I223" s="75" t="s">
        <v>229</v>
      </c>
    </row>
    <row r="224" spans="3:9" x14ac:dyDescent="0.3">
      <c r="C224" s="78" t="s">
        <v>229</v>
      </c>
      <c r="D224" s="78"/>
      <c r="E224" s="81" t="s">
        <v>229</v>
      </c>
      <c r="F224" s="74" t="s">
        <v>229</v>
      </c>
      <c r="G224" s="75" t="s">
        <v>229</v>
      </c>
      <c r="H224" s="75" t="s">
        <v>229</v>
      </c>
      <c r="I224" s="75" t="s">
        <v>229</v>
      </c>
    </row>
    <row r="225" spans="3:9" x14ac:dyDescent="0.3">
      <c r="C225" s="78" t="s">
        <v>229</v>
      </c>
      <c r="D225" s="78"/>
      <c r="E225" s="81" t="s">
        <v>229</v>
      </c>
      <c r="F225" s="74" t="s">
        <v>229</v>
      </c>
      <c r="G225" s="75" t="s">
        <v>229</v>
      </c>
      <c r="H225" s="75" t="s">
        <v>229</v>
      </c>
      <c r="I225" s="75" t="s">
        <v>229</v>
      </c>
    </row>
    <row r="226" spans="3:9" x14ac:dyDescent="0.3">
      <c r="C226" s="78" t="s">
        <v>229</v>
      </c>
      <c r="D226" s="78"/>
      <c r="E226" s="81" t="s">
        <v>229</v>
      </c>
      <c r="F226" s="74" t="s">
        <v>229</v>
      </c>
      <c r="G226" s="75" t="s">
        <v>229</v>
      </c>
      <c r="H226" s="75" t="s">
        <v>229</v>
      </c>
      <c r="I226" s="75" t="s">
        <v>229</v>
      </c>
    </row>
    <row r="227" spans="3:9" x14ac:dyDescent="0.3">
      <c r="C227" s="78" t="s">
        <v>229</v>
      </c>
      <c r="D227" s="78"/>
      <c r="E227" s="81" t="s">
        <v>229</v>
      </c>
      <c r="F227" s="74" t="s">
        <v>229</v>
      </c>
      <c r="G227" s="75" t="s">
        <v>229</v>
      </c>
      <c r="H227" s="75" t="s">
        <v>229</v>
      </c>
      <c r="I227" s="75" t="s">
        <v>229</v>
      </c>
    </row>
    <row r="228" spans="3:9" x14ac:dyDescent="0.3">
      <c r="C228" s="78" t="s">
        <v>229</v>
      </c>
      <c r="D228" s="78"/>
      <c r="E228" s="81" t="s">
        <v>229</v>
      </c>
      <c r="F228" s="74" t="s">
        <v>229</v>
      </c>
      <c r="G228" s="75" t="s">
        <v>229</v>
      </c>
      <c r="H228" s="75" t="s">
        <v>229</v>
      </c>
      <c r="I228" s="75" t="s">
        <v>229</v>
      </c>
    </row>
    <row r="229" spans="3:9" x14ac:dyDescent="0.3">
      <c r="C229" s="78" t="s">
        <v>229</v>
      </c>
      <c r="D229" s="78"/>
      <c r="E229" s="81" t="s">
        <v>229</v>
      </c>
      <c r="F229" s="74" t="s">
        <v>229</v>
      </c>
      <c r="G229" s="75" t="s">
        <v>229</v>
      </c>
      <c r="H229" s="75" t="s">
        <v>229</v>
      </c>
      <c r="I229" s="75" t="s">
        <v>229</v>
      </c>
    </row>
    <row r="230" spans="3:9" x14ac:dyDescent="0.3">
      <c r="C230" s="78" t="s">
        <v>229</v>
      </c>
      <c r="D230" s="78"/>
      <c r="E230" s="81" t="s">
        <v>229</v>
      </c>
      <c r="F230" s="74" t="s">
        <v>229</v>
      </c>
      <c r="G230" s="75" t="s">
        <v>229</v>
      </c>
      <c r="H230" s="75" t="s">
        <v>229</v>
      </c>
      <c r="I230" s="75" t="s">
        <v>229</v>
      </c>
    </row>
    <row r="231" spans="3:9" x14ac:dyDescent="0.3">
      <c r="C231" s="78" t="s">
        <v>229</v>
      </c>
      <c r="D231" s="78"/>
      <c r="E231" s="81" t="s">
        <v>229</v>
      </c>
      <c r="F231" s="74" t="s">
        <v>229</v>
      </c>
      <c r="G231" s="75" t="s">
        <v>229</v>
      </c>
      <c r="H231" s="75" t="s">
        <v>229</v>
      </c>
      <c r="I231" s="75" t="s">
        <v>229</v>
      </c>
    </row>
    <row r="232" spans="3:9" x14ac:dyDescent="0.3">
      <c r="C232" s="78" t="s">
        <v>229</v>
      </c>
      <c r="D232" s="78"/>
      <c r="E232" s="81" t="s">
        <v>229</v>
      </c>
      <c r="F232" s="74" t="s">
        <v>229</v>
      </c>
      <c r="G232" s="75" t="s">
        <v>229</v>
      </c>
      <c r="H232" s="75" t="s">
        <v>229</v>
      </c>
      <c r="I232" s="75" t="s">
        <v>229</v>
      </c>
    </row>
    <row r="233" spans="3:9" x14ac:dyDescent="0.3">
      <c r="C233" s="78" t="s">
        <v>229</v>
      </c>
      <c r="D233" s="78"/>
      <c r="E233" s="81" t="s">
        <v>229</v>
      </c>
      <c r="F233" s="74" t="s">
        <v>229</v>
      </c>
      <c r="G233" s="75" t="s">
        <v>229</v>
      </c>
      <c r="H233" s="75" t="s">
        <v>229</v>
      </c>
      <c r="I233" s="75" t="s">
        <v>229</v>
      </c>
    </row>
    <row r="234" spans="3:9" x14ac:dyDescent="0.3">
      <c r="C234" s="78" t="s">
        <v>229</v>
      </c>
      <c r="D234" s="78"/>
      <c r="E234" s="81" t="s">
        <v>229</v>
      </c>
      <c r="F234" s="74" t="s">
        <v>229</v>
      </c>
      <c r="G234" s="75" t="s">
        <v>229</v>
      </c>
      <c r="H234" s="75" t="s">
        <v>229</v>
      </c>
      <c r="I234" s="75" t="s">
        <v>229</v>
      </c>
    </row>
    <row r="235" spans="3:9" x14ac:dyDescent="0.3">
      <c r="C235" s="78" t="s">
        <v>229</v>
      </c>
      <c r="D235" s="78"/>
      <c r="E235" s="81" t="s">
        <v>229</v>
      </c>
      <c r="F235" s="74" t="s">
        <v>229</v>
      </c>
      <c r="G235" s="75" t="s">
        <v>229</v>
      </c>
      <c r="H235" s="75" t="s">
        <v>229</v>
      </c>
      <c r="I235" s="75" t="s">
        <v>229</v>
      </c>
    </row>
    <row r="236" spans="3:9" x14ac:dyDescent="0.3">
      <c r="C236" s="78" t="s">
        <v>229</v>
      </c>
      <c r="D236" s="78"/>
      <c r="E236" s="81" t="s">
        <v>229</v>
      </c>
      <c r="F236" s="74" t="s">
        <v>229</v>
      </c>
      <c r="G236" s="75" t="s">
        <v>229</v>
      </c>
      <c r="H236" s="75" t="s">
        <v>229</v>
      </c>
      <c r="I236" s="75" t="s">
        <v>229</v>
      </c>
    </row>
    <row r="237" spans="3:9" x14ac:dyDescent="0.3">
      <c r="C237" s="78" t="s">
        <v>229</v>
      </c>
      <c r="D237" s="78"/>
      <c r="E237" s="81" t="s">
        <v>229</v>
      </c>
      <c r="F237" s="74" t="s">
        <v>229</v>
      </c>
      <c r="G237" s="75" t="s">
        <v>229</v>
      </c>
      <c r="H237" s="75" t="s">
        <v>229</v>
      </c>
      <c r="I237" s="75" t="s">
        <v>229</v>
      </c>
    </row>
    <row r="238" spans="3:9" x14ac:dyDescent="0.3">
      <c r="C238" s="78" t="s">
        <v>229</v>
      </c>
      <c r="D238" s="78"/>
      <c r="E238" s="81" t="s">
        <v>229</v>
      </c>
      <c r="F238" s="74" t="s">
        <v>229</v>
      </c>
      <c r="G238" s="75" t="s">
        <v>229</v>
      </c>
      <c r="H238" s="75" t="s">
        <v>229</v>
      </c>
      <c r="I238" s="75" t="s">
        <v>229</v>
      </c>
    </row>
    <row r="239" spans="3:9" x14ac:dyDescent="0.3">
      <c r="C239" s="78" t="s">
        <v>229</v>
      </c>
      <c r="D239" s="78"/>
      <c r="E239" s="81" t="s">
        <v>229</v>
      </c>
      <c r="F239" s="74" t="s">
        <v>229</v>
      </c>
      <c r="G239" s="75" t="s">
        <v>229</v>
      </c>
      <c r="H239" s="75" t="s">
        <v>229</v>
      </c>
      <c r="I239" s="75" t="s">
        <v>229</v>
      </c>
    </row>
    <row r="240" spans="3:9" x14ac:dyDescent="0.3">
      <c r="C240" s="78" t="s">
        <v>229</v>
      </c>
      <c r="D240" s="78"/>
      <c r="E240" s="81" t="s">
        <v>229</v>
      </c>
      <c r="F240" s="74" t="s">
        <v>229</v>
      </c>
      <c r="G240" s="75" t="s">
        <v>229</v>
      </c>
      <c r="H240" s="75" t="s">
        <v>229</v>
      </c>
      <c r="I240" s="75" t="s">
        <v>229</v>
      </c>
    </row>
    <row r="241" spans="3:9" x14ac:dyDescent="0.3">
      <c r="C241" s="78" t="s">
        <v>229</v>
      </c>
      <c r="D241" s="78"/>
      <c r="E241" s="81" t="s">
        <v>229</v>
      </c>
      <c r="F241" s="74" t="s">
        <v>229</v>
      </c>
      <c r="G241" s="75" t="s">
        <v>229</v>
      </c>
      <c r="H241" s="75" t="s">
        <v>229</v>
      </c>
      <c r="I241" s="75" t="s">
        <v>229</v>
      </c>
    </row>
    <row r="242" spans="3:9" x14ac:dyDescent="0.3">
      <c r="C242" s="78" t="s">
        <v>229</v>
      </c>
      <c r="D242" s="78"/>
      <c r="E242" s="81" t="s">
        <v>229</v>
      </c>
      <c r="F242" s="74" t="s">
        <v>229</v>
      </c>
      <c r="G242" s="75" t="s">
        <v>229</v>
      </c>
      <c r="H242" s="75" t="s">
        <v>229</v>
      </c>
      <c r="I242" s="75" t="s">
        <v>229</v>
      </c>
    </row>
    <row r="243" spans="3:9" x14ac:dyDescent="0.3">
      <c r="C243" s="78" t="s">
        <v>229</v>
      </c>
      <c r="D243" s="78"/>
      <c r="E243" s="81" t="s">
        <v>229</v>
      </c>
      <c r="F243" s="74" t="s">
        <v>229</v>
      </c>
      <c r="G243" s="75" t="s">
        <v>229</v>
      </c>
      <c r="H243" s="75" t="s">
        <v>229</v>
      </c>
      <c r="I243" s="75" t="s">
        <v>229</v>
      </c>
    </row>
    <row r="244" spans="3:9" x14ac:dyDescent="0.3">
      <c r="C244" s="78" t="s">
        <v>229</v>
      </c>
      <c r="D244" s="78"/>
      <c r="E244" s="81" t="s">
        <v>229</v>
      </c>
      <c r="F244" s="74" t="s">
        <v>229</v>
      </c>
      <c r="G244" s="75" t="s">
        <v>229</v>
      </c>
      <c r="H244" s="75" t="s">
        <v>229</v>
      </c>
      <c r="I244" s="75" t="s">
        <v>229</v>
      </c>
    </row>
    <row r="245" spans="3:9" x14ac:dyDescent="0.3">
      <c r="C245" s="78" t="s">
        <v>229</v>
      </c>
      <c r="D245" s="78"/>
      <c r="E245" s="81" t="s">
        <v>229</v>
      </c>
      <c r="F245" s="74" t="s">
        <v>229</v>
      </c>
      <c r="G245" s="75" t="s">
        <v>229</v>
      </c>
      <c r="H245" s="75" t="s">
        <v>229</v>
      </c>
      <c r="I245" s="75" t="s">
        <v>229</v>
      </c>
    </row>
    <row r="246" spans="3:9" x14ac:dyDescent="0.3">
      <c r="C246" s="78" t="s">
        <v>229</v>
      </c>
      <c r="D246" s="78"/>
      <c r="E246" s="81" t="s">
        <v>229</v>
      </c>
      <c r="F246" s="74" t="s">
        <v>229</v>
      </c>
      <c r="G246" s="75" t="s">
        <v>229</v>
      </c>
      <c r="H246" s="75" t="s">
        <v>229</v>
      </c>
      <c r="I246" s="75" t="s">
        <v>229</v>
      </c>
    </row>
    <row r="247" spans="3:9" x14ac:dyDescent="0.3">
      <c r="C247" s="78" t="s">
        <v>229</v>
      </c>
      <c r="D247" s="78"/>
      <c r="E247" s="81" t="s">
        <v>229</v>
      </c>
      <c r="F247" s="74" t="s">
        <v>229</v>
      </c>
      <c r="G247" s="75" t="s">
        <v>229</v>
      </c>
      <c r="H247" s="75" t="s">
        <v>229</v>
      </c>
      <c r="I247" s="75" t="s">
        <v>229</v>
      </c>
    </row>
    <row r="248" spans="3:9" x14ac:dyDescent="0.3">
      <c r="C248" s="78" t="s">
        <v>229</v>
      </c>
      <c r="D248" s="78"/>
      <c r="E248" s="81" t="s">
        <v>229</v>
      </c>
      <c r="F248" s="74" t="s">
        <v>229</v>
      </c>
      <c r="G248" s="75" t="s">
        <v>229</v>
      </c>
      <c r="H248" s="75" t="s">
        <v>229</v>
      </c>
      <c r="I248" s="75" t="s">
        <v>229</v>
      </c>
    </row>
    <row r="249" spans="3:9" x14ac:dyDescent="0.3">
      <c r="C249" s="78" t="s">
        <v>229</v>
      </c>
      <c r="D249" s="78"/>
      <c r="E249" s="81" t="s">
        <v>229</v>
      </c>
      <c r="F249" s="74" t="s">
        <v>229</v>
      </c>
      <c r="G249" s="75" t="s">
        <v>229</v>
      </c>
      <c r="H249" s="75" t="s">
        <v>229</v>
      </c>
      <c r="I249" s="75" t="s">
        <v>229</v>
      </c>
    </row>
    <row r="250" spans="3:9" x14ac:dyDescent="0.3">
      <c r="C250" s="78" t="s">
        <v>229</v>
      </c>
      <c r="D250" s="78"/>
      <c r="E250" s="81" t="s">
        <v>229</v>
      </c>
      <c r="F250" s="74" t="s">
        <v>229</v>
      </c>
      <c r="G250" s="75" t="s">
        <v>229</v>
      </c>
      <c r="H250" s="75" t="s">
        <v>229</v>
      </c>
      <c r="I250" s="75" t="s">
        <v>229</v>
      </c>
    </row>
    <row r="251" spans="3:9" x14ac:dyDescent="0.3">
      <c r="C251" s="78" t="s">
        <v>229</v>
      </c>
      <c r="D251" s="78"/>
      <c r="E251" s="81" t="s">
        <v>229</v>
      </c>
      <c r="F251" s="74" t="s">
        <v>229</v>
      </c>
      <c r="G251" s="75" t="s">
        <v>229</v>
      </c>
      <c r="H251" s="75" t="s">
        <v>229</v>
      </c>
      <c r="I251" s="75" t="s">
        <v>229</v>
      </c>
    </row>
    <row r="252" spans="3:9" x14ac:dyDescent="0.3">
      <c r="C252" s="78" t="s">
        <v>229</v>
      </c>
      <c r="D252" s="78"/>
      <c r="E252" s="81" t="s">
        <v>229</v>
      </c>
      <c r="F252" s="74" t="s">
        <v>229</v>
      </c>
      <c r="G252" s="75" t="s">
        <v>229</v>
      </c>
      <c r="H252" s="75" t="s">
        <v>229</v>
      </c>
      <c r="I252" s="75" t="s">
        <v>229</v>
      </c>
    </row>
    <row r="253" spans="3:9" x14ac:dyDescent="0.3">
      <c r="C253" s="78" t="s">
        <v>229</v>
      </c>
      <c r="D253" s="78"/>
      <c r="E253" s="81" t="s">
        <v>229</v>
      </c>
      <c r="F253" s="74" t="s">
        <v>229</v>
      </c>
      <c r="G253" s="75" t="s">
        <v>229</v>
      </c>
      <c r="H253" s="75" t="s">
        <v>229</v>
      </c>
      <c r="I253" s="75" t="s">
        <v>229</v>
      </c>
    </row>
    <row r="254" spans="3:9" x14ac:dyDescent="0.3">
      <c r="C254" s="78" t="s">
        <v>229</v>
      </c>
      <c r="D254" s="78"/>
      <c r="E254" s="81" t="s">
        <v>229</v>
      </c>
      <c r="F254" s="74" t="s">
        <v>229</v>
      </c>
      <c r="G254" s="75" t="s">
        <v>229</v>
      </c>
      <c r="H254" s="75" t="s">
        <v>229</v>
      </c>
      <c r="I254" s="75" t="s">
        <v>229</v>
      </c>
    </row>
    <row r="255" spans="3:9" x14ac:dyDescent="0.3">
      <c r="C255" s="78" t="s">
        <v>229</v>
      </c>
      <c r="D255" s="78"/>
      <c r="E255" s="81" t="s">
        <v>229</v>
      </c>
      <c r="F255" s="74" t="s">
        <v>229</v>
      </c>
      <c r="G255" s="75" t="s">
        <v>229</v>
      </c>
      <c r="H255" s="75" t="s">
        <v>229</v>
      </c>
      <c r="I255" s="75" t="s">
        <v>229</v>
      </c>
    </row>
    <row r="256" spans="3:9" x14ac:dyDescent="0.3">
      <c r="C256" s="78" t="s">
        <v>229</v>
      </c>
      <c r="D256" s="78"/>
      <c r="E256" s="81" t="s">
        <v>229</v>
      </c>
      <c r="F256" s="74" t="s">
        <v>229</v>
      </c>
      <c r="G256" s="75" t="s">
        <v>229</v>
      </c>
      <c r="H256" s="75" t="s">
        <v>229</v>
      </c>
      <c r="I256" s="75" t="s">
        <v>229</v>
      </c>
    </row>
    <row r="257" spans="3:9" x14ac:dyDescent="0.3">
      <c r="C257" s="78" t="s">
        <v>229</v>
      </c>
      <c r="D257" s="78"/>
      <c r="E257" s="81" t="s">
        <v>229</v>
      </c>
      <c r="F257" s="74" t="s">
        <v>229</v>
      </c>
      <c r="G257" s="75" t="s">
        <v>229</v>
      </c>
      <c r="H257" s="75" t="s">
        <v>229</v>
      </c>
      <c r="I257" s="75" t="s">
        <v>229</v>
      </c>
    </row>
    <row r="258" spans="3:9" x14ac:dyDescent="0.3">
      <c r="C258" s="78" t="s">
        <v>229</v>
      </c>
      <c r="D258" s="78"/>
      <c r="E258" s="81" t="s">
        <v>229</v>
      </c>
      <c r="F258" s="74" t="s">
        <v>229</v>
      </c>
      <c r="G258" s="75" t="s">
        <v>229</v>
      </c>
      <c r="H258" s="75" t="s">
        <v>229</v>
      </c>
      <c r="I258" s="75" t="s">
        <v>229</v>
      </c>
    </row>
    <row r="259" spans="3:9" x14ac:dyDescent="0.3">
      <c r="C259" s="78" t="s">
        <v>229</v>
      </c>
      <c r="D259" s="78"/>
      <c r="E259" s="81" t="s">
        <v>229</v>
      </c>
      <c r="F259" s="74" t="s">
        <v>229</v>
      </c>
      <c r="G259" s="75" t="s">
        <v>229</v>
      </c>
      <c r="H259" s="75" t="s">
        <v>229</v>
      </c>
      <c r="I259" s="75" t="s">
        <v>229</v>
      </c>
    </row>
    <row r="260" spans="3:9" x14ac:dyDescent="0.3">
      <c r="C260" s="78" t="s">
        <v>229</v>
      </c>
      <c r="D260" s="78"/>
      <c r="E260" s="81" t="s">
        <v>229</v>
      </c>
      <c r="F260" s="74" t="s">
        <v>229</v>
      </c>
      <c r="G260" s="75" t="s">
        <v>229</v>
      </c>
      <c r="H260" s="75" t="s">
        <v>229</v>
      </c>
      <c r="I260" s="75" t="s">
        <v>229</v>
      </c>
    </row>
    <row r="261" spans="3:9" x14ac:dyDescent="0.3">
      <c r="C261" s="78" t="s">
        <v>229</v>
      </c>
      <c r="D261" s="78"/>
      <c r="E261" s="81" t="s">
        <v>229</v>
      </c>
      <c r="F261" s="74" t="s">
        <v>229</v>
      </c>
      <c r="G261" s="75" t="s">
        <v>229</v>
      </c>
      <c r="H261" s="75" t="s">
        <v>229</v>
      </c>
      <c r="I261" s="75" t="s">
        <v>229</v>
      </c>
    </row>
    <row r="262" spans="3:9" x14ac:dyDescent="0.3">
      <c r="C262" s="78" t="s">
        <v>229</v>
      </c>
      <c r="D262" s="78"/>
      <c r="E262" s="81" t="s">
        <v>229</v>
      </c>
      <c r="F262" s="74" t="s">
        <v>229</v>
      </c>
      <c r="G262" s="75" t="s">
        <v>229</v>
      </c>
      <c r="H262" s="75" t="s">
        <v>229</v>
      </c>
      <c r="I262" s="75" t="s">
        <v>229</v>
      </c>
    </row>
    <row r="263" spans="3:9" x14ac:dyDescent="0.3">
      <c r="C263" s="78" t="s">
        <v>229</v>
      </c>
      <c r="D263" s="78"/>
      <c r="E263" s="81" t="s">
        <v>229</v>
      </c>
      <c r="F263" s="74" t="s">
        <v>229</v>
      </c>
      <c r="G263" s="75" t="s">
        <v>229</v>
      </c>
      <c r="H263" s="75" t="s">
        <v>229</v>
      </c>
      <c r="I263" s="75" t="s">
        <v>229</v>
      </c>
    </row>
    <row r="264" spans="3:9" x14ac:dyDescent="0.3">
      <c r="C264" s="78" t="s">
        <v>229</v>
      </c>
      <c r="D264" s="78"/>
      <c r="E264" s="81" t="s">
        <v>229</v>
      </c>
      <c r="F264" s="74" t="s">
        <v>229</v>
      </c>
      <c r="G264" s="75" t="s">
        <v>229</v>
      </c>
      <c r="H264" s="75" t="s">
        <v>229</v>
      </c>
      <c r="I264" s="75" t="s">
        <v>229</v>
      </c>
    </row>
    <row r="265" spans="3:9" x14ac:dyDescent="0.3">
      <c r="C265" s="78" t="s">
        <v>229</v>
      </c>
      <c r="D265" s="78"/>
      <c r="E265" s="81" t="s">
        <v>229</v>
      </c>
      <c r="F265" s="74" t="s">
        <v>229</v>
      </c>
      <c r="G265" s="75" t="s">
        <v>229</v>
      </c>
      <c r="H265" s="75" t="s">
        <v>229</v>
      </c>
      <c r="I265" s="75" t="s">
        <v>229</v>
      </c>
    </row>
    <row r="266" spans="3:9" x14ac:dyDescent="0.3">
      <c r="C266" s="78" t="s">
        <v>229</v>
      </c>
      <c r="D266" s="78"/>
      <c r="E266" s="81" t="s">
        <v>229</v>
      </c>
      <c r="F266" s="74" t="s">
        <v>229</v>
      </c>
      <c r="G266" s="75" t="s">
        <v>229</v>
      </c>
      <c r="H266" s="75" t="s">
        <v>229</v>
      </c>
      <c r="I266" s="75" t="s">
        <v>229</v>
      </c>
    </row>
    <row r="267" spans="3:9" x14ac:dyDescent="0.3">
      <c r="C267" s="78" t="s">
        <v>229</v>
      </c>
      <c r="D267" s="78"/>
      <c r="E267" s="81" t="s">
        <v>229</v>
      </c>
      <c r="F267" s="74" t="s">
        <v>229</v>
      </c>
      <c r="G267" s="75" t="s">
        <v>229</v>
      </c>
      <c r="H267" s="75" t="s">
        <v>229</v>
      </c>
      <c r="I267" s="75" t="s">
        <v>229</v>
      </c>
    </row>
    <row r="268" spans="3:9" x14ac:dyDescent="0.3">
      <c r="C268" s="78" t="s">
        <v>229</v>
      </c>
      <c r="D268" s="78"/>
      <c r="E268" s="81" t="s">
        <v>229</v>
      </c>
      <c r="F268" s="74" t="s">
        <v>229</v>
      </c>
      <c r="G268" s="75" t="s">
        <v>229</v>
      </c>
      <c r="H268" s="75" t="s">
        <v>229</v>
      </c>
      <c r="I268" s="75" t="s">
        <v>229</v>
      </c>
    </row>
    <row r="269" spans="3:9" x14ac:dyDescent="0.3">
      <c r="C269" s="78" t="s">
        <v>229</v>
      </c>
      <c r="D269" s="78"/>
      <c r="E269" s="81" t="s">
        <v>229</v>
      </c>
      <c r="F269" s="74" t="s">
        <v>229</v>
      </c>
      <c r="G269" s="75" t="s">
        <v>229</v>
      </c>
      <c r="H269" s="75" t="s">
        <v>229</v>
      </c>
      <c r="I269" s="75" t="s">
        <v>229</v>
      </c>
    </row>
    <row r="270" spans="3:9" x14ac:dyDescent="0.3">
      <c r="C270" s="78" t="s">
        <v>229</v>
      </c>
      <c r="D270" s="78"/>
      <c r="E270" s="81" t="s">
        <v>229</v>
      </c>
      <c r="F270" s="74" t="s">
        <v>229</v>
      </c>
      <c r="G270" s="75" t="s">
        <v>229</v>
      </c>
      <c r="H270" s="75" t="s">
        <v>229</v>
      </c>
      <c r="I270" s="75" t="s">
        <v>229</v>
      </c>
    </row>
    <row r="271" spans="3:9" x14ac:dyDescent="0.3">
      <c r="C271" s="78" t="s">
        <v>229</v>
      </c>
      <c r="D271" s="78"/>
      <c r="E271" s="81" t="s">
        <v>229</v>
      </c>
      <c r="F271" s="74" t="s">
        <v>229</v>
      </c>
      <c r="G271" s="75" t="s">
        <v>229</v>
      </c>
      <c r="H271" s="75" t="s">
        <v>229</v>
      </c>
      <c r="I271" s="75" t="s">
        <v>229</v>
      </c>
    </row>
    <row r="272" spans="3:9" x14ac:dyDescent="0.3">
      <c r="C272" s="78" t="s">
        <v>229</v>
      </c>
      <c r="D272" s="78"/>
      <c r="E272" s="81" t="s">
        <v>229</v>
      </c>
      <c r="F272" s="74" t="s">
        <v>229</v>
      </c>
      <c r="G272" s="75" t="s">
        <v>229</v>
      </c>
      <c r="H272" s="75" t="s">
        <v>229</v>
      </c>
      <c r="I272" s="75" t="s">
        <v>229</v>
      </c>
    </row>
    <row r="273" spans="3:9" x14ac:dyDescent="0.3">
      <c r="C273" s="78" t="s">
        <v>229</v>
      </c>
      <c r="D273" s="78"/>
      <c r="E273" s="81" t="s">
        <v>229</v>
      </c>
      <c r="F273" s="74" t="s">
        <v>229</v>
      </c>
      <c r="G273" s="75" t="s">
        <v>229</v>
      </c>
      <c r="H273" s="75" t="s">
        <v>229</v>
      </c>
      <c r="I273" s="75" t="s">
        <v>229</v>
      </c>
    </row>
    <row r="274" spans="3:9" x14ac:dyDescent="0.3">
      <c r="C274" s="78" t="s">
        <v>229</v>
      </c>
      <c r="D274" s="78"/>
      <c r="E274" s="81" t="s">
        <v>229</v>
      </c>
      <c r="F274" s="74" t="s">
        <v>229</v>
      </c>
      <c r="G274" s="75" t="s">
        <v>229</v>
      </c>
      <c r="H274" s="75" t="s">
        <v>229</v>
      </c>
      <c r="I274" s="75" t="s">
        <v>229</v>
      </c>
    </row>
    <row r="275" spans="3:9" x14ac:dyDescent="0.3">
      <c r="C275" s="78" t="s">
        <v>229</v>
      </c>
      <c r="D275" s="78"/>
      <c r="E275" s="81" t="s">
        <v>229</v>
      </c>
      <c r="F275" s="74" t="s">
        <v>229</v>
      </c>
      <c r="G275" s="75" t="s">
        <v>229</v>
      </c>
      <c r="H275" s="75" t="s">
        <v>229</v>
      </c>
      <c r="I275" s="75" t="s">
        <v>229</v>
      </c>
    </row>
    <row r="276" spans="3:9" x14ac:dyDescent="0.3">
      <c r="C276" s="78" t="s">
        <v>229</v>
      </c>
      <c r="D276" s="78"/>
      <c r="E276" s="81" t="s">
        <v>229</v>
      </c>
      <c r="F276" s="74" t="s">
        <v>229</v>
      </c>
      <c r="G276" s="75" t="s">
        <v>229</v>
      </c>
      <c r="H276" s="75" t="s">
        <v>229</v>
      </c>
      <c r="I276" s="75" t="s">
        <v>229</v>
      </c>
    </row>
    <row r="277" spans="3:9" x14ac:dyDescent="0.3">
      <c r="C277" s="78" t="s">
        <v>229</v>
      </c>
      <c r="D277" s="78"/>
      <c r="E277" s="81" t="s">
        <v>229</v>
      </c>
      <c r="F277" s="74" t="s">
        <v>229</v>
      </c>
      <c r="G277" s="75" t="s">
        <v>229</v>
      </c>
      <c r="H277" s="75" t="s">
        <v>229</v>
      </c>
      <c r="I277" s="75" t="s">
        <v>229</v>
      </c>
    </row>
    <row r="278" spans="3:9" x14ac:dyDescent="0.3">
      <c r="C278" s="78" t="s">
        <v>229</v>
      </c>
      <c r="D278" s="78"/>
      <c r="E278" s="81" t="s">
        <v>229</v>
      </c>
      <c r="F278" s="74" t="s">
        <v>229</v>
      </c>
      <c r="G278" s="75" t="s">
        <v>229</v>
      </c>
      <c r="H278" s="75" t="s">
        <v>229</v>
      </c>
      <c r="I278" s="75" t="s">
        <v>229</v>
      </c>
    </row>
    <row r="279" spans="3:9" x14ac:dyDescent="0.3">
      <c r="C279" s="78" t="s">
        <v>229</v>
      </c>
      <c r="D279" s="78"/>
      <c r="E279" s="81" t="s">
        <v>229</v>
      </c>
      <c r="F279" s="74" t="s">
        <v>229</v>
      </c>
      <c r="G279" s="75" t="s">
        <v>229</v>
      </c>
      <c r="H279" s="75" t="s">
        <v>229</v>
      </c>
      <c r="I279" s="75" t="s">
        <v>229</v>
      </c>
    </row>
    <row r="280" spans="3:9" x14ac:dyDescent="0.3">
      <c r="C280" s="78" t="s">
        <v>229</v>
      </c>
      <c r="D280" s="78"/>
      <c r="E280" s="81" t="s">
        <v>229</v>
      </c>
      <c r="F280" s="74" t="s">
        <v>229</v>
      </c>
      <c r="G280" s="75" t="s">
        <v>229</v>
      </c>
      <c r="H280" s="75" t="s">
        <v>229</v>
      </c>
      <c r="I280" s="75" t="s">
        <v>229</v>
      </c>
    </row>
    <row r="281" spans="3:9" x14ac:dyDescent="0.3">
      <c r="C281" s="78" t="s">
        <v>229</v>
      </c>
      <c r="D281" s="78"/>
      <c r="E281" s="81" t="s">
        <v>229</v>
      </c>
      <c r="F281" s="74" t="s">
        <v>229</v>
      </c>
      <c r="G281" s="75" t="s">
        <v>229</v>
      </c>
      <c r="H281" s="75" t="s">
        <v>229</v>
      </c>
      <c r="I281" s="75" t="s">
        <v>229</v>
      </c>
    </row>
    <row r="282" spans="3:9" x14ac:dyDescent="0.3">
      <c r="C282" s="78" t="s">
        <v>229</v>
      </c>
      <c r="D282" s="78"/>
      <c r="E282" s="81" t="s">
        <v>229</v>
      </c>
      <c r="F282" s="74" t="s">
        <v>229</v>
      </c>
      <c r="G282" s="75" t="s">
        <v>229</v>
      </c>
      <c r="H282" s="75" t="s">
        <v>229</v>
      </c>
      <c r="I282" s="75" t="s">
        <v>229</v>
      </c>
    </row>
    <row r="283" spans="3:9" x14ac:dyDescent="0.3">
      <c r="C283" s="78" t="s">
        <v>229</v>
      </c>
      <c r="D283" s="78"/>
      <c r="E283" s="81" t="s">
        <v>229</v>
      </c>
      <c r="F283" s="74" t="s">
        <v>229</v>
      </c>
      <c r="G283" s="75" t="s">
        <v>229</v>
      </c>
      <c r="H283" s="75" t="s">
        <v>229</v>
      </c>
      <c r="I283" s="75" t="s">
        <v>229</v>
      </c>
    </row>
    <row r="284" spans="3:9" x14ac:dyDescent="0.3">
      <c r="C284" s="78" t="s">
        <v>229</v>
      </c>
      <c r="D284" s="78"/>
      <c r="E284" s="81" t="s">
        <v>229</v>
      </c>
      <c r="F284" s="74" t="s">
        <v>229</v>
      </c>
      <c r="G284" s="75" t="s">
        <v>229</v>
      </c>
      <c r="H284" s="75" t="s">
        <v>229</v>
      </c>
      <c r="I284" s="75" t="s">
        <v>229</v>
      </c>
    </row>
    <row r="285" spans="3:9" x14ac:dyDescent="0.3">
      <c r="C285" s="78" t="s">
        <v>229</v>
      </c>
      <c r="D285" s="78"/>
      <c r="E285" s="81" t="s">
        <v>229</v>
      </c>
      <c r="F285" s="74" t="s">
        <v>229</v>
      </c>
      <c r="G285" s="75" t="s">
        <v>229</v>
      </c>
      <c r="H285" s="75" t="s">
        <v>229</v>
      </c>
      <c r="I285" s="75" t="s">
        <v>229</v>
      </c>
    </row>
    <row r="286" spans="3:9" x14ac:dyDescent="0.3">
      <c r="C286" s="78" t="s">
        <v>229</v>
      </c>
      <c r="D286" s="78"/>
      <c r="E286" s="81" t="s">
        <v>229</v>
      </c>
      <c r="F286" s="74" t="s">
        <v>229</v>
      </c>
      <c r="G286" s="75" t="s">
        <v>229</v>
      </c>
      <c r="H286" s="75" t="s">
        <v>229</v>
      </c>
      <c r="I286" s="75" t="s">
        <v>229</v>
      </c>
    </row>
    <row r="287" spans="3:9" x14ac:dyDescent="0.3">
      <c r="C287" s="78" t="s">
        <v>229</v>
      </c>
      <c r="D287" s="78"/>
      <c r="E287" s="81" t="s">
        <v>229</v>
      </c>
      <c r="F287" s="74" t="s">
        <v>229</v>
      </c>
      <c r="G287" s="75" t="s">
        <v>229</v>
      </c>
      <c r="H287" s="75" t="s">
        <v>229</v>
      </c>
      <c r="I287" s="75" t="s">
        <v>229</v>
      </c>
    </row>
    <row r="288" spans="3:9" x14ac:dyDescent="0.3">
      <c r="C288" s="78" t="s">
        <v>229</v>
      </c>
      <c r="D288" s="78"/>
      <c r="E288" s="81" t="s">
        <v>229</v>
      </c>
      <c r="F288" s="74" t="s">
        <v>229</v>
      </c>
      <c r="G288" s="75" t="s">
        <v>229</v>
      </c>
      <c r="H288" s="75" t="s">
        <v>229</v>
      </c>
      <c r="I288" s="75" t="s">
        <v>229</v>
      </c>
    </row>
    <row r="289" spans="3:9" x14ac:dyDescent="0.3">
      <c r="C289" s="78" t="s">
        <v>229</v>
      </c>
      <c r="D289" s="78"/>
      <c r="E289" s="81" t="s">
        <v>229</v>
      </c>
      <c r="F289" s="74" t="s">
        <v>229</v>
      </c>
      <c r="G289" s="75" t="s">
        <v>229</v>
      </c>
      <c r="H289" s="75" t="s">
        <v>229</v>
      </c>
      <c r="I289" s="75" t="s">
        <v>229</v>
      </c>
    </row>
    <row r="290" spans="3:9" x14ac:dyDescent="0.3">
      <c r="C290" s="78" t="s">
        <v>229</v>
      </c>
      <c r="D290" s="78"/>
      <c r="E290" s="81" t="s">
        <v>229</v>
      </c>
      <c r="F290" s="74" t="s">
        <v>229</v>
      </c>
      <c r="G290" s="75" t="s">
        <v>229</v>
      </c>
      <c r="H290" s="75" t="s">
        <v>229</v>
      </c>
      <c r="I290" s="75" t="s">
        <v>229</v>
      </c>
    </row>
    <row r="291" spans="3:9" x14ac:dyDescent="0.3">
      <c r="C291" s="78" t="s">
        <v>229</v>
      </c>
      <c r="D291" s="78"/>
      <c r="E291" s="81" t="s">
        <v>229</v>
      </c>
      <c r="F291" s="74" t="s">
        <v>229</v>
      </c>
      <c r="G291" s="75" t="s">
        <v>229</v>
      </c>
      <c r="H291" s="75" t="s">
        <v>229</v>
      </c>
      <c r="I291" s="75" t="s">
        <v>229</v>
      </c>
    </row>
    <row r="292" spans="3:9" x14ac:dyDescent="0.3">
      <c r="C292" s="78" t="s">
        <v>229</v>
      </c>
      <c r="D292" s="78"/>
      <c r="E292" s="81" t="s">
        <v>229</v>
      </c>
      <c r="F292" s="74" t="s">
        <v>229</v>
      </c>
      <c r="G292" s="75" t="s">
        <v>229</v>
      </c>
      <c r="H292" s="75" t="s">
        <v>229</v>
      </c>
      <c r="I292" s="75" t="s">
        <v>229</v>
      </c>
    </row>
    <row r="293" spans="3:9" x14ac:dyDescent="0.3">
      <c r="C293" s="78" t="s">
        <v>229</v>
      </c>
      <c r="D293" s="78"/>
      <c r="E293" s="81" t="s">
        <v>229</v>
      </c>
      <c r="F293" s="74" t="s">
        <v>229</v>
      </c>
      <c r="G293" s="75" t="s">
        <v>229</v>
      </c>
      <c r="H293" s="75" t="s">
        <v>229</v>
      </c>
      <c r="I293" s="75" t="s">
        <v>229</v>
      </c>
    </row>
    <row r="294" spans="3:9" x14ac:dyDescent="0.3">
      <c r="C294" s="78" t="s">
        <v>229</v>
      </c>
      <c r="D294" s="78"/>
      <c r="E294" s="81" t="s">
        <v>229</v>
      </c>
      <c r="F294" s="74" t="s">
        <v>229</v>
      </c>
      <c r="G294" s="75" t="s">
        <v>229</v>
      </c>
      <c r="H294" s="75" t="s">
        <v>229</v>
      </c>
      <c r="I294" s="75" t="s">
        <v>229</v>
      </c>
    </row>
    <row r="295" spans="3:9" x14ac:dyDescent="0.3">
      <c r="C295" s="78" t="s">
        <v>229</v>
      </c>
      <c r="D295" s="78"/>
      <c r="E295" s="81" t="s">
        <v>229</v>
      </c>
      <c r="F295" s="74" t="s">
        <v>229</v>
      </c>
      <c r="G295" s="75" t="s">
        <v>229</v>
      </c>
      <c r="H295" s="75" t="s">
        <v>229</v>
      </c>
      <c r="I295" s="75" t="s">
        <v>229</v>
      </c>
    </row>
    <row r="296" spans="3:9" x14ac:dyDescent="0.3">
      <c r="C296" s="78" t="s">
        <v>229</v>
      </c>
      <c r="D296" s="78"/>
      <c r="E296" s="81" t="s">
        <v>229</v>
      </c>
      <c r="F296" s="74" t="s">
        <v>229</v>
      </c>
      <c r="G296" s="75" t="s">
        <v>229</v>
      </c>
      <c r="H296" s="75" t="s">
        <v>229</v>
      </c>
      <c r="I296" s="75" t="s">
        <v>229</v>
      </c>
    </row>
    <row r="297" spans="3:9" x14ac:dyDescent="0.3">
      <c r="C297" s="78" t="s">
        <v>229</v>
      </c>
      <c r="D297" s="78"/>
      <c r="E297" s="81" t="s">
        <v>229</v>
      </c>
      <c r="F297" s="74" t="s">
        <v>229</v>
      </c>
      <c r="G297" s="75" t="s">
        <v>229</v>
      </c>
      <c r="H297" s="75" t="s">
        <v>229</v>
      </c>
      <c r="I297" s="75" t="s">
        <v>229</v>
      </c>
    </row>
    <row r="298" spans="3:9" x14ac:dyDescent="0.3">
      <c r="C298" s="78" t="s">
        <v>229</v>
      </c>
      <c r="D298" s="78"/>
      <c r="E298" s="81" t="s">
        <v>229</v>
      </c>
      <c r="F298" s="74" t="s">
        <v>229</v>
      </c>
      <c r="G298" s="75" t="s">
        <v>229</v>
      </c>
      <c r="H298" s="75" t="s">
        <v>229</v>
      </c>
      <c r="I298" s="75" t="s">
        <v>229</v>
      </c>
    </row>
    <row r="299" spans="3:9" x14ac:dyDescent="0.3">
      <c r="C299" s="78" t="s">
        <v>229</v>
      </c>
      <c r="D299" s="78"/>
      <c r="E299" s="81" t="s">
        <v>229</v>
      </c>
      <c r="F299" s="74" t="s">
        <v>229</v>
      </c>
      <c r="G299" s="75" t="s">
        <v>229</v>
      </c>
      <c r="H299" s="75" t="s">
        <v>229</v>
      </c>
      <c r="I299" s="75" t="s">
        <v>229</v>
      </c>
    </row>
    <row r="300" spans="3:9" x14ac:dyDescent="0.3">
      <c r="C300" s="78" t="s">
        <v>229</v>
      </c>
      <c r="D300" s="78"/>
      <c r="E300" s="81" t="s">
        <v>229</v>
      </c>
      <c r="F300" s="74" t="s">
        <v>229</v>
      </c>
      <c r="G300" s="75" t="s">
        <v>229</v>
      </c>
      <c r="H300" s="75" t="s">
        <v>229</v>
      </c>
      <c r="I300" s="75" t="s">
        <v>229</v>
      </c>
    </row>
    <row r="301" spans="3:9" x14ac:dyDescent="0.3">
      <c r="C301" s="78" t="s">
        <v>229</v>
      </c>
      <c r="D301" s="78"/>
      <c r="E301" s="81" t="s">
        <v>229</v>
      </c>
      <c r="F301" s="74" t="s">
        <v>229</v>
      </c>
      <c r="G301" s="75" t="s">
        <v>229</v>
      </c>
      <c r="H301" s="75" t="s">
        <v>229</v>
      </c>
      <c r="I301" s="75" t="s">
        <v>229</v>
      </c>
    </row>
    <row r="302" spans="3:9" x14ac:dyDescent="0.3">
      <c r="C302" s="78" t="s">
        <v>229</v>
      </c>
      <c r="D302" s="78"/>
      <c r="E302" s="81" t="s">
        <v>229</v>
      </c>
      <c r="F302" s="74" t="s">
        <v>229</v>
      </c>
      <c r="G302" s="75" t="s">
        <v>229</v>
      </c>
      <c r="H302" s="75" t="s">
        <v>229</v>
      </c>
      <c r="I302" s="75" t="s">
        <v>229</v>
      </c>
    </row>
    <row r="303" spans="3:9" x14ac:dyDescent="0.3">
      <c r="C303" s="78" t="s">
        <v>229</v>
      </c>
      <c r="D303" s="78"/>
      <c r="E303" s="81" t="s">
        <v>229</v>
      </c>
      <c r="F303" s="74" t="s">
        <v>229</v>
      </c>
      <c r="G303" s="75" t="s">
        <v>229</v>
      </c>
      <c r="H303" s="75" t="s">
        <v>229</v>
      </c>
      <c r="I303" s="75" t="s">
        <v>229</v>
      </c>
    </row>
    <row r="304" spans="3:9" x14ac:dyDescent="0.3">
      <c r="C304" s="78" t="s">
        <v>229</v>
      </c>
      <c r="D304" s="78"/>
      <c r="E304" s="81" t="s">
        <v>229</v>
      </c>
      <c r="F304" s="74" t="s">
        <v>229</v>
      </c>
      <c r="G304" s="75" t="s">
        <v>229</v>
      </c>
      <c r="H304" s="75" t="s">
        <v>229</v>
      </c>
      <c r="I304" s="75" t="s">
        <v>229</v>
      </c>
    </row>
    <row r="305" spans="3:9" x14ac:dyDescent="0.3">
      <c r="C305" s="78" t="s">
        <v>229</v>
      </c>
      <c r="D305" s="78"/>
      <c r="E305" s="81" t="s">
        <v>229</v>
      </c>
      <c r="F305" s="74" t="s">
        <v>229</v>
      </c>
      <c r="G305" s="75" t="s">
        <v>229</v>
      </c>
      <c r="H305" s="75" t="s">
        <v>229</v>
      </c>
      <c r="I305" s="75" t="s">
        <v>229</v>
      </c>
    </row>
    <row r="306" spans="3:9" x14ac:dyDescent="0.3">
      <c r="C306" s="78" t="s">
        <v>229</v>
      </c>
      <c r="D306" s="78"/>
      <c r="E306" s="81" t="s">
        <v>229</v>
      </c>
      <c r="F306" s="74" t="s">
        <v>229</v>
      </c>
      <c r="G306" s="75" t="s">
        <v>229</v>
      </c>
      <c r="H306" s="75" t="s">
        <v>229</v>
      </c>
      <c r="I306" s="75" t="s">
        <v>229</v>
      </c>
    </row>
    <row r="307" spans="3:9" x14ac:dyDescent="0.3">
      <c r="C307" s="78" t="s">
        <v>229</v>
      </c>
      <c r="D307" s="78"/>
      <c r="E307" s="81" t="s">
        <v>229</v>
      </c>
      <c r="F307" s="74" t="s">
        <v>229</v>
      </c>
      <c r="G307" s="75" t="s">
        <v>229</v>
      </c>
      <c r="H307" s="75" t="s">
        <v>229</v>
      </c>
      <c r="I307" s="75" t="s">
        <v>229</v>
      </c>
    </row>
    <row r="308" spans="3:9" x14ac:dyDescent="0.3">
      <c r="C308" s="78" t="s">
        <v>229</v>
      </c>
      <c r="D308" s="78"/>
      <c r="E308" s="81" t="s">
        <v>229</v>
      </c>
      <c r="F308" s="74" t="s">
        <v>229</v>
      </c>
      <c r="G308" s="75" t="s">
        <v>229</v>
      </c>
      <c r="H308" s="75" t="s">
        <v>229</v>
      </c>
      <c r="I308" s="75" t="s">
        <v>229</v>
      </c>
    </row>
    <row r="309" spans="3:9" x14ac:dyDescent="0.3">
      <c r="C309" s="78" t="s">
        <v>229</v>
      </c>
      <c r="D309" s="78"/>
      <c r="E309" s="81" t="s">
        <v>229</v>
      </c>
      <c r="F309" s="74" t="s">
        <v>229</v>
      </c>
      <c r="G309" s="75" t="s">
        <v>229</v>
      </c>
      <c r="H309" s="75" t="s">
        <v>229</v>
      </c>
      <c r="I309" s="75" t="s">
        <v>229</v>
      </c>
    </row>
    <row r="310" spans="3:9" x14ac:dyDescent="0.3">
      <c r="C310" s="78" t="s">
        <v>229</v>
      </c>
      <c r="D310" s="78"/>
      <c r="E310" s="81" t="s">
        <v>229</v>
      </c>
      <c r="F310" s="74" t="s">
        <v>229</v>
      </c>
      <c r="G310" s="75" t="s">
        <v>229</v>
      </c>
      <c r="H310" s="75" t="s">
        <v>229</v>
      </c>
      <c r="I310" s="75" t="s">
        <v>229</v>
      </c>
    </row>
    <row r="311" spans="3:9" x14ac:dyDescent="0.3">
      <c r="C311" s="78" t="s">
        <v>229</v>
      </c>
      <c r="D311" s="78"/>
      <c r="E311" s="81" t="s">
        <v>229</v>
      </c>
      <c r="F311" s="74" t="s">
        <v>229</v>
      </c>
      <c r="G311" s="75" t="s">
        <v>229</v>
      </c>
      <c r="H311" s="75" t="s">
        <v>229</v>
      </c>
      <c r="I311" s="75" t="s">
        <v>229</v>
      </c>
    </row>
    <row r="312" spans="3:9" x14ac:dyDescent="0.3">
      <c r="C312" s="78" t="s">
        <v>229</v>
      </c>
      <c r="D312" s="78"/>
      <c r="E312" s="81" t="s">
        <v>229</v>
      </c>
      <c r="F312" s="74" t="s">
        <v>229</v>
      </c>
      <c r="G312" s="75" t="s">
        <v>229</v>
      </c>
      <c r="H312" s="75" t="s">
        <v>229</v>
      </c>
      <c r="I312" s="75" t="s">
        <v>229</v>
      </c>
    </row>
    <row r="313" spans="3:9" x14ac:dyDescent="0.3">
      <c r="C313" s="78" t="s">
        <v>229</v>
      </c>
      <c r="D313" s="78"/>
      <c r="E313" s="81" t="s">
        <v>229</v>
      </c>
      <c r="F313" s="74" t="s">
        <v>229</v>
      </c>
      <c r="G313" s="75" t="s">
        <v>229</v>
      </c>
      <c r="H313" s="75" t="s">
        <v>229</v>
      </c>
      <c r="I313" s="75" t="s">
        <v>229</v>
      </c>
    </row>
    <row r="314" spans="3:9" x14ac:dyDescent="0.3">
      <c r="C314" s="78" t="s">
        <v>229</v>
      </c>
      <c r="D314" s="78"/>
      <c r="E314" s="81" t="s">
        <v>229</v>
      </c>
      <c r="F314" s="74" t="s">
        <v>229</v>
      </c>
      <c r="G314" s="75" t="s">
        <v>229</v>
      </c>
      <c r="H314" s="75" t="s">
        <v>229</v>
      </c>
      <c r="I314" s="75" t="s">
        <v>229</v>
      </c>
    </row>
    <row r="315" spans="3:9" x14ac:dyDescent="0.3">
      <c r="C315" s="78" t="s">
        <v>229</v>
      </c>
      <c r="D315" s="78"/>
      <c r="E315" s="81" t="s">
        <v>229</v>
      </c>
      <c r="F315" s="74" t="s">
        <v>229</v>
      </c>
      <c r="G315" s="75" t="s">
        <v>229</v>
      </c>
      <c r="H315" s="75" t="s">
        <v>229</v>
      </c>
      <c r="I315" s="75" t="s">
        <v>229</v>
      </c>
    </row>
    <row r="316" spans="3:9" x14ac:dyDescent="0.3">
      <c r="D316" s="81"/>
      <c r="E316" s="81"/>
    </row>
    <row r="317" spans="3:9" x14ac:dyDescent="0.3">
      <c r="D317" s="81"/>
      <c r="E317" s="81"/>
    </row>
    <row r="318" spans="3:9" x14ac:dyDescent="0.3">
      <c r="D318" s="81"/>
      <c r="E318" s="81"/>
    </row>
    <row r="319" spans="3:9" x14ac:dyDescent="0.3">
      <c r="D319" s="81"/>
      <c r="E319" s="81"/>
    </row>
    <row r="320" spans="3:9" x14ac:dyDescent="0.3">
      <c r="D320" s="81"/>
      <c r="E320" s="81"/>
    </row>
    <row r="321" spans="4:5" x14ac:dyDescent="0.3">
      <c r="D321" s="81"/>
      <c r="E321" s="81"/>
    </row>
    <row r="322" spans="4:5" x14ac:dyDescent="0.3">
      <c r="D322" s="81"/>
      <c r="E322" s="81"/>
    </row>
    <row r="323" spans="4:5" x14ac:dyDescent="0.3">
      <c r="D323" s="81"/>
      <c r="E323" s="81"/>
    </row>
    <row r="324" spans="4:5" x14ac:dyDescent="0.3">
      <c r="D324" s="81"/>
      <c r="E324" s="81"/>
    </row>
    <row r="325" spans="4:5" x14ac:dyDescent="0.3">
      <c r="D325" s="81"/>
      <c r="E325" s="81"/>
    </row>
    <row r="326" spans="4:5" x14ac:dyDescent="0.3">
      <c r="D326" s="81"/>
      <c r="E326" s="81"/>
    </row>
    <row r="327" spans="4:5" x14ac:dyDescent="0.3">
      <c r="D327" s="81"/>
      <c r="E327" s="81"/>
    </row>
    <row r="328" spans="4:5" x14ac:dyDescent="0.3">
      <c r="D328" s="81"/>
      <c r="E328" s="81"/>
    </row>
    <row r="329" spans="4:5" x14ac:dyDescent="0.3">
      <c r="D329" s="81"/>
      <c r="E329" s="81"/>
    </row>
    <row r="330" spans="4:5" x14ac:dyDescent="0.3">
      <c r="D330" s="81"/>
      <c r="E330" s="81"/>
    </row>
    <row r="331" spans="4:5" x14ac:dyDescent="0.3">
      <c r="D331" s="81"/>
      <c r="E331" s="81"/>
    </row>
    <row r="332" spans="4:5" x14ac:dyDescent="0.3">
      <c r="D332" s="81"/>
      <c r="E332" s="81"/>
    </row>
    <row r="333" spans="4:5" x14ac:dyDescent="0.3">
      <c r="D333" s="81"/>
      <c r="E333" s="81"/>
    </row>
    <row r="334" spans="4:5" x14ac:dyDescent="0.3">
      <c r="D334" s="81"/>
      <c r="E334" s="81"/>
    </row>
    <row r="335" spans="4:5" x14ac:dyDescent="0.3">
      <c r="D335" s="81"/>
      <c r="E335" s="81"/>
    </row>
    <row r="336" spans="4:5" x14ac:dyDescent="0.3">
      <c r="D336" s="81"/>
      <c r="E336" s="81"/>
    </row>
    <row r="337" spans="4:5" x14ac:dyDescent="0.3">
      <c r="D337" s="81"/>
      <c r="E337" s="81"/>
    </row>
    <row r="338" spans="4:5" x14ac:dyDescent="0.3">
      <c r="D338" s="81"/>
      <c r="E338" s="81"/>
    </row>
    <row r="339" spans="4:5" x14ac:dyDescent="0.3">
      <c r="D339" s="81"/>
      <c r="E339" s="81"/>
    </row>
    <row r="340" spans="4:5" x14ac:dyDescent="0.3">
      <c r="D340" s="81"/>
      <c r="E340" s="81"/>
    </row>
    <row r="341" spans="4:5" x14ac:dyDescent="0.3">
      <c r="D341" s="81"/>
      <c r="E341" s="81"/>
    </row>
    <row r="342" spans="4:5" x14ac:dyDescent="0.3">
      <c r="D342" s="81"/>
      <c r="E342" s="81"/>
    </row>
    <row r="343" spans="4:5" x14ac:dyDescent="0.3">
      <c r="D343" s="81"/>
      <c r="E343" s="81"/>
    </row>
    <row r="344" spans="4:5" x14ac:dyDescent="0.3">
      <c r="D344" s="81"/>
      <c r="E344" s="81"/>
    </row>
    <row r="345" spans="4:5" x14ac:dyDescent="0.3">
      <c r="D345" s="81"/>
      <c r="E345" s="81"/>
    </row>
    <row r="346" spans="4:5" x14ac:dyDescent="0.3">
      <c r="D346" s="81"/>
      <c r="E346" s="81"/>
    </row>
    <row r="347" spans="4:5" x14ac:dyDescent="0.3">
      <c r="D347" s="81"/>
      <c r="E347" s="81"/>
    </row>
    <row r="348" spans="4:5" x14ac:dyDescent="0.3">
      <c r="D348" s="81"/>
      <c r="E348" s="81"/>
    </row>
    <row r="349" spans="4:5" x14ac:dyDescent="0.3">
      <c r="D349" s="81"/>
      <c r="E349" s="81"/>
    </row>
    <row r="350" spans="4:5" x14ac:dyDescent="0.3">
      <c r="D350" s="81"/>
      <c r="E350" s="81"/>
    </row>
    <row r="351" spans="4:5" x14ac:dyDescent="0.3">
      <c r="D351" s="81"/>
      <c r="E351" s="81"/>
    </row>
    <row r="352" spans="4:5" x14ac:dyDescent="0.3">
      <c r="D352" s="81"/>
      <c r="E352" s="81"/>
    </row>
    <row r="353" spans="4:5" x14ac:dyDescent="0.3">
      <c r="D353" s="81"/>
      <c r="E353" s="81"/>
    </row>
    <row r="354" spans="4:5" x14ac:dyDescent="0.3">
      <c r="D354" s="81"/>
      <c r="E354" s="81"/>
    </row>
    <row r="355" spans="4:5" x14ac:dyDescent="0.3">
      <c r="D355" s="81"/>
      <c r="E355" s="81"/>
    </row>
    <row r="356" spans="4:5" x14ac:dyDescent="0.3">
      <c r="D356" s="81"/>
      <c r="E356" s="81"/>
    </row>
    <row r="357" spans="4:5" x14ac:dyDescent="0.3">
      <c r="D357" s="81"/>
      <c r="E357" s="81"/>
    </row>
    <row r="358" spans="4:5" x14ac:dyDescent="0.3">
      <c r="D358" s="81"/>
      <c r="E358" s="81"/>
    </row>
    <row r="359" spans="4:5" x14ac:dyDescent="0.3">
      <c r="D359" s="81"/>
      <c r="E359" s="81"/>
    </row>
    <row r="360" spans="4:5" x14ac:dyDescent="0.3">
      <c r="D360" s="81"/>
      <c r="E360" s="81"/>
    </row>
    <row r="361" spans="4:5" x14ac:dyDescent="0.3">
      <c r="D361" s="81"/>
      <c r="E361" s="81"/>
    </row>
    <row r="362" spans="4:5" x14ac:dyDescent="0.3">
      <c r="D362" s="81"/>
      <c r="E362" s="81"/>
    </row>
    <row r="363" spans="4:5" x14ac:dyDescent="0.3">
      <c r="D363" s="81"/>
      <c r="E363" s="81"/>
    </row>
    <row r="364" spans="4:5" x14ac:dyDescent="0.3">
      <c r="D364" s="81"/>
      <c r="E364" s="81"/>
    </row>
    <row r="365" spans="4:5" x14ac:dyDescent="0.3">
      <c r="D365" s="81"/>
      <c r="E365" s="81"/>
    </row>
    <row r="366" spans="4:5" x14ac:dyDescent="0.3">
      <c r="D366" s="81"/>
      <c r="E366" s="81"/>
    </row>
    <row r="367" spans="4:5" x14ac:dyDescent="0.3">
      <c r="D367" s="81"/>
      <c r="E367" s="81"/>
    </row>
    <row r="368" spans="4:5" x14ac:dyDescent="0.3">
      <c r="D368" s="81"/>
      <c r="E368" s="81"/>
    </row>
    <row r="369" spans="4:5" x14ac:dyDescent="0.3">
      <c r="D369" s="81"/>
      <c r="E369" s="81"/>
    </row>
    <row r="370" spans="4:5" x14ac:dyDescent="0.3">
      <c r="D370" s="81"/>
      <c r="E370" s="81"/>
    </row>
    <row r="371" spans="4:5" x14ac:dyDescent="0.3">
      <c r="D371" s="81"/>
      <c r="E371" s="81"/>
    </row>
    <row r="372" spans="4:5" x14ac:dyDescent="0.3">
      <c r="D372" s="81"/>
      <c r="E372" s="81"/>
    </row>
    <row r="373" spans="4:5" x14ac:dyDescent="0.3">
      <c r="D373" s="81"/>
      <c r="E373" s="81"/>
    </row>
    <row r="374" spans="4:5" x14ac:dyDescent="0.3">
      <c r="D374" s="81"/>
      <c r="E374" s="81"/>
    </row>
    <row r="375" spans="4:5" x14ac:dyDescent="0.3">
      <c r="D375" s="81"/>
      <c r="E375" s="81"/>
    </row>
    <row r="376" spans="4:5" x14ac:dyDescent="0.3">
      <c r="D376" s="81"/>
      <c r="E376" s="81"/>
    </row>
    <row r="377" spans="4:5" x14ac:dyDescent="0.3">
      <c r="D377" s="81"/>
      <c r="E377" s="81"/>
    </row>
    <row r="378" spans="4:5" x14ac:dyDescent="0.3">
      <c r="D378" s="81"/>
      <c r="E378" s="81"/>
    </row>
    <row r="379" spans="4:5" x14ac:dyDescent="0.3">
      <c r="D379" s="81"/>
      <c r="E379" s="81"/>
    </row>
    <row r="380" spans="4:5" x14ac:dyDescent="0.3">
      <c r="D380" s="81"/>
      <c r="E380" s="81"/>
    </row>
    <row r="381" spans="4:5" x14ac:dyDescent="0.3">
      <c r="D381" s="81"/>
      <c r="E381" s="81"/>
    </row>
    <row r="382" spans="4:5" x14ac:dyDescent="0.3">
      <c r="D382" s="81"/>
      <c r="E382" s="81"/>
    </row>
    <row r="383" spans="4:5" x14ac:dyDescent="0.3">
      <c r="D383" s="81"/>
      <c r="E383" s="81"/>
    </row>
    <row r="384" spans="4:5" x14ac:dyDescent="0.3">
      <c r="D384" s="81"/>
      <c r="E384" s="81"/>
    </row>
    <row r="385" spans="4:5" x14ac:dyDescent="0.3">
      <c r="D385" s="81"/>
      <c r="E385" s="81"/>
    </row>
    <row r="386" spans="4:5" x14ac:dyDescent="0.3">
      <c r="D386" s="81"/>
      <c r="E386" s="81"/>
    </row>
    <row r="387" spans="4:5" x14ac:dyDescent="0.3">
      <c r="D387" s="81"/>
      <c r="E387" s="81"/>
    </row>
    <row r="388" spans="4:5" x14ac:dyDescent="0.3">
      <c r="D388" s="81"/>
      <c r="E388" s="81"/>
    </row>
    <row r="389" spans="4:5" x14ac:dyDescent="0.3">
      <c r="D389" s="81"/>
      <c r="E389" s="81"/>
    </row>
    <row r="390" spans="4:5" x14ac:dyDescent="0.3">
      <c r="D390" s="81"/>
      <c r="E390" s="81"/>
    </row>
    <row r="391" spans="4:5" x14ac:dyDescent="0.3">
      <c r="D391" s="81"/>
      <c r="E391" s="81"/>
    </row>
    <row r="392" spans="4:5" x14ac:dyDescent="0.3">
      <c r="D392" s="81"/>
      <c r="E392" s="81"/>
    </row>
    <row r="393" spans="4:5" x14ac:dyDescent="0.3">
      <c r="D393" s="81"/>
      <c r="E393" s="81"/>
    </row>
    <row r="394" spans="4:5" x14ac:dyDescent="0.3">
      <c r="D394" s="81"/>
      <c r="E394" s="81"/>
    </row>
    <row r="395" spans="4:5" x14ac:dyDescent="0.3">
      <c r="D395" s="81"/>
      <c r="E395" s="81"/>
    </row>
    <row r="396" spans="4:5" x14ac:dyDescent="0.3">
      <c r="D396" s="81"/>
      <c r="E396" s="81"/>
    </row>
    <row r="397" spans="4:5" x14ac:dyDescent="0.3">
      <c r="D397" s="81"/>
      <c r="E397" s="81"/>
    </row>
    <row r="398" spans="4:5" x14ac:dyDescent="0.3">
      <c r="D398" s="81"/>
      <c r="E398" s="81"/>
    </row>
  </sheetData>
  <dataValidations disablePrompts="1" count="3">
    <dataValidation type="list" allowBlank="1" showInputMessage="1" showErrorMessage="1" sqref="C6" xr:uid="{7A597BDE-0B0F-48E5-84C4-FF82B4FB7917}">
      <formula1>"CDI+,IPCA+,Pré"</formula1>
    </dataValidation>
    <dataValidation type="list" allowBlank="1" showInputMessage="1" showErrorMessage="1" sqref="C11" xr:uid="{D43F06A9-9DED-47E6-8974-BCE9199D9F72}">
      <formula1>"Mensal,Trimestral,Semestral,Anual"</formula1>
    </dataValidation>
    <dataValidation type="list" allowBlank="1" showInputMessage="1" showErrorMessage="1" sqref="C12" xr:uid="{B1B44F92-D8BB-4B98-A306-4049B0664A7E}">
      <formula1>"SAC,Price"</formula1>
    </dataValidation>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B4CF-03C0-4912-AD31-0C40392C0B4B}">
  <dimension ref="A2:M11"/>
  <sheetViews>
    <sheetView showGridLines="0" workbookViewId="0">
      <selection activeCell="D5" sqref="D5"/>
    </sheetView>
  </sheetViews>
  <sheetFormatPr defaultColWidth="9.109375" defaultRowHeight="13.8" x14ac:dyDescent="0.25"/>
  <cols>
    <col min="1" max="1" width="30.6640625" style="21" customWidth="1"/>
    <col min="2" max="2" width="16.6640625" style="50" customWidth="1"/>
    <col min="3" max="3" width="13.33203125" style="44" bestFit="1" customWidth="1"/>
    <col min="4" max="4" width="16.6640625" style="44" customWidth="1"/>
    <col min="5" max="13" width="9.109375" style="44"/>
    <col min="14" max="16384" width="9.109375" style="35"/>
  </cols>
  <sheetData>
    <row r="2" spans="1:4" x14ac:dyDescent="0.25">
      <c r="A2" s="36" t="s">
        <v>187</v>
      </c>
      <c r="B2" s="50">
        <v>70000</v>
      </c>
    </row>
    <row r="3" spans="1:4" x14ac:dyDescent="0.25">
      <c r="A3" s="36" t="s">
        <v>188</v>
      </c>
      <c r="B3" s="50">
        <v>500</v>
      </c>
    </row>
    <row r="4" spans="1:4" x14ac:dyDescent="0.25">
      <c r="A4" s="36" t="s">
        <v>189</v>
      </c>
      <c r="B4" s="50">
        <f>$C$4*6</f>
        <v>30000</v>
      </c>
      <c r="C4" s="86">
        <f>-Precificação!$B$10</f>
        <v>5000</v>
      </c>
    </row>
    <row r="5" spans="1:4" x14ac:dyDescent="0.25">
      <c r="A5" s="36" t="s">
        <v>228</v>
      </c>
      <c r="B5" s="50">
        <f>$C$5*$D$5</f>
        <v>139500</v>
      </c>
      <c r="C5" s="44">
        <f>SUM('Fluxo de Caixa'!$C$4:$AZ$4)</f>
        <v>45</v>
      </c>
      <c r="D5" s="87">
        <v>3100</v>
      </c>
    </row>
    <row r="6" spans="1:4" x14ac:dyDescent="0.25">
      <c r="A6" s="36" t="s">
        <v>190</v>
      </c>
      <c r="B6" s="50">
        <v>5000</v>
      </c>
    </row>
    <row r="7" spans="1:4" x14ac:dyDescent="0.25">
      <c r="A7" s="36" t="s">
        <v>191</v>
      </c>
      <c r="B7" s="50">
        <v>3000</v>
      </c>
    </row>
    <row r="8" spans="1:4" x14ac:dyDescent="0.25">
      <c r="A8" s="36" t="s">
        <v>192</v>
      </c>
      <c r="B8" s="50">
        <v>4000</v>
      </c>
    </row>
    <row r="9" spans="1:4" x14ac:dyDescent="0.25">
      <c r="A9" s="36" t="s">
        <v>193</v>
      </c>
      <c r="B9" s="50">
        <v>3000</v>
      </c>
    </row>
    <row r="10" spans="1:4" x14ac:dyDescent="0.25">
      <c r="A10" s="36" t="s">
        <v>231</v>
      </c>
      <c r="B10" s="50">
        <f>$C$10*6</f>
        <v>6000</v>
      </c>
      <c r="C10" s="86">
        <v>1000</v>
      </c>
    </row>
    <row r="11" spans="1:4" x14ac:dyDescent="0.25">
      <c r="A11" s="21" t="s">
        <v>194</v>
      </c>
      <c r="B11" s="68">
        <f>SUM(B2:B10)</f>
        <v>261000</v>
      </c>
    </row>
  </sheetData>
  <pageMargins left="0.511811024" right="0.511811024" top="0.78740157499999996" bottom="0.78740157499999996" header="0.31496062000000002" footer="0.31496062000000002"/>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9977-6DA7-4D79-8545-A8388CF8F749}">
  <dimension ref="A1:AM41"/>
  <sheetViews>
    <sheetView showGridLines="0" zoomScaleNormal="100" workbookViewId="0">
      <selection activeCell="B9" sqref="B9"/>
    </sheetView>
  </sheetViews>
  <sheetFormatPr defaultColWidth="9.109375" defaultRowHeight="13.8" outlineLevelCol="1" x14ac:dyDescent="0.25"/>
  <cols>
    <col min="1" max="1" width="35.6640625" style="37" customWidth="1"/>
    <col min="2" max="2" width="19.6640625" style="50" customWidth="1"/>
    <col min="3" max="4" width="19.6640625" style="44" customWidth="1"/>
    <col min="5" max="5" width="19.6640625" style="35" hidden="1" customWidth="1" outlineLevel="1"/>
    <col min="6" max="6" width="9.109375" style="35" collapsed="1"/>
    <col min="7" max="13" width="9.109375" style="35"/>
    <col min="14" max="14" width="10" style="35" bestFit="1" customWidth="1"/>
    <col min="15" max="35" width="9.109375" style="35"/>
    <col min="36" max="36" width="10.6640625" style="35" bestFit="1" customWidth="1"/>
    <col min="37" max="37" width="11.109375" style="35" bestFit="1" customWidth="1"/>
    <col min="38" max="16384" width="9.109375" style="35"/>
  </cols>
  <sheetData>
    <row r="1" spans="1:37" x14ac:dyDescent="0.25">
      <c r="A1" s="92"/>
      <c r="B1" s="92"/>
      <c r="C1" s="92"/>
      <c r="D1" s="92"/>
      <c r="E1" s="92"/>
    </row>
    <row r="2" spans="1:37" x14ac:dyDescent="0.25">
      <c r="A2" s="57" t="s">
        <v>153</v>
      </c>
      <c r="B2" s="45">
        <v>180</v>
      </c>
      <c r="C2" s="1" t="s">
        <v>184</v>
      </c>
      <c r="D2" s="50">
        <f ca="1">$B$5*B34</f>
        <v>33738.983570151773</v>
      </c>
    </row>
    <row r="3" spans="1:37" x14ac:dyDescent="0.25">
      <c r="A3" s="57" t="s">
        <v>107</v>
      </c>
      <c r="B3" s="39">
        <v>45840</v>
      </c>
      <c r="C3" s="85" t="s">
        <v>185</v>
      </c>
      <c r="D3" s="50">
        <f ca="1">$D$2+B32</f>
        <v>1606.6182652453208</v>
      </c>
      <c r="E3" s="85"/>
    </row>
    <row r="4" spans="1:37" x14ac:dyDescent="0.25">
      <c r="A4" s="57" t="s">
        <v>151</v>
      </c>
      <c r="B4" s="51">
        <f>3100/60</f>
        <v>51.666666666666664</v>
      </c>
      <c r="C4" s="1" t="s">
        <v>186</v>
      </c>
      <c r="D4" s="94">
        <f ca="1">$D$3/$D$2</f>
        <v>4.7619047619047568E-2</v>
      </c>
      <c r="E4" s="1"/>
    </row>
    <row r="5" spans="1:37" x14ac:dyDescent="0.25">
      <c r="A5" s="57" t="s">
        <v>155</v>
      </c>
      <c r="B5" s="50">
        <f>$B$2/$B$6</f>
        <v>720</v>
      </c>
      <c r="C5" s="1" t="s">
        <v>195</v>
      </c>
      <c r="D5" s="63">
        <f>($B$12-$B$10)+$B$17+$B$22</f>
        <v>-15773.8</v>
      </c>
      <c r="E5" s="56"/>
    </row>
    <row r="6" spans="1:37" x14ac:dyDescent="0.25">
      <c r="A6" s="57" t="s">
        <v>197</v>
      </c>
      <c r="B6" s="69">
        <v>0.25</v>
      </c>
      <c r="C6" s="93" t="s">
        <v>32</v>
      </c>
      <c r="D6" s="63">
        <f ca="1">$B$10+$B$24+$B$27+$B$28+$B$29</f>
        <v>-12012.728849910625</v>
      </c>
      <c r="E6" s="56"/>
    </row>
    <row r="7" spans="1:37" x14ac:dyDescent="0.25">
      <c r="E7" s="60"/>
    </row>
    <row r="8" spans="1:37" ht="15.6" x14ac:dyDescent="0.25">
      <c r="A8" s="59"/>
      <c r="B8" s="62" t="s">
        <v>149</v>
      </c>
      <c r="E8" s="62" t="s">
        <v>198</v>
      </c>
    </row>
    <row r="9" spans="1:37" x14ac:dyDescent="0.25">
      <c r="A9" s="37" t="s">
        <v>209</v>
      </c>
      <c r="B9" s="63">
        <f>-1000</f>
        <v>-1000</v>
      </c>
      <c r="E9" s="66">
        <f ca="1">-B9/$B$32</f>
        <v>-3.1121269489840668E-2</v>
      </c>
      <c r="AK9" s="60"/>
    </row>
    <row r="10" spans="1:37" x14ac:dyDescent="0.25">
      <c r="A10" s="37" t="s">
        <v>213</v>
      </c>
      <c r="B10" s="63">
        <v>-5000</v>
      </c>
      <c r="E10" s="66">
        <f ca="1">-B10/$B$32</f>
        <v>-0.15560634744920335</v>
      </c>
    </row>
    <row r="11" spans="1:37" x14ac:dyDescent="0.25">
      <c r="A11" s="37" t="s">
        <v>214</v>
      </c>
      <c r="B11" s="63">
        <f>-$B$4*$B$2</f>
        <v>-9300</v>
      </c>
      <c r="E11" s="66">
        <f ca="1">-B11/$B$32</f>
        <v>-0.28942780625551823</v>
      </c>
    </row>
    <row r="12" spans="1:37" x14ac:dyDescent="0.25">
      <c r="A12" s="57" t="s">
        <v>152</v>
      </c>
      <c r="B12" s="19">
        <f>SUM(B9:B11)</f>
        <v>-15300</v>
      </c>
      <c r="E12" s="85">
        <f ca="1">-B12/$B$32</f>
        <v>-0.47615542319456222</v>
      </c>
      <c r="AI12" s="56"/>
      <c r="AJ12" s="58"/>
    </row>
    <row r="13" spans="1:37" x14ac:dyDescent="0.25">
      <c r="B13" s="63"/>
      <c r="E13" s="46"/>
      <c r="AI13" s="56"/>
      <c r="AJ13" s="58"/>
      <c r="AK13" s="56"/>
    </row>
    <row r="14" spans="1:37" x14ac:dyDescent="0.25">
      <c r="A14" s="37" t="s">
        <v>215</v>
      </c>
      <c r="B14" s="63">
        <f>-$C$14*$B$4*$B$2</f>
        <v>-1673.9999999999998</v>
      </c>
      <c r="C14" s="114">
        <v>0.18</v>
      </c>
      <c r="E14" s="66">
        <f ca="1">-B14/$B$32</f>
        <v>-5.2097005125993273E-2</v>
      </c>
      <c r="O14" s="56"/>
      <c r="AI14" s="56"/>
      <c r="AJ14" s="58"/>
    </row>
    <row r="15" spans="1:37" x14ac:dyDescent="0.25">
      <c r="A15" s="37" t="s">
        <v>216</v>
      </c>
      <c r="B15" s="63">
        <f>-300</f>
        <v>-300</v>
      </c>
      <c r="E15" s="66">
        <f ca="1">-B15/$B$32</f>
        <v>-9.3363808469522011E-3</v>
      </c>
      <c r="O15" s="56"/>
      <c r="AI15" s="56"/>
      <c r="AJ15" s="58"/>
    </row>
    <row r="16" spans="1:37" x14ac:dyDescent="0.25">
      <c r="A16" s="37" t="s">
        <v>217</v>
      </c>
      <c r="B16" s="63">
        <f>-$C$16*$B$2</f>
        <v>-154.80000000000001</v>
      </c>
      <c r="C16" s="64">
        <v>0.86</v>
      </c>
      <c r="E16" s="66">
        <f ca="1">-B16/$B$32</f>
        <v>-4.8175725170273359E-3</v>
      </c>
      <c r="N16" s="58"/>
      <c r="O16" s="56"/>
      <c r="AI16" s="56"/>
      <c r="AJ16" s="58"/>
    </row>
    <row r="17" spans="1:38" x14ac:dyDescent="0.25">
      <c r="A17" s="57" t="s">
        <v>147</v>
      </c>
      <c r="B17" s="19">
        <f>SUM(B14:B16)</f>
        <v>-2128.7999999999997</v>
      </c>
      <c r="E17" s="85">
        <f ca="1">-B17/$B$32</f>
        <v>-6.6250958489972811E-2</v>
      </c>
      <c r="N17" s="58"/>
      <c r="O17" s="56"/>
      <c r="AI17" s="56"/>
      <c r="AJ17" s="58"/>
    </row>
    <row r="18" spans="1:38" x14ac:dyDescent="0.25">
      <c r="B18" s="63"/>
      <c r="E18" s="46"/>
      <c r="N18" s="58"/>
      <c r="O18" s="56"/>
      <c r="AI18" s="56"/>
      <c r="AJ18" s="58"/>
    </row>
    <row r="19" spans="1:38" x14ac:dyDescent="0.25">
      <c r="A19" s="37" t="s">
        <v>210</v>
      </c>
      <c r="B19" s="63">
        <f>-$C$19*$D$19</f>
        <v>-2880</v>
      </c>
      <c r="C19" s="65">
        <f>$B$5</f>
        <v>720</v>
      </c>
      <c r="D19" s="67">
        <v>4</v>
      </c>
      <c r="E19" s="66">
        <f ca="1">-B19/$B$32</f>
        <v>-8.9629256130741117E-2</v>
      </c>
      <c r="N19" s="58"/>
      <c r="O19" s="56"/>
      <c r="AI19" s="56"/>
      <c r="AJ19" s="58"/>
    </row>
    <row r="20" spans="1:38" x14ac:dyDescent="0.25">
      <c r="A20" s="37" t="s">
        <v>211</v>
      </c>
      <c r="B20" s="63">
        <v>0</v>
      </c>
      <c r="C20" s="66" t="s">
        <v>154</v>
      </c>
      <c r="D20" s="46">
        <v>0.3</v>
      </c>
      <c r="E20" s="66">
        <f ca="1">-B20/$B$32</f>
        <v>0</v>
      </c>
      <c r="N20" s="58"/>
      <c r="O20" s="56"/>
      <c r="AI20" s="56"/>
      <c r="AJ20" s="58"/>
    </row>
    <row r="21" spans="1:38" x14ac:dyDescent="0.25">
      <c r="A21" s="37" t="s">
        <v>212</v>
      </c>
      <c r="B21" s="63">
        <f>-$C$21*($B$2*$B$4)</f>
        <v>-465</v>
      </c>
      <c r="C21" s="114">
        <v>0.05</v>
      </c>
      <c r="E21" s="66">
        <f ca="1">-B21/$B$32</f>
        <v>-1.447139031277591E-2</v>
      </c>
      <c r="N21" s="58"/>
      <c r="O21" s="56"/>
      <c r="AI21" s="56"/>
      <c r="AJ21" s="58"/>
      <c r="AL21" s="56"/>
    </row>
    <row r="22" spans="1:38" x14ac:dyDescent="0.25">
      <c r="A22" s="57" t="s">
        <v>148</v>
      </c>
      <c r="B22" s="19">
        <f>SUM(B19:B21)</f>
        <v>-3345</v>
      </c>
      <c r="C22" s="114"/>
      <c r="E22" s="85">
        <f ca="1">-B22/$B$32</f>
        <v>-0.10410064644351703</v>
      </c>
      <c r="O22" s="56"/>
      <c r="AI22" s="56"/>
      <c r="AJ22" s="58"/>
    </row>
    <row r="23" spans="1:38" x14ac:dyDescent="0.25">
      <c r="B23" s="63"/>
      <c r="C23" s="114"/>
      <c r="E23" s="46"/>
      <c r="N23" s="58"/>
      <c r="O23" s="56"/>
      <c r="AI23" s="56"/>
      <c r="AJ23" s="58"/>
    </row>
    <row r="24" spans="1:38" x14ac:dyDescent="0.25">
      <c r="A24" s="37" t="s">
        <v>196</v>
      </c>
      <c r="B24" s="63">
        <f>-$C$24*$B$2*$B$4</f>
        <v>-465</v>
      </c>
      <c r="C24" s="114">
        <v>0.05</v>
      </c>
      <c r="E24" s="66">
        <f ca="1">-B24/$B$32</f>
        <v>-1.447139031277591E-2</v>
      </c>
      <c r="N24" s="58"/>
      <c r="O24" s="56"/>
      <c r="AI24" s="56"/>
      <c r="AJ24" s="58"/>
    </row>
    <row r="25" spans="1:38" x14ac:dyDescent="0.25">
      <c r="A25" s="37" t="s">
        <v>93</v>
      </c>
      <c r="B25" s="63">
        <f>-AVERAGE('Simulação Empréstimo'!$K$6:$K$11)/12</f>
        <v>-1714.1957365239887</v>
      </c>
      <c r="C25" s="114"/>
      <c r="E25" s="66">
        <f ca="1">-B25/$B$32</f>
        <v>-5.334794747469896E-2</v>
      </c>
      <c r="N25" s="58"/>
      <c r="O25" s="56"/>
      <c r="AI25" s="56"/>
      <c r="AJ25" s="58"/>
    </row>
    <row r="26" spans="1:38" x14ac:dyDescent="0.25">
      <c r="A26" s="37" t="s">
        <v>206</v>
      </c>
      <c r="B26" s="63">
        <f ca="1">-$C$26*$D$2</f>
        <v>-2631.6407184718382</v>
      </c>
      <c r="C26" s="114">
        <v>7.8E-2</v>
      </c>
      <c r="D26" s="44" t="s">
        <v>150</v>
      </c>
      <c r="E26" s="66">
        <f ca="1">-B26/$B$32</f>
        <v>-8.1899999999999987E-2</v>
      </c>
      <c r="O26" s="56"/>
      <c r="AI26" s="56"/>
      <c r="AJ26" s="58"/>
    </row>
    <row r="27" spans="1:38" x14ac:dyDescent="0.25">
      <c r="A27" s="37" t="s">
        <v>218</v>
      </c>
      <c r="B27" s="63">
        <f>-$C$27*($B$2*$B$4)</f>
        <v>-186</v>
      </c>
      <c r="C27" s="114">
        <v>0.02</v>
      </c>
      <c r="E27" s="66">
        <f ca="1">-B27/$B$32</f>
        <v>-5.7885561251103642E-3</v>
      </c>
      <c r="N27" s="58"/>
      <c r="O27" s="56"/>
      <c r="AI27" s="56"/>
      <c r="AJ27" s="58"/>
    </row>
    <row r="28" spans="1:38" x14ac:dyDescent="0.25">
      <c r="A28" s="37" t="s">
        <v>219</v>
      </c>
      <c r="B28" s="63">
        <f ca="1">-$D$2*$C$28</f>
        <v>-2361.7288499106244</v>
      </c>
      <c r="C28" s="114">
        <v>7.0000000000000007E-2</v>
      </c>
      <c r="E28" s="66">
        <f ca="1">-B28/$B$32</f>
        <v>-7.350000000000001E-2</v>
      </c>
      <c r="N28" s="58"/>
      <c r="O28" s="56"/>
      <c r="AI28" s="56"/>
      <c r="AJ28" s="58"/>
    </row>
    <row r="29" spans="1:38" x14ac:dyDescent="0.25">
      <c r="A29" s="37" t="s">
        <v>220</v>
      </c>
      <c r="B29" s="63">
        <v>-4000</v>
      </c>
      <c r="C29" s="46"/>
      <c r="E29" s="66"/>
      <c r="G29" s="60"/>
      <c r="N29" s="58"/>
      <c r="O29" s="56"/>
      <c r="AI29" s="56"/>
      <c r="AJ29" s="58"/>
    </row>
    <row r="30" spans="1:38" x14ac:dyDescent="0.25">
      <c r="A30" s="57" t="s">
        <v>226</v>
      </c>
      <c r="B30" s="19">
        <f ca="1">SUM(B24:B29)</f>
        <v>-11358.565304906451</v>
      </c>
      <c r="E30" s="85">
        <f ca="1">-B30/$B$32</f>
        <v>-0.35349297187194789</v>
      </c>
      <c r="N30" s="58"/>
      <c r="O30" s="56"/>
      <c r="AI30" s="56"/>
      <c r="AJ30" s="58"/>
    </row>
    <row r="31" spans="1:38" x14ac:dyDescent="0.25">
      <c r="N31" s="58"/>
      <c r="O31" s="56"/>
      <c r="AI31" s="56"/>
      <c r="AJ31" s="58"/>
    </row>
    <row r="32" spans="1:38" x14ac:dyDescent="0.25">
      <c r="A32" s="57" t="s">
        <v>225</v>
      </c>
      <c r="B32" s="19">
        <f ca="1">SUM($B$30+$B$22+$B$17+$B$12)</f>
        <v>-32132.365304906452</v>
      </c>
      <c r="D32" s="46"/>
      <c r="O32" s="56"/>
      <c r="AI32" s="56"/>
      <c r="AJ32" s="58"/>
    </row>
    <row r="33" spans="1:39" x14ac:dyDescent="0.25">
      <c r="C33" s="61"/>
      <c r="O33" s="56"/>
      <c r="AI33" s="56"/>
      <c r="AJ33" s="58"/>
    </row>
    <row r="34" spans="1:39" x14ac:dyDescent="0.25">
      <c r="A34" s="57" t="s">
        <v>182</v>
      </c>
      <c r="B34" s="68">
        <f ca="1">(-B32+(-$B$32*$C$34))/$B$5</f>
        <v>46.859699402988575</v>
      </c>
      <c r="C34" s="82">
        <v>0.05</v>
      </c>
      <c r="E34" s="91"/>
      <c r="N34" s="58"/>
      <c r="O34" s="56"/>
      <c r="AI34" s="56"/>
      <c r="AJ34" s="58"/>
    </row>
    <row r="35" spans="1:39" x14ac:dyDescent="0.25">
      <c r="A35" s="57"/>
      <c r="N35" s="58"/>
      <c r="O35" s="56"/>
      <c r="AI35" s="56"/>
      <c r="AJ35" s="58"/>
      <c r="AM35" s="56"/>
    </row>
    <row r="36" spans="1:39" x14ac:dyDescent="0.25">
      <c r="N36" s="58"/>
      <c r="O36" s="56"/>
      <c r="AI36" s="56"/>
      <c r="AJ36" s="58"/>
    </row>
    <row r="37" spans="1:39" x14ac:dyDescent="0.25">
      <c r="AI37" s="56"/>
      <c r="AJ37" s="58"/>
    </row>
    <row r="38" spans="1:39" x14ac:dyDescent="0.25">
      <c r="B38" s="66"/>
      <c r="AI38" s="56"/>
      <c r="AJ38" s="58"/>
    </row>
    <row r="39" spans="1:39" x14ac:dyDescent="0.25">
      <c r="AI39" s="56"/>
      <c r="AJ39" s="58"/>
    </row>
    <row r="41" spans="1:39" x14ac:dyDescent="0.25">
      <c r="B41" s="51"/>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3BD83-C9A9-4525-8633-09B6C115566E}">
  <dimension ref="A1:KH44"/>
  <sheetViews>
    <sheetView showGridLines="0" topLeftCell="C7" zoomScaleNormal="100" workbookViewId="0">
      <selection activeCell="C39" sqref="C39"/>
    </sheetView>
  </sheetViews>
  <sheetFormatPr defaultColWidth="8.88671875" defaultRowHeight="13.8" outlineLevelRow="1" x14ac:dyDescent="0.25"/>
  <cols>
    <col min="1" max="1" width="25.6640625" style="44" bestFit="1" customWidth="1"/>
    <col min="2" max="2" width="2.33203125" style="35" bestFit="1" customWidth="1"/>
    <col min="3" max="3" width="27.5546875" style="37" bestFit="1" customWidth="1"/>
    <col min="4" max="4" width="12.88671875" style="44" bestFit="1" customWidth="1"/>
    <col min="5" max="5" width="16.44140625" style="44" bestFit="1" customWidth="1"/>
    <col min="6" max="6" width="3.6640625" style="44" customWidth="1"/>
    <col min="7" max="7" width="23.6640625" style="37" customWidth="1"/>
    <col min="8" max="8" width="11.44140625" style="35" bestFit="1" customWidth="1"/>
    <col min="9" max="9" width="16.44140625" style="35" bestFit="1" customWidth="1"/>
    <col min="10" max="10" width="2.33203125" style="44" bestFit="1" customWidth="1"/>
    <col min="11" max="11" width="23.88671875" style="35" bestFit="1" customWidth="1"/>
    <col min="12" max="12" width="11.44140625" style="35" bestFit="1" customWidth="1"/>
    <col min="13" max="13" width="16.44140625" style="35" bestFit="1" customWidth="1"/>
    <col min="14" max="14" width="2.33203125" style="35" bestFit="1" customWidth="1"/>
    <col min="15" max="15" width="23.88671875" style="35" bestFit="1" customWidth="1"/>
    <col min="16" max="16" width="11.44140625" style="35" bestFit="1" customWidth="1"/>
    <col min="17" max="17" width="16.44140625" style="35" bestFit="1" customWidth="1"/>
    <col min="18" max="18" width="2.33203125" style="35" bestFit="1" customWidth="1"/>
    <col min="19" max="19" width="23.88671875" style="35" bestFit="1" customWidth="1"/>
    <col min="20" max="20" width="11.44140625" style="35" bestFit="1" customWidth="1"/>
    <col min="21" max="21" width="16.44140625" style="35" bestFit="1" customWidth="1"/>
    <col min="22" max="22" width="2.33203125" style="35" bestFit="1" customWidth="1"/>
    <col min="23" max="23" width="23.88671875" style="35" bestFit="1" customWidth="1"/>
    <col min="24" max="24" width="11.44140625" style="35" bestFit="1" customWidth="1"/>
    <col min="25" max="25" width="16.44140625" style="35" bestFit="1" customWidth="1"/>
    <col min="26" max="26" width="2.33203125" style="35" bestFit="1" customWidth="1"/>
    <col min="27" max="27" width="23.88671875" style="35" bestFit="1" customWidth="1"/>
    <col min="28" max="28" width="11.44140625" style="35" bestFit="1" customWidth="1"/>
    <col min="29" max="29" width="16.44140625" style="35" bestFit="1" customWidth="1"/>
    <col min="30" max="30" width="2.33203125" style="35" bestFit="1" customWidth="1"/>
    <col min="31" max="31" width="23.88671875" style="35" bestFit="1" customWidth="1"/>
    <col min="32" max="32" width="11.44140625" style="35" bestFit="1" customWidth="1"/>
    <col min="33" max="33" width="16.44140625" style="35" bestFit="1" customWidth="1"/>
    <col min="34" max="34" width="2.33203125" style="35" bestFit="1" customWidth="1"/>
    <col min="35" max="35" width="23.88671875" style="35" bestFit="1" customWidth="1"/>
    <col min="36" max="36" width="11.44140625" style="35" bestFit="1" customWidth="1"/>
    <col min="37" max="37" width="16.44140625" style="35" bestFit="1" customWidth="1"/>
    <col min="38" max="38" width="2.33203125" style="35" bestFit="1" customWidth="1"/>
    <col min="39" max="39" width="23.88671875" style="35" bestFit="1" customWidth="1"/>
    <col min="40" max="40" width="11.44140625" style="35" bestFit="1" customWidth="1"/>
    <col min="41" max="41" width="16.44140625" style="35" bestFit="1" customWidth="1"/>
    <col min="42" max="42" width="2.33203125" style="35" bestFit="1" customWidth="1"/>
    <col min="43" max="43" width="23.88671875" style="35" bestFit="1" customWidth="1"/>
    <col min="44" max="44" width="11.44140625" style="35" bestFit="1" customWidth="1"/>
    <col min="45" max="45" width="16.44140625" style="35" bestFit="1" customWidth="1"/>
    <col min="46" max="46" width="2.33203125" style="35" bestFit="1" customWidth="1"/>
    <col min="47" max="47" width="23.88671875" style="35" bestFit="1" customWidth="1"/>
    <col min="48" max="48" width="11.44140625" style="35" bestFit="1" customWidth="1"/>
    <col min="49" max="49" width="16.44140625" style="35" bestFit="1" customWidth="1"/>
    <col min="50" max="50" width="2.33203125" style="35" bestFit="1" customWidth="1"/>
    <col min="51" max="51" width="23.88671875" style="35" bestFit="1" customWidth="1"/>
    <col min="52" max="52" width="11.44140625" style="35" bestFit="1" customWidth="1"/>
    <col min="53" max="53" width="16.44140625" style="35" bestFit="1" customWidth="1"/>
    <col min="54" max="54" width="2.33203125" style="35" bestFit="1" customWidth="1"/>
    <col min="55" max="55" width="23.88671875" style="35" bestFit="1" customWidth="1"/>
    <col min="56" max="56" width="11.44140625" style="35" bestFit="1" customWidth="1"/>
    <col min="57" max="57" width="16.44140625" style="35" bestFit="1" customWidth="1"/>
    <col min="58" max="58" width="2.33203125" style="35" bestFit="1" customWidth="1"/>
    <col min="59" max="59" width="23.88671875" style="35" bestFit="1" customWidth="1"/>
    <col min="60" max="60" width="11.44140625" style="35" bestFit="1" customWidth="1"/>
    <col min="61" max="61" width="16.44140625" style="35" bestFit="1" customWidth="1"/>
    <col min="62" max="62" width="2.33203125" style="35" bestFit="1" customWidth="1"/>
    <col min="63" max="63" width="23.88671875" style="35" bestFit="1" customWidth="1"/>
    <col min="64" max="64" width="11.44140625" style="35" bestFit="1" customWidth="1"/>
    <col min="65" max="65" width="16.44140625" style="35" bestFit="1" customWidth="1"/>
    <col min="66" max="66" width="2.33203125" style="35" bestFit="1" customWidth="1"/>
    <col min="67" max="67" width="23.88671875" style="35" bestFit="1" customWidth="1"/>
    <col min="68" max="68" width="11.44140625" style="35" bestFit="1" customWidth="1"/>
    <col min="69" max="69" width="16.44140625" style="35" bestFit="1" customWidth="1"/>
    <col min="70" max="70" width="2.33203125" style="35" bestFit="1" customWidth="1"/>
    <col min="71" max="71" width="23.88671875" style="35" bestFit="1" customWidth="1"/>
    <col min="72" max="72" width="11.44140625" style="35" bestFit="1" customWidth="1"/>
    <col min="73" max="73" width="16.44140625" style="35" bestFit="1" customWidth="1"/>
    <col min="74" max="74" width="2.33203125" style="35" bestFit="1" customWidth="1"/>
    <col min="75" max="75" width="23.88671875" style="35" bestFit="1" customWidth="1"/>
    <col min="76" max="76" width="11.33203125" style="35" bestFit="1" customWidth="1"/>
    <col min="77" max="77" width="16.44140625" style="35" bestFit="1" customWidth="1"/>
    <col min="78" max="78" width="2.33203125" style="35" bestFit="1" customWidth="1"/>
    <col min="79" max="79" width="23.88671875" style="35" bestFit="1" customWidth="1"/>
    <col min="80" max="80" width="11.33203125" style="35" bestFit="1" customWidth="1"/>
    <col min="81" max="81" width="16.44140625" style="35" bestFit="1" customWidth="1"/>
    <col min="82" max="82" width="2.33203125" style="35" bestFit="1" customWidth="1"/>
    <col min="83" max="83" width="23.88671875" style="35" bestFit="1" customWidth="1"/>
    <col min="84" max="84" width="10.109375" style="35" bestFit="1" customWidth="1"/>
    <col min="85" max="85" width="16.44140625" style="35" bestFit="1" customWidth="1"/>
    <col min="86" max="86" width="2.33203125" style="35" bestFit="1" customWidth="1"/>
    <col min="87" max="87" width="23.88671875" style="35" bestFit="1" customWidth="1"/>
    <col min="88" max="88" width="11.33203125" style="35" bestFit="1" customWidth="1"/>
    <col min="89" max="89" width="16.44140625" style="35" bestFit="1" customWidth="1"/>
    <col min="90" max="90" width="2.33203125" style="35" bestFit="1" customWidth="1"/>
    <col min="91" max="91" width="23.88671875" style="35" bestFit="1" customWidth="1"/>
    <col min="92" max="92" width="11.33203125" style="35" bestFit="1" customWidth="1"/>
    <col min="93" max="93" width="16.44140625" style="35" bestFit="1" customWidth="1"/>
    <col min="94" max="94" width="2.33203125" style="35" bestFit="1" customWidth="1"/>
    <col min="95" max="95" width="23.88671875" style="35" bestFit="1" customWidth="1"/>
    <col min="96" max="96" width="11.44140625" style="35" bestFit="1" customWidth="1"/>
    <col min="97" max="97" width="16.44140625" style="35" bestFit="1" customWidth="1"/>
    <col min="98" max="98" width="2.33203125" style="35" bestFit="1" customWidth="1"/>
    <col min="99" max="99" width="23.6640625" style="35" customWidth="1"/>
    <col min="100" max="100" width="11.44140625" style="35" bestFit="1" customWidth="1"/>
    <col min="101" max="101" width="16.44140625" style="35" bestFit="1" customWidth="1"/>
    <col min="102" max="102" width="8.88671875" style="35"/>
    <col min="103" max="103" width="23.88671875" style="35" bestFit="1" customWidth="1"/>
    <col min="104" max="104" width="11.44140625" style="35" bestFit="1" customWidth="1"/>
    <col min="105" max="105" width="16.44140625" style="35" bestFit="1" customWidth="1"/>
    <col min="106" max="106" width="8.88671875" style="35"/>
    <col min="107" max="107" width="23.88671875" style="35" bestFit="1" customWidth="1"/>
    <col min="108" max="108" width="11.44140625" style="35" bestFit="1" customWidth="1"/>
    <col min="109" max="109" width="16.44140625" style="35" bestFit="1" customWidth="1"/>
    <col min="110" max="110" width="8.88671875" style="35"/>
    <col min="111" max="111" width="23.88671875" style="35" bestFit="1" customWidth="1"/>
    <col min="112" max="112" width="11.44140625" style="35" bestFit="1" customWidth="1"/>
    <col min="113" max="113" width="16.44140625" style="35" bestFit="1" customWidth="1"/>
    <col min="114" max="114" width="8.88671875" style="35"/>
    <col min="115" max="115" width="23.88671875" style="35" bestFit="1" customWidth="1"/>
    <col min="116" max="116" width="11.44140625" style="35" bestFit="1" customWidth="1"/>
    <col min="117" max="117" width="16.44140625" style="35" bestFit="1" customWidth="1"/>
    <col min="118" max="118" width="8.88671875" style="35"/>
    <col min="119" max="119" width="23.88671875" style="35" bestFit="1" customWidth="1"/>
    <col min="120" max="120" width="11.44140625" style="35" bestFit="1" customWidth="1"/>
    <col min="121" max="121" width="16.44140625" style="35" bestFit="1" customWidth="1"/>
    <col min="122" max="122" width="8.88671875" style="35"/>
    <col min="123" max="123" width="23.88671875" style="35" bestFit="1" customWidth="1"/>
    <col min="124" max="124" width="11.44140625" style="35" bestFit="1" customWidth="1"/>
    <col min="125" max="125" width="16.44140625" style="35" bestFit="1" customWidth="1"/>
    <col min="126" max="126" width="8.88671875" style="35"/>
    <col min="127" max="127" width="23.88671875" style="35" bestFit="1" customWidth="1"/>
    <col min="128" max="128" width="11.44140625" style="35" bestFit="1" customWidth="1"/>
    <col min="129" max="129" width="16.44140625" style="35" bestFit="1" customWidth="1"/>
    <col min="130" max="130" width="8.88671875" style="35"/>
    <col min="131" max="131" width="23.88671875" style="35" bestFit="1" customWidth="1"/>
    <col min="132" max="132" width="11.44140625" style="35" bestFit="1" customWidth="1"/>
    <col min="133" max="133" width="16.44140625" style="35" bestFit="1" customWidth="1"/>
    <col min="134" max="134" width="8.88671875" style="35"/>
    <col min="135" max="135" width="23.88671875" style="35" bestFit="1" customWidth="1"/>
    <col min="136" max="136" width="11.44140625" style="35" bestFit="1" customWidth="1"/>
    <col min="137" max="137" width="16.44140625" style="35" bestFit="1" customWidth="1"/>
    <col min="138" max="138" width="8.88671875" style="35"/>
    <col min="139" max="139" width="23.88671875" style="35" bestFit="1" customWidth="1"/>
    <col min="140" max="140" width="11.44140625" style="35" bestFit="1" customWidth="1"/>
    <col min="141" max="141" width="16.44140625" style="35" bestFit="1" customWidth="1"/>
    <col min="142" max="142" width="8.88671875" style="35"/>
    <col min="143" max="143" width="23.88671875" style="35" bestFit="1" customWidth="1"/>
    <col min="144" max="144" width="11.44140625" style="35" bestFit="1" customWidth="1"/>
    <col min="145" max="145" width="16.44140625" style="35" bestFit="1" customWidth="1"/>
    <col min="146" max="146" width="8.88671875" style="35"/>
    <col min="147" max="147" width="23.88671875" style="35" bestFit="1" customWidth="1"/>
    <col min="148" max="148" width="11.44140625" style="35" bestFit="1" customWidth="1"/>
    <col min="149" max="149" width="16.44140625" style="35" bestFit="1" customWidth="1"/>
    <col min="150" max="150" width="8.88671875" style="35"/>
    <col min="151" max="151" width="23.88671875" style="35" bestFit="1" customWidth="1"/>
    <col min="152" max="152" width="10.109375" style="35" bestFit="1" customWidth="1"/>
    <col min="153" max="153" width="16.44140625" style="35" bestFit="1" customWidth="1"/>
    <col min="154" max="154" width="8.88671875" style="35"/>
    <col min="155" max="155" width="23.88671875" style="35" bestFit="1" customWidth="1"/>
    <col min="156" max="156" width="10.109375" style="35" bestFit="1" customWidth="1"/>
    <col min="157" max="157" width="16.44140625" style="35" bestFit="1" customWidth="1"/>
    <col min="158" max="158" width="8.88671875" style="35"/>
    <col min="159" max="159" width="23.88671875" style="35" bestFit="1" customWidth="1"/>
    <col min="160" max="160" width="11.33203125" style="35" bestFit="1" customWidth="1"/>
    <col min="161" max="161" width="16.44140625" style="35" bestFit="1" customWidth="1"/>
    <col min="162" max="162" width="8.88671875" style="35"/>
    <col min="163" max="163" width="23.88671875" style="35" bestFit="1" customWidth="1"/>
    <col min="164" max="164" width="10.5546875" style="35" bestFit="1" customWidth="1"/>
    <col min="165" max="165" width="16.44140625" style="35" bestFit="1" customWidth="1"/>
    <col min="166" max="166" width="8.88671875" style="35"/>
    <col min="167" max="167" width="23.88671875" style="35" bestFit="1" customWidth="1"/>
    <col min="168" max="168" width="10.5546875" style="35" bestFit="1" customWidth="1"/>
    <col min="169" max="169" width="16.44140625" style="35" bestFit="1" customWidth="1"/>
    <col min="170" max="170" width="8.88671875" style="35"/>
    <col min="171" max="171" width="23.88671875" style="35" bestFit="1" customWidth="1"/>
    <col min="172" max="172" width="11.33203125" style="35" bestFit="1" customWidth="1"/>
    <col min="173" max="173" width="16.44140625" style="35" bestFit="1" customWidth="1"/>
    <col min="174" max="174" width="8.88671875" style="35"/>
    <col min="175" max="175" width="23.88671875" style="35" bestFit="1" customWidth="1"/>
    <col min="176" max="176" width="10.5546875" style="35" bestFit="1" customWidth="1"/>
    <col min="177" max="177" width="16.44140625" style="35" bestFit="1" customWidth="1"/>
    <col min="178" max="178" width="8.88671875" style="35"/>
    <col min="179" max="179" width="23.88671875" style="35" bestFit="1" customWidth="1"/>
    <col min="180" max="180" width="10.5546875" style="35" bestFit="1" customWidth="1"/>
    <col min="181" max="181" width="16.44140625" style="35" bestFit="1" customWidth="1"/>
    <col min="182" max="182" width="8.88671875" style="35"/>
    <col min="183" max="183" width="23.88671875" style="35" bestFit="1" customWidth="1"/>
    <col min="184" max="184" width="11.33203125" style="35" bestFit="1" customWidth="1"/>
    <col min="185" max="185" width="16.44140625" style="35" bestFit="1" customWidth="1"/>
    <col min="186" max="186" width="8.88671875" style="35"/>
    <col min="187" max="187" width="23.88671875" style="35" bestFit="1" customWidth="1"/>
    <col min="188" max="188" width="13.33203125" style="35" bestFit="1" customWidth="1"/>
    <col min="189" max="189" width="16.44140625" style="35" bestFit="1" customWidth="1"/>
    <col min="190" max="190" width="8.88671875" style="35"/>
    <col min="191" max="191" width="23.88671875" style="35" bestFit="1" customWidth="1"/>
    <col min="192" max="192" width="11.44140625" style="35" bestFit="1" customWidth="1"/>
    <col min="193" max="193" width="16.44140625" style="35" bestFit="1" customWidth="1"/>
    <col min="194" max="194" width="8.88671875" style="35"/>
    <col min="195" max="195" width="23.88671875" style="35" bestFit="1" customWidth="1"/>
    <col min="196" max="196" width="11.44140625" style="35" bestFit="1" customWidth="1"/>
    <col min="197" max="197" width="16.44140625" style="35" bestFit="1" customWidth="1"/>
    <col min="198" max="198" width="8.88671875" style="35"/>
    <col min="199" max="199" width="23.88671875" style="35" bestFit="1" customWidth="1"/>
    <col min="200" max="200" width="11.44140625" style="35" bestFit="1" customWidth="1"/>
    <col min="201" max="201" width="16.44140625" style="35" bestFit="1" customWidth="1"/>
    <col min="202" max="202" width="8.88671875" style="35"/>
    <col min="203" max="203" width="23.88671875" style="35" bestFit="1" customWidth="1"/>
    <col min="204" max="204" width="11.44140625" style="35" bestFit="1" customWidth="1"/>
    <col min="205" max="205" width="16.44140625" style="35" bestFit="1" customWidth="1"/>
    <col min="206" max="206" width="8.88671875" style="35"/>
    <col min="207" max="207" width="23.88671875" style="35" bestFit="1" customWidth="1"/>
    <col min="208" max="208" width="11.44140625" style="35" bestFit="1" customWidth="1"/>
    <col min="209" max="209" width="16.44140625" style="35" bestFit="1" customWidth="1"/>
    <col min="210" max="210" width="8.88671875" style="35"/>
    <col min="211" max="211" width="23.88671875" style="35" bestFit="1" customWidth="1"/>
    <col min="212" max="212" width="11.44140625" style="35" bestFit="1" customWidth="1"/>
    <col min="213" max="213" width="16.44140625" style="35" bestFit="1" customWidth="1"/>
    <col min="214" max="214" width="8.88671875" style="35"/>
    <col min="215" max="215" width="23.88671875" style="35" bestFit="1" customWidth="1"/>
    <col min="216" max="216" width="11.44140625" style="35" bestFit="1" customWidth="1"/>
    <col min="217" max="217" width="16.44140625" style="35" bestFit="1" customWidth="1"/>
    <col min="218" max="218" width="8.88671875" style="35"/>
    <col min="219" max="219" width="23.88671875" style="35" bestFit="1" customWidth="1"/>
    <col min="220" max="220" width="11.44140625" style="35" bestFit="1" customWidth="1"/>
    <col min="221" max="221" width="16.44140625" style="35" bestFit="1" customWidth="1"/>
    <col min="222" max="222" width="8.88671875" style="35"/>
    <col min="223" max="223" width="23.88671875" style="35" bestFit="1" customWidth="1"/>
    <col min="224" max="224" width="10.5546875" style="35" bestFit="1" customWidth="1"/>
    <col min="225" max="225" width="16.44140625" style="35" bestFit="1" customWidth="1"/>
    <col min="226" max="226" width="8.88671875" style="35"/>
    <col min="227" max="227" width="23.88671875" style="35" bestFit="1" customWidth="1"/>
    <col min="228" max="228" width="10.5546875" style="35" bestFit="1" customWidth="1"/>
    <col min="229" max="229" width="16.44140625" style="35" bestFit="1" customWidth="1"/>
    <col min="230" max="230" width="8.88671875" style="35"/>
    <col min="231" max="231" width="23.88671875" style="35" bestFit="1" customWidth="1"/>
    <col min="232" max="232" width="11.33203125" style="35" bestFit="1" customWidth="1"/>
    <col min="233" max="233" width="16.44140625" style="35" bestFit="1" customWidth="1"/>
    <col min="234" max="234" width="8.88671875" style="35"/>
    <col min="235" max="235" width="23.88671875" style="35" bestFit="1" customWidth="1"/>
    <col min="236" max="236" width="10.5546875" style="35" bestFit="1" customWidth="1"/>
    <col min="237" max="237" width="16.44140625" style="35" bestFit="1" customWidth="1"/>
    <col min="238" max="238" width="8.88671875" style="35"/>
    <col min="239" max="239" width="23.88671875" style="35" bestFit="1" customWidth="1"/>
    <col min="240" max="240" width="10.5546875" style="35" bestFit="1" customWidth="1"/>
    <col min="241" max="241" width="16.44140625" style="35" bestFit="1" customWidth="1"/>
    <col min="242" max="242" width="8.88671875" style="35"/>
    <col min="243" max="243" width="23.88671875" style="35" bestFit="1" customWidth="1"/>
    <col min="244" max="244" width="11.44140625" style="35" bestFit="1" customWidth="1"/>
    <col min="245" max="245" width="16.44140625" style="35" bestFit="1" customWidth="1"/>
    <col min="246" max="246" width="8.88671875" style="35"/>
    <col min="247" max="247" width="23.88671875" style="35" bestFit="1" customWidth="1"/>
    <col min="248" max="248" width="10.5546875" style="35" bestFit="1" customWidth="1"/>
    <col min="249" max="249" width="16.44140625" style="35" bestFit="1" customWidth="1"/>
    <col min="250" max="250" width="8.88671875" style="35"/>
    <col min="251" max="251" width="23.88671875" style="35" bestFit="1" customWidth="1"/>
    <col min="252" max="252" width="10.5546875" style="35" bestFit="1" customWidth="1"/>
    <col min="253" max="253" width="16.44140625" style="35" bestFit="1" customWidth="1"/>
    <col min="254" max="254" width="8.88671875" style="35"/>
    <col min="255" max="255" width="23.88671875" style="35" bestFit="1" customWidth="1"/>
    <col min="256" max="256" width="11.33203125" style="35" bestFit="1" customWidth="1"/>
    <col min="257" max="257" width="16.44140625" style="35" bestFit="1" customWidth="1"/>
    <col min="258" max="258" width="8.88671875" style="35"/>
    <col min="259" max="259" width="23.88671875" style="35" bestFit="1" customWidth="1"/>
    <col min="260" max="260" width="10.5546875" style="35" bestFit="1" customWidth="1"/>
    <col min="261" max="261" width="16.44140625" style="35" bestFit="1" customWidth="1"/>
    <col min="262" max="262" width="8.88671875" style="35"/>
    <col min="263" max="263" width="23.88671875" style="35" bestFit="1" customWidth="1"/>
    <col min="264" max="264" width="10.5546875" style="35" bestFit="1" customWidth="1"/>
    <col min="265" max="265" width="16.44140625" style="35" bestFit="1" customWidth="1"/>
    <col min="266" max="266" width="8.88671875" style="35"/>
    <col min="267" max="267" width="23.88671875" style="35" bestFit="1" customWidth="1"/>
    <col min="268" max="268" width="11.33203125" style="35" bestFit="1" customWidth="1"/>
    <col min="269" max="269" width="16.44140625" style="35" bestFit="1" customWidth="1"/>
    <col min="270" max="270" width="8.88671875" style="35"/>
    <col min="271" max="271" width="23.88671875" style="35" bestFit="1" customWidth="1"/>
    <col min="272" max="272" width="10.5546875" style="35" bestFit="1" customWidth="1"/>
    <col min="273" max="273" width="16.44140625" style="35" bestFit="1" customWidth="1"/>
    <col min="274" max="274" width="8.88671875" style="35"/>
    <col min="275" max="275" width="23.88671875" style="35" bestFit="1" customWidth="1"/>
    <col min="276" max="276" width="10.5546875" style="35" bestFit="1" customWidth="1"/>
    <col min="277" max="277" width="16.44140625" style="35" bestFit="1" customWidth="1"/>
    <col min="278" max="278" width="8.88671875" style="35"/>
    <col min="279" max="279" width="23.88671875" style="35" bestFit="1" customWidth="1"/>
    <col min="280" max="280" width="11.44140625" style="35" bestFit="1" customWidth="1"/>
    <col min="281" max="281" width="16.44140625" style="35" bestFit="1" customWidth="1"/>
    <col min="282" max="282" width="8.88671875" style="35"/>
    <col min="283" max="283" width="23.88671875" style="35" bestFit="1" customWidth="1"/>
    <col min="284" max="284" width="10.5546875" style="35" bestFit="1" customWidth="1"/>
    <col min="285" max="285" width="16.44140625" style="35" bestFit="1" customWidth="1"/>
    <col min="286" max="286" width="8.88671875" style="35"/>
    <col min="287" max="287" width="23.88671875" style="35" bestFit="1" customWidth="1"/>
    <col min="288" max="288" width="10.5546875" style="35" bestFit="1" customWidth="1"/>
    <col min="289" max="289" width="16.44140625" style="35" bestFit="1" customWidth="1"/>
    <col min="290" max="290" width="8.88671875" style="35"/>
    <col min="291" max="291" width="23.88671875" style="35" bestFit="1" customWidth="1"/>
    <col min="292" max="292" width="11.44140625" style="35" bestFit="1" customWidth="1"/>
    <col min="293" max="293" width="16.44140625" style="35" bestFit="1" customWidth="1"/>
    <col min="294" max="16384" width="8.88671875" style="35"/>
  </cols>
  <sheetData>
    <row r="1" spans="1:294" x14ac:dyDescent="0.25">
      <c r="A1" s="96" t="s">
        <v>207</v>
      </c>
      <c r="C1" s="95">
        <v>0</v>
      </c>
      <c r="D1" s="88"/>
      <c r="E1" s="63"/>
      <c r="F1" s="63"/>
      <c r="G1" s="95">
        <f>C$1+1</f>
        <v>1</v>
      </c>
      <c r="H1" s="88"/>
      <c r="I1" s="63"/>
      <c r="J1" s="63"/>
      <c r="K1" s="95">
        <f t="shared" ref="K1" si="0">G$1+1</f>
        <v>2</v>
      </c>
      <c r="L1" s="88"/>
      <c r="M1" s="63"/>
      <c r="N1" s="63"/>
      <c r="O1" s="95">
        <f t="shared" ref="O1" si="1">K$1+1</f>
        <v>3</v>
      </c>
      <c r="P1" s="88"/>
      <c r="Q1" s="63"/>
      <c r="R1" s="63"/>
      <c r="S1" s="95">
        <f t="shared" ref="S1" si="2">O$1+1</f>
        <v>4</v>
      </c>
      <c r="T1" s="88"/>
      <c r="U1" s="63"/>
      <c r="V1" s="63"/>
      <c r="W1" s="95">
        <f t="shared" ref="W1" si="3">S$1+1</f>
        <v>5</v>
      </c>
      <c r="X1" s="88"/>
      <c r="Y1" s="63"/>
      <c r="Z1" s="63"/>
      <c r="AA1" s="95">
        <f t="shared" ref="AA1" si="4">W$1+1</f>
        <v>6</v>
      </c>
      <c r="AB1" s="88"/>
      <c r="AC1" s="63"/>
      <c r="AD1" s="63"/>
      <c r="AE1" s="95">
        <f t="shared" ref="AE1" si="5">AA$1+1</f>
        <v>7</v>
      </c>
      <c r="AF1" s="88"/>
      <c r="AG1" s="63"/>
      <c r="AH1" s="63"/>
      <c r="AI1" s="95">
        <f t="shared" ref="AI1" si="6">AE$1+1</f>
        <v>8</v>
      </c>
      <c r="AJ1" s="88"/>
      <c r="AK1" s="63"/>
      <c r="AL1" s="63"/>
      <c r="AM1" s="95">
        <f t="shared" ref="AM1" si="7">AI$1+1</f>
        <v>9</v>
      </c>
      <c r="AN1" s="88"/>
      <c r="AO1" s="63"/>
      <c r="AP1" s="63"/>
      <c r="AQ1" s="95">
        <f t="shared" ref="AQ1" si="8">AM$1+1</f>
        <v>10</v>
      </c>
      <c r="AR1" s="88"/>
      <c r="AS1" s="63"/>
      <c r="AT1" s="63"/>
      <c r="AU1" s="95">
        <f t="shared" ref="AU1" si="9">AQ$1+1</f>
        <v>11</v>
      </c>
      <c r="AV1" s="88"/>
      <c r="AW1" s="63"/>
      <c r="AX1" s="63"/>
      <c r="AY1" s="95">
        <f t="shared" ref="AY1" si="10">AU$1+1</f>
        <v>12</v>
      </c>
      <c r="AZ1" s="88"/>
      <c r="BA1" s="63"/>
      <c r="BB1" s="63"/>
      <c r="BC1" s="95">
        <f t="shared" ref="BC1" si="11">AY$1+1</f>
        <v>13</v>
      </c>
      <c r="BD1" s="88"/>
      <c r="BE1" s="63"/>
      <c r="BF1" s="63"/>
      <c r="BG1" s="95">
        <f t="shared" ref="BG1" si="12">BC$1+1</f>
        <v>14</v>
      </c>
      <c r="BH1" s="88"/>
      <c r="BI1" s="63"/>
      <c r="BJ1" s="63"/>
      <c r="BK1" s="95">
        <f t="shared" ref="BK1" si="13">BG$1+1</f>
        <v>15</v>
      </c>
      <c r="BL1" s="88"/>
      <c r="BM1" s="63"/>
      <c r="BN1" s="63"/>
      <c r="BO1" s="95">
        <f t="shared" ref="BO1" si="14">BK$1+1</f>
        <v>16</v>
      </c>
      <c r="BP1" s="88"/>
      <c r="BQ1" s="63"/>
      <c r="BR1" s="63"/>
      <c r="BS1" s="95">
        <f t="shared" ref="BS1" si="15">BO$1+1</f>
        <v>17</v>
      </c>
      <c r="BT1" s="88"/>
      <c r="BU1" s="63"/>
      <c r="BV1" s="63"/>
      <c r="BW1" s="95">
        <f t="shared" ref="BW1" si="16">BS$1+1</f>
        <v>18</v>
      </c>
      <c r="BX1" s="88"/>
      <c r="BY1" s="63"/>
      <c r="BZ1" s="63"/>
      <c r="CA1" s="95">
        <f t="shared" ref="CA1" si="17">BW$1+1</f>
        <v>19</v>
      </c>
      <c r="CB1" s="88"/>
      <c r="CC1" s="63"/>
      <c r="CD1" s="63"/>
      <c r="CE1" s="95">
        <f t="shared" ref="CE1" si="18">CA$1+1</f>
        <v>20</v>
      </c>
      <c r="CF1" s="88"/>
      <c r="CG1" s="63"/>
      <c r="CH1" s="63"/>
      <c r="CI1" s="95">
        <f t="shared" ref="CI1" si="19">CE$1+1</f>
        <v>21</v>
      </c>
      <c r="CJ1" s="88"/>
      <c r="CK1" s="63"/>
      <c r="CL1" s="63"/>
      <c r="CM1" s="95">
        <f t="shared" ref="CM1" si="20">CI$1+1</f>
        <v>22</v>
      </c>
      <c r="CN1" s="88"/>
      <c r="CO1" s="63"/>
      <c r="CP1" s="63"/>
      <c r="CQ1" s="95">
        <f t="shared" ref="CQ1" si="21">CM$1+1</f>
        <v>23</v>
      </c>
      <c r="CR1" s="88"/>
      <c r="CS1" s="63"/>
      <c r="CT1" s="63"/>
      <c r="CU1" s="95">
        <f t="shared" ref="CU1" si="22">CQ$1+1</f>
        <v>24</v>
      </c>
      <c r="CV1" s="88"/>
      <c r="CW1" s="63"/>
      <c r="CX1" s="63"/>
      <c r="CY1" s="95">
        <f t="shared" ref="CY1" si="23">CU$1+1</f>
        <v>25</v>
      </c>
      <c r="CZ1" s="88"/>
      <c r="DA1" s="63"/>
      <c r="DB1" s="63"/>
      <c r="DC1" s="95">
        <f t="shared" ref="DC1" si="24">CY$1+1</f>
        <v>26</v>
      </c>
      <c r="DD1" s="88"/>
      <c r="DE1" s="63"/>
      <c r="DF1" s="63"/>
      <c r="DG1" s="95">
        <f t="shared" ref="DG1" si="25">DC$1+1</f>
        <v>27</v>
      </c>
      <c r="DH1" s="88"/>
      <c r="DI1" s="63"/>
      <c r="DJ1" s="63"/>
      <c r="DK1" s="95">
        <f t="shared" ref="DK1" si="26">DG$1+1</f>
        <v>28</v>
      </c>
      <c r="DL1" s="88"/>
      <c r="DM1" s="63"/>
      <c r="DN1" s="63"/>
      <c r="DO1" s="95">
        <f t="shared" ref="DO1" si="27">DK$1+1</f>
        <v>29</v>
      </c>
      <c r="DP1" s="88"/>
      <c r="DQ1" s="63"/>
      <c r="DR1" s="63"/>
      <c r="DS1" s="95">
        <f t="shared" ref="DS1" si="28">DO$1+1</f>
        <v>30</v>
      </c>
      <c r="DT1" s="88"/>
      <c r="DU1" s="63"/>
      <c r="DV1" s="63"/>
      <c r="DW1" s="95">
        <f t="shared" ref="DW1" si="29">DS$1+1</f>
        <v>31</v>
      </c>
      <c r="DX1" s="88"/>
      <c r="DY1" s="63"/>
      <c r="DZ1" s="63"/>
      <c r="EA1" s="95">
        <f t="shared" ref="EA1" si="30">DW$1+1</f>
        <v>32</v>
      </c>
      <c r="EB1" s="88"/>
      <c r="EC1" s="63"/>
      <c r="ED1" s="63"/>
      <c r="EE1" s="95">
        <f t="shared" ref="EE1" si="31">EA$1+1</f>
        <v>33</v>
      </c>
      <c r="EF1" s="88"/>
      <c r="EG1" s="63"/>
      <c r="EH1" s="63"/>
      <c r="EI1" s="95">
        <f t="shared" ref="EI1" si="32">EE$1+1</f>
        <v>34</v>
      </c>
      <c r="EJ1" s="88"/>
      <c r="EK1" s="63"/>
      <c r="EL1" s="63"/>
      <c r="EM1" s="95">
        <f t="shared" ref="EM1" si="33">EI$1+1</f>
        <v>35</v>
      </c>
      <c r="EN1" s="88"/>
      <c r="EO1" s="63"/>
      <c r="EP1" s="63"/>
      <c r="EQ1" s="95">
        <f t="shared" ref="EQ1" si="34">EM$1+1</f>
        <v>36</v>
      </c>
      <c r="ER1" s="88"/>
      <c r="ES1" s="63"/>
      <c r="ET1" s="63"/>
      <c r="EU1" s="95">
        <f t="shared" ref="EU1" si="35">EQ$1+1</f>
        <v>37</v>
      </c>
      <c r="EV1" s="88"/>
      <c r="EW1" s="63"/>
      <c r="EX1" s="63"/>
      <c r="EY1" s="95">
        <f t="shared" ref="EY1" si="36">EU$1+1</f>
        <v>38</v>
      </c>
      <c r="EZ1" s="88"/>
      <c r="FA1" s="63"/>
      <c r="FB1" s="63"/>
      <c r="FC1" s="95">
        <f t="shared" ref="FC1" si="37">EY$1+1</f>
        <v>39</v>
      </c>
      <c r="FD1" s="88"/>
      <c r="FE1" s="63"/>
      <c r="FF1" s="63"/>
      <c r="FG1" s="95">
        <f t="shared" ref="FG1" si="38">FC$1+1</f>
        <v>40</v>
      </c>
      <c r="FH1" s="88"/>
      <c r="FI1" s="63"/>
      <c r="FJ1" s="63"/>
      <c r="FK1" s="95">
        <f t="shared" ref="FK1" si="39">FG$1+1</f>
        <v>41</v>
      </c>
      <c r="FL1" s="88"/>
      <c r="FM1" s="63"/>
      <c r="FN1" s="63"/>
      <c r="FO1" s="95">
        <f t="shared" ref="FO1" si="40">FK$1+1</f>
        <v>42</v>
      </c>
      <c r="FP1" s="88"/>
      <c r="FQ1" s="63"/>
      <c r="FR1" s="63"/>
      <c r="FS1" s="95">
        <f t="shared" ref="FS1" si="41">FO$1+1</f>
        <v>43</v>
      </c>
      <c r="FT1" s="88"/>
      <c r="FU1" s="63"/>
      <c r="FV1" s="63"/>
      <c r="FW1" s="95">
        <f t="shared" ref="FW1" si="42">FS$1+1</f>
        <v>44</v>
      </c>
      <c r="FX1" s="88"/>
      <c r="FY1" s="63"/>
      <c r="FZ1" s="63"/>
      <c r="GA1" s="95">
        <f t="shared" ref="GA1" si="43">FW$1+1</f>
        <v>45</v>
      </c>
      <c r="GB1" s="88"/>
      <c r="GC1" s="63"/>
      <c r="GD1" s="63"/>
      <c r="GE1" s="95">
        <f t="shared" ref="GE1" si="44">GA$1+1</f>
        <v>46</v>
      </c>
      <c r="GF1" s="88"/>
      <c r="GG1" s="63"/>
      <c r="GH1" s="63"/>
      <c r="GI1" s="95">
        <f t="shared" ref="GI1" si="45">GE$1+1</f>
        <v>47</v>
      </c>
      <c r="GJ1" s="88"/>
      <c r="GK1" s="63"/>
      <c r="GL1" s="63"/>
      <c r="GM1" s="95">
        <f t="shared" ref="GM1" si="46">GI$1+1</f>
        <v>48</v>
      </c>
      <c r="GN1" s="88"/>
      <c r="GO1" s="63"/>
      <c r="GP1" s="63"/>
      <c r="GQ1" s="95">
        <f t="shared" ref="GQ1" si="47">GM$1+1</f>
        <v>49</v>
      </c>
      <c r="GR1" s="88"/>
      <c r="GS1" s="63"/>
      <c r="GT1" s="63"/>
      <c r="GU1" s="95">
        <f t="shared" ref="GU1" si="48">GQ$1+1</f>
        <v>50</v>
      </c>
      <c r="GV1" s="88"/>
      <c r="GW1" s="63"/>
      <c r="GX1" s="63"/>
      <c r="GY1" s="95">
        <f t="shared" ref="GY1" si="49">GU$1+1</f>
        <v>51</v>
      </c>
      <c r="GZ1" s="88"/>
      <c r="HA1" s="63"/>
      <c r="HB1" s="63"/>
      <c r="HC1" s="95">
        <f t="shared" ref="HC1" si="50">GY$1+1</f>
        <v>52</v>
      </c>
      <c r="HD1" s="88"/>
      <c r="HE1" s="63"/>
      <c r="HF1" s="63"/>
      <c r="HG1" s="95">
        <f t="shared" ref="HG1" si="51">HC$1+1</f>
        <v>53</v>
      </c>
      <c r="HH1" s="88"/>
      <c r="HI1" s="63"/>
      <c r="HJ1" s="63"/>
      <c r="HK1" s="95">
        <f t="shared" ref="HK1" si="52">HG$1+1</f>
        <v>54</v>
      </c>
      <c r="HL1" s="88"/>
      <c r="HM1" s="63"/>
      <c r="HN1" s="63"/>
      <c r="HO1" s="95">
        <f t="shared" ref="HO1" si="53">HK$1+1</f>
        <v>55</v>
      </c>
      <c r="HP1" s="88"/>
      <c r="HQ1" s="63"/>
      <c r="HR1" s="63"/>
      <c r="HS1" s="95">
        <f t="shared" ref="HS1" si="54">HO$1+1</f>
        <v>56</v>
      </c>
      <c r="HT1" s="88"/>
      <c r="HU1" s="63"/>
      <c r="HV1" s="63"/>
      <c r="HW1" s="95">
        <f t="shared" ref="HW1" si="55">HS$1+1</f>
        <v>57</v>
      </c>
      <c r="HX1" s="88"/>
      <c r="HY1" s="63"/>
      <c r="HZ1" s="63"/>
      <c r="IA1" s="95">
        <f t="shared" ref="IA1" si="56">HW$1+1</f>
        <v>58</v>
      </c>
      <c r="IB1" s="88"/>
      <c r="IC1" s="63"/>
      <c r="ID1" s="63"/>
      <c r="IE1" s="95">
        <f t="shared" ref="IE1" si="57">IA$1+1</f>
        <v>59</v>
      </c>
      <c r="IF1" s="88"/>
      <c r="IG1" s="63"/>
      <c r="IH1" s="63"/>
      <c r="II1" s="95">
        <f t="shared" ref="II1" si="58">IE$1+1</f>
        <v>60</v>
      </c>
      <c r="IJ1" s="88"/>
      <c r="IK1" s="63"/>
      <c r="IL1" s="63"/>
      <c r="IM1" s="95">
        <f t="shared" ref="IM1" si="59">II$1+1</f>
        <v>61</v>
      </c>
      <c r="IN1" s="88"/>
      <c r="IO1" s="63"/>
      <c r="IP1" s="63"/>
      <c r="IQ1" s="95">
        <f t="shared" ref="IQ1" si="60">IM$1+1</f>
        <v>62</v>
      </c>
      <c r="IR1" s="88"/>
      <c r="IS1" s="63"/>
      <c r="IT1" s="63"/>
      <c r="IU1" s="95">
        <f t="shared" ref="IU1" si="61">IQ$1+1</f>
        <v>63</v>
      </c>
      <c r="IV1" s="88"/>
      <c r="IW1" s="63"/>
      <c r="IX1" s="63"/>
      <c r="IY1" s="95">
        <f t="shared" ref="IY1" si="62">IU$1+1</f>
        <v>64</v>
      </c>
      <c r="IZ1" s="88"/>
      <c r="JA1" s="63"/>
      <c r="JB1" s="63"/>
      <c r="JC1" s="95">
        <f t="shared" ref="JC1" si="63">IY$1+1</f>
        <v>65</v>
      </c>
      <c r="JD1" s="88"/>
      <c r="JE1" s="63"/>
      <c r="JF1" s="63"/>
      <c r="JG1" s="95">
        <f t="shared" ref="JG1" si="64">JC$1+1</f>
        <v>66</v>
      </c>
      <c r="JH1" s="88"/>
      <c r="JI1" s="63"/>
      <c r="JJ1" s="63"/>
      <c r="JK1" s="95">
        <f t="shared" ref="JK1" si="65">JG$1+1</f>
        <v>67</v>
      </c>
      <c r="JL1" s="88"/>
      <c r="JM1" s="63"/>
      <c r="JN1" s="63"/>
      <c r="JO1" s="95">
        <f t="shared" ref="JO1" si="66">JK$1+1</f>
        <v>68</v>
      </c>
      <c r="JP1" s="88"/>
      <c r="JQ1" s="63"/>
      <c r="JR1" s="63"/>
      <c r="JS1" s="95">
        <f t="shared" ref="JS1" si="67">JO$1+1</f>
        <v>69</v>
      </c>
      <c r="JT1" s="88"/>
      <c r="JU1" s="63"/>
      <c r="JV1" s="63"/>
      <c r="JW1" s="95">
        <f t="shared" ref="JW1" si="68">JS$1+1</f>
        <v>70</v>
      </c>
      <c r="JX1" s="88"/>
      <c r="JY1" s="63"/>
      <c r="JZ1" s="63"/>
      <c r="KA1" s="95">
        <f t="shared" ref="KA1" si="69">JW$1+1</f>
        <v>71</v>
      </c>
      <c r="KB1" s="88"/>
      <c r="KC1" s="63"/>
      <c r="KD1" s="63"/>
      <c r="KE1" s="95">
        <f t="shared" ref="KE1" si="70">KA$1+1</f>
        <v>72</v>
      </c>
      <c r="KF1" s="88"/>
      <c r="KG1" s="63"/>
      <c r="KH1" s="63"/>
    </row>
    <row r="2" spans="1:294" s="44" customFormat="1" x14ac:dyDescent="0.25">
      <c r="A2" s="97">
        <v>3100</v>
      </c>
      <c r="B2" s="35"/>
      <c r="C2" s="95" t="s">
        <v>203</v>
      </c>
      <c r="D2" s="88" t="s">
        <v>146</v>
      </c>
      <c r="E2" s="63"/>
      <c r="F2" s="63"/>
      <c r="G2" s="95" t="s">
        <v>203</v>
      </c>
      <c r="H2" s="88" t="s">
        <v>146</v>
      </c>
      <c r="I2" s="63"/>
      <c r="J2" s="63"/>
      <c r="K2" s="95" t="s">
        <v>203</v>
      </c>
      <c r="L2" s="88" t="s">
        <v>146</v>
      </c>
      <c r="M2" s="63"/>
      <c r="N2" s="63"/>
      <c r="O2" s="95" t="s">
        <v>203</v>
      </c>
      <c r="P2" s="88" t="s">
        <v>146</v>
      </c>
      <c r="Q2" s="63"/>
      <c r="R2" s="63"/>
      <c r="S2" s="95" t="s">
        <v>203</v>
      </c>
      <c r="T2" s="88" t="s">
        <v>146</v>
      </c>
      <c r="U2" s="63"/>
      <c r="V2" s="63"/>
      <c r="W2" s="95" t="s">
        <v>203</v>
      </c>
      <c r="X2" s="88" t="s">
        <v>146</v>
      </c>
      <c r="Y2" s="63"/>
      <c r="Z2" s="63"/>
      <c r="AA2" s="95" t="s">
        <v>203</v>
      </c>
      <c r="AB2" s="88" t="s">
        <v>146</v>
      </c>
      <c r="AC2" s="63"/>
      <c r="AD2" s="63"/>
      <c r="AE2" s="95" t="s">
        <v>203</v>
      </c>
      <c r="AF2" s="88" t="s">
        <v>146</v>
      </c>
      <c r="AG2" s="63"/>
      <c r="AH2" s="63"/>
      <c r="AI2" s="95" t="s">
        <v>203</v>
      </c>
      <c r="AJ2" s="88" t="s">
        <v>146</v>
      </c>
      <c r="AK2" s="63"/>
      <c r="AL2" s="63"/>
      <c r="AM2" s="95" t="s">
        <v>203</v>
      </c>
      <c r="AN2" s="88" t="s">
        <v>146</v>
      </c>
      <c r="AO2" s="63"/>
      <c r="AP2" s="63"/>
      <c r="AQ2" s="95" t="s">
        <v>203</v>
      </c>
      <c r="AR2" s="88" t="s">
        <v>146</v>
      </c>
      <c r="AS2" s="63"/>
      <c r="AT2" s="63"/>
      <c r="AU2" s="95" t="s">
        <v>203</v>
      </c>
      <c r="AV2" s="88" t="s">
        <v>146</v>
      </c>
      <c r="AW2" s="63"/>
      <c r="AX2" s="63"/>
      <c r="AY2" s="95" t="s">
        <v>203</v>
      </c>
      <c r="AZ2" s="88" t="s">
        <v>146</v>
      </c>
      <c r="BA2" s="63"/>
      <c r="BB2" s="63"/>
      <c r="BC2" s="95" t="s">
        <v>203</v>
      </c>
      <c r="BD2" s="88" t="s">
        <v>146</v>
      </c>
      <c r="BE2" s="63"/>
      <c r="BF2" s="63"/>
      <c r="BG2" s="95" t="s">
        <v>203</v>
      </c>
      <c r="BH2" s="88" t="s">
        <v>146</v>
      </c>
      <c r="BI2" s="63"/>
      <c r="BJ2" s="63"/>
      <c r="BK2" s="95" t="s">
        <v>203</v>
      </c>
      <c r="BL2" s="88" t="s">
        <v>146</v>
      </c>
      <c r="BM2" s="63"/>
      <c r="BN2" s="63"/>
      <c r="BO2" s="95" t="s">
        <v>203</v>
      </c>
      <c r="BP2" s="88" t="s">
        <v>146</v>
      </c>
      <c r="BQ2" s="63"/>
      <c r="BR2" s="63"/>
      <c r="BS2" s="95" t="s">
        <v>203</v>
      </c>
      <c r="BT2" s="88" t="s">
        <v>146</v>
      </c>
      <c r="BU2" s="63"/>
      <c r="BV2" s="63"/>
      <c r="BW2" s="95" t="s">
        <v>203</v>
      </c>
      <c r="BX2" s="88" t="s">
        <v>146</v>
      </c>
      <c r="BY2" s="63"/>
      <c r="BZ2" s="63"/>
      <c r="CA2" s="95" t="s">
        <v>203</v>
      </c>
      <c r="CB2" s="88" t="s">
        <v>146</v>
      </c>
      <c r="CC2" s="63"/>
      <c r="CD2" s="63"/>
      <c r="CE2" s="95" t="s">
        <v>203</v>
      </c>
      <c r="CF2" s="88" t="s">
        <v>146</v>
      </c>
      <c r="CG2" s="63"/>
      <c r="CH2" s="63"/>
      <c r="CI2" s="95" t="s">
        <v>203</v>
      </c>
      <c r="CJ2" s="88" t="s">
        <v>146</v>
      </c>
      <c r="CK2" s="63"/>
      <c r="CL2" s="63"/>
      <c r="CM2" s="95" t="s">
        <v>203</v>
      </c>
      <c r="CN2" s="88" t="s">
        <v>146</v>
      </c>
      <c r="CO2" s="63"/>
      <c r="CP2" s="63"/>
      <c r="CQ2" s="95" t="s">
        <v>203</v>
      </c>
      <c r="CR2" s="88" t="s">
        <v>146</v>
      </c>
      <c r="CS2" s="63"/>
      <c r="CT2" s="63"/>
      <c r="CU2" s="95" t="s">
        <v>203</v>
      </c>
      <c r="CV2" s="88" t="s">
        <v>146</v>
      </c>
      <c r="CW2" s="63"/>
      <c r="CX2" s="63"/>
      <c r="CY2" s="95" t="s">
        <v>203</v>
      </c>
      <c r="CZ2" s="88" t="s">
        <v>146</v>
      </c>
      <c r="DA2" s="63"/>
      <c r="DB2" s="63"/>
      <c r="DC2" s="95" t="s">
        <v>203</v>
      </c>
      <c r="DD2" s="88" t="s">
        <v>146</v>
      </c>
      <c r="DE2" s="63"/>
      <c r="DF2" s="63"/>
      <c r="DG2" s="95" t="s">
        <v>203</v>
      </c>
      <c r="DH2" s="88" t="s">
        <v>146</v>
      </c>
      <c r="DI2" s="63"/>
      <c r="DJ2" s="63"/>
      <c r="DK2" s="95" t="s">
        <v>203</v>
      </c>
      <c r="DL2" s="88" t="s">
        <v>146</v>
      </c>
      <c r="DM2" s="63"/>
      <c r="DN2" s="63"/>
      <c r="DO2" s="95" t="s">
        <v>203</v>
      </c>
      <c r="DP2" s="88" t="s">
        <v>146</v>
      </c>
      <c r="DQ2" s="63"/>
      <c r="DR2" s="63"/>
      <c r="DS2" s="95" t="s">
        <v>203</v>
      </c>
      <c r="DT2" s="88" t="s">
        <v>146</v>
      </c>
      <c r="DU2" s="63"/>
      <c r="DV2" s="63"/>
      <c r="DW2" s="95" t="s">
        <v>203</v>
      </c>
      <c r="DX2" s="88" t="s">
        <v>146</v>
      </c>
      <c r="DY2" s="63"/>
      <c r="DZ2" s="63"/>
      <c r="EA2" s="95" t="s">
        <v>203</v>
      </c>
      <c r="EB2" s="88" t="s">
        <v>146</v>
      </c>
      <c r="EC2" s="63"/>
      <c r="ED2" s="63"/>
      <c r="EE2" s="95" t="s">
        <v>203</v>
      </c>
      <c r="EF2" s="88" t="s">
        <v>146</v>
      </c>
      <c r="EG2" s="63"/>
      <c r="EH2" s="63"/>
      <c r="EI2" s="95" t="s">
        <v>203</v>
      </c>
      <c r="EJ2" s="88" t="s">
        <v>146</v>
      </c>
      <c r="EK2" s="63"/>
      <c r="EL2" s="63"/>
      <c r="EM2" s="95" t="s">
        <v>203</v>
      </c>
      <c r="EN2" s="88" t="s">
        <v>146</v>
      </c>
      <c r="EO2" s="63"/>
      <c r="EP2" s="63"/>
      <c r="EQ2" s="95" t="s">
        <v>203</v>
      </c>
      <c r="ER2" s="88" t="s">
        <v>146</v>
      </c>
      <c r="ES2" s="63"/>
      <c r="ET2" s="63"/>
      <c r="EU2" s="95" t="s">
        <v>203</v>
      </c>
      <c r="EV2" s="88" t="s">
        <v>146</v>
      </c>
      <c r="EW2" s="63"/>
      <c r="EX2" s="63"/>
      <c r="EY2" s="95" t="s">
        <v>203</v>
      </c>
      <c r="EZ2" s="88" t="s">
        <v>146</v>
      </c>
      <c r="FA2" s="63"/>
      <c r="FB2" s="63"/>
      <c r="FC2" s="95" t="s">
        <v>203</v>
      </c>
      <c r="FD2" s="88" t="s">
        <v>146</v>
      </c>
      <c r="FE2" s="63"/>
      <c r="FF2" s="63"/>
      <c r="FG2" s="95" t="s">
        <v>203</v>
      </c>
      <c r="FH2" s="88" t="s">
        <v>146</v>
      </c>
      <c r="FI2" s="63"/>
      <c r="FJ2" s="63"/>
      <c r="FK2" s="95" t="s">
        <v>203</v>
      </c>
      <c r="FL2" s="88" t="s">
        <v>146</v>
      </c>
      <c r="FM2" s="63"/>
      <c r="FN2" s="63"/>
      <c r="FO2" s="95" t="s">
        <v>203</v>
      </c>
      <c r="FP2" s="88" t="s">
        <v>146</v>
      </c>
      <c r="FQ2" s="63"/>
      <c r="FR2" s="63"/>
      <c r="FS2" s="95" t="s">
        <v>203</v>
      </c>
      <c r="FT2" s="88" t="s">
        <v>146</v>
      </c>
      <c r="FU2" s="63"/>
      <c r="FV2" s="63"/>
      <c r="FW2" s="95" t="s">
        <v>203</v>
      </c>
      <c r="FX2" s="88" t="s">
        <v>146</v>
      </c>
      <c r="FY2" s="63"/>
      <c r="FZ2" s="63"/>
      <c r="GA2" s="95" t="s">
        <v>203</v>
      </c>
      <c r="GB2" s="88" t="s">
        <v>146</v>
      </c>
      <c r="GC2" s="63"/>
      <c r="GD2" s="63"/>
      <c r="GE2" s="95" t="s">
        <v>203</v>
      </c>
      <c r="GF2" s="88" t="s">
        <v>146</v>
      </c>
      <c r="GG2" s="63"/>
      <c r="GH2" s="63"/>
      <c r="GI2" s="95" t="s">
        <v>203</v>
      </c>
      <c r="GJ2" s="88" t="s">
        <v>146</v>
      </c>
      <c r="GK2" s="63"/>
      <c r="GL2" s="63"/>
      <c r="GM2" s="95" t="s">
        <v>203</v>
      </c>
      <c r="GN2" s="88" t="s">
        <v>146</v>
      </c>
      <c r="GO2" s="63"/>
      <c r="GP2" s="63"/>
      <c r="GQ2" s="95" t="s">
        <v>203</v>
      </c>
      <c r="GR2" s="88" t="s">
        <v>146</v>
      </c>
      <c r="GS2" s="63"/>
      <c r="GT2" s="63"/>
      <c r="GU2" s="95" t="s">
        <v>203</v>
      </c>
      <c r="GV2" s="88" t="s">
        <v>146</v>
      </c>
      <c r="GW2" s="63"/>
      <c r="GX2" s="63"/>
      <c r="GY2" s="95" t="s">
        <v>203</v>
      </c>
      <c r="GZ2" s="88" t="s">
        <v>146</v>
      </c>
      <c r="HA2" s="63"/>
      <c r="HB2" s="63"/>
      <c r="HC2" s="95" t="s">
        <v>203</v>
      </c>
      <c r="HD2" s="88" t="s">
        <v>146</v>
      </c>
      <c r="HE2" s="63"/>
      <c r="HF2" s="63"/>
      <c r="HG2" s="95" t="s">
        <v>203</v>
      </c>
      <c r="HH2" s="88" t="s">
        <v>146</v>
      </c>
      <c r="HI2" s="63"/>
      <c r="HJ2" s="63"/>
      <c r="HK2" s="95" t="s">
        <v>203</v>
      </c>
      <c r="HL2" s="88" t="s">
        <v>146</v>
      </c>
      <c r="HM2" s="63"/>
      <c r="HN2" s="63"/>
      <c r="HO2" s="95" t="s">
        <v>203</v>
      </c>
      <c r="HP2" s="88" t="s">
        <v>146</v>
      </c>
      <c r="HQ2" s="63"/>
      <c r="HR2" s="63"/>
      <c r="HS2" s="95" t="s">
        <v>203</v>
      </c>
      <c r="HT2" s="88" t="s">
        <v>146</v>
      </c>
      <c r="HU2" s="63"/>
      <c r="HV2" s="63"/>
      <c r="HW2" s="95" t="s">
        <v>203</v>
      </c>
      <c r="HX2" s="88" t="s">
        <v>146</v>
      </c>
      <c r="HY2" s="63"/>
      <c r="HZ2" s="63"/>
      <c r="IA2" s="95" t="s">
        <v>203</v>
      </c>
      <c r="IB2" s="88" t="s">
        <v>146</v>
      </c>
      <c r="IC2" s="63"/>
      <c r="ID2" s="63"/>
      <c r="IE2" s="95" t="s">
        <v>203</v>
      </c>
      <c r="IF2" s="88" t="s">
        <v>146</v>
      </c>
      <c r="IG2" s="63"/>
      <c r="IH2" s="63"/>
      <c r="II2" s="95" t="s">
        <v>203</v>
      </c>
      <c r="IJ2" s="88" t="s">
        <v>146</v>
      </c>
      <c r="IK2" s="63"/>
      <c r="IL2" s="63"/>
      <c r="IM2" s="95" t="s">
        <v>203</v>
      </c>
      <c r="IN2" s="88" t="s">
        <v>146</v>
      </c>
      <c r="IO2" s="63"/>
      <c r="IP2" s="63"/>
      <c r="IQ2" s="95" t="s">
        <v>203</v>
      </c>
      <c r="IR2" s="88" t="s">
        <v>146</v>
      </c>
      <c r="IS2" s="63"/>
      <c r="IT2" s="63"/>
      <c r="IU2" s="95" t="s">
        <v>203</v>
      </c>
      <c r="IV2" s="88" t="s">
        <v>146</v>
      </c>
      <c r="IW2" s="63"/>
      <c r="IX2" s="63"/>
      <c r="IY2" s="95" t="s">
        <v>203</v>
      </c>
      <c r="IZ2" s="88" t="s">
        <v>146</v>
      </c>
      <c r="JA2" s="63"/>
      <c r="JB2" s="63"/>
      <c r="JC2" s="95" t="s">
        <v>203</v>
      </c>
      <c r="JD2" s="88" t="s">
        <v>146</v>
      </c>
      <c r="JE2" s="63"/>
      <c r="JF2" s="63"/>
      <c r="JG2" s="95" t="s">
        <v>203</v>
      </c>
      <c r="JH2" s="88" t="s">
        <v>146</v>
      </c>
      <c r="JI2" s="63"/>
      <c r="JJ2" s="63"/>
      <c r="JK2" s="95" t="s">
        <v>203</v>
      </c>
      <c r="JL2" s="88" t="s">
        <v>146</v>
      </c>
      <c r="JM2" s="63"/>
      <c r="JN2" s="63"/>
      <c r="JO2" s="95" t="s">
        <v>203</v>
      </c>
      <c r="JP2" s="88" t="s">
        <v>146</v>
      </c>
      <c r="JQ2" s="63"/>
      <c r="JR2" s="63"/>
      <c r="JS2" s="95" t="s">
        <v>203</v>
      </c>
      <c r="JT2" s="88" t="s">
        <v>146</v>
      </c>
      <c r="JU2" s="63"/>
      <c r="JV2" s="63"/>
      <c r="JW2" s="95" t="s">
        <v>203</v>
      </c>
      <c r="JX2" s="88" t="s">
        <v>146</v>
      </c>
      <c r="JY2" s="63"/>
      <c r="JZ2" s="63"/>
      <c r="KA2" s="95" t="s">
        <v>203</v>
      </c>
      <c r="KB2" s="88" t="s">
        <v>146</v>
      </c>
      <c r="KC2" s="63"/>
      <c r="KD2" s="63"/>
      <c r="KE2" s="95" t="s">
        <v>203</v>
      </c>
      <c r="KF2" s="88" t="s">
        <v>146</v>
      </c>
      <c r="KG2" s="63"/>
      <c r="KH2" s="63"/>
    </row>
    <row r="3" spans="1:294" x14ac:dyDescent="0.25">
      <c r="A3" s="115">
        <v>40</v>
      </c>
      <c r="C3" s="37" t="s">
        <v>205</v>
      </c>
      <c r="D3" s="63">
        <f>((D$4*60)/0.25)*D$5</f>
        <v>28800</v>
      </c>
      <c r="E3" s="82">
        <f ca="1">-(D$3+D$30)/D$30</f>
        <v>-0.78362458173046678</v>
      </c>
      <c r="F3" s="63"/>
      <c r="G3" s="37" t="s">
        <v>205</v>
      </c>
      <c r="H3" s="63">
        <f>((H$4*60)/0.25)*H$5</f>
        <v>28800</v>
      </c>
      <c r="I3" s="82">
        <f ca="1">-(H$3+H$30)/H$30</f>
        <v>0.32706689051321797</v>
      </c>
      <c r="J3" s="63"/>
      <c r="K3" s="37" t="s">
        <v>205</v>
      </c>
      <c r="L3" s="63">
        <f t="shared" ref="L3" si="71">((L$4*60)/0.25)*L$5</f>
        <v>28800</v>
      </c>
      <c r="M3" s="82">
        <f t="shared" ref="M3" ca="1" si="72">-(L$3+L$30)/L$30</f>
        <v>0.32706689051321797</v>
      </c>
      <c r="N3" s="63"/>
      <c r="O3" s="37" t="s">
        <v>205</v>
      </c>
      <c r="P3" s="63">
        <f t="shared" ref="P3" si="73">((P$4*60)/0.25)*P$5</f>
        <v>28800</v>
      </c>
      <c r="Q3" s="82">
        <f t="shared" ref="Q3" ca="1" si="74">-(P$3+P$30)/P$30</f>
        <v>-0.43085248751933192</v>
      </c>
      <c r="R3" s="63"/>
      <c r="S3" s="37" t="s">
        <v>205</v>
      </c>
      <c r="T3" s="63">
        <f t="shared" ref="T3" si="75">((T$4*60)/0.25)*T$5</f>
        <v>28800</v>
      </c>
      <c r="U3" s="82">
        <f t="shared" ref="U3" ca="1" si="76">-(T$3+T$30)/T$30</f>
        <v>0.32706689051321797</v>
      </c>
      <c r="V3" s="63"/>
      <c r="W3" s="37" t="s">
        <v>205</v>
      </c>
      <c r="X3" s="63">
        <f t="shared" ref="X3" si="77">((X$4*60)/0.25)*X$5</f>
        <v>28800</v>
      </c>
      <c r="Y3" s="82">
        <f t="shared" ref="Y3" ca="1" si="78">-(X$3+X$30)/X$30</f>
        <v>0.32706689051321797</v>
      </c>
      <c r="Z3" s="63"/>
      <c r="AA3" s="37" t="s">
        <v>205</v>
      </c>
      <c r="AB3" s="63">
        <f t="shared" ref="AB3" si="79">((AB$4*60)/0.25)*AB$5</f>
        <v>28800</v>
      </c>
      <c r="AC3" s="82">
        <f t="shared" ref="AC3" ca="1" si="80">-(AB$3+AB$30)/AB$30</f>
        <v>-0.50131938887192873</v>
      </c>
      <c r="AD3" s="63"/>
      <c r="AE3" s="37" t="s">
        <v>205</v>
      </c>
      <c r="AF3" s="63">
        <f t="shared" ref="AF3" si="81">((AF$4*60)/0.25)*AF$5</f>
        <v>38400</v>
      </c>
      <c r="AG3" s="82">
        <f t="shared" ref="AG3" ca="1" si="82">-(AF$3+AF$30)/AF$30</f>
        <v>0.44732005256387897</v>
      </c>
      <c r="AH3" s="63"/>
      <c r="AI3" s="37" t="s">
        <v>205</v>
      </c>
      <c r="AJ3" s="63">
        <f t="shared" ref="AJ3" si="83">((AJ$4*60)/0.25)*AJ$5</f>
        <v>38400</v>
      </c>
      <c r="AK3" s="82">
        <f t="shared" ref="AK3" ca="1" si="84">-(AJ$3+AJ$30)/AJ$30</f>
        <v>0.44732005256387897</v>
      </c>
      <c r="AL3" s="63"/>
      <c r="AM3" s="37" t="s">
        <v>205</v>
      </c>
      <c r="AN3" s="63">
        <f t="shared" ref="AN3" si="85">((AN$4*60)/0.25)*AN$5</f>
        <v>38400</v>
      </c>
      <c r="AO3" s="82">
        <f t="shared" ref="AO3" ca="1" si="86">-(AN$3+AN$30)/AN$30</f>
        <v>-0.40678302582090503</v>
      </c>
      <c r="AP3" s="63"/>
      <c r="AQ3" s="37" t="s">
        <v>205</v>
      </c>
      <c r="AR3" s="63">
        <f t="shared" ref="AR3" si="87">((AR$4*60)/0.25)*AR$5</f>
        <v>38400</v>
      </c>
      <c r="AS3" s="82">
        <f t="shared" ref="AS3" ca="1" si="88">-(AR$3+AR$30)/AR$30</f>
        <v>0.44732005256387897</v>
      </c>
      <c r="AT3" s="63"/>
      <c r="AU3" s="37" t="s">
        <v>205</v>
      </c>
      <c r="AV3" s="63">
        <f t="shared" ref="AV3" si="89">((AV$4*60)/0.25)*AV$5</f>
        <v>38400</v>
      </c>
      <c r="AW3" s="82">
        <f t="shared" ref="AW3" ca="1" si="90">-(AV$3+AV$30)/AV$30</f>
        <v>0.40265796264688003</v>
      </c>
      <c r="AX3" s="63"/>
      <c r="AY3" s="37" t="s">
        <v>205</v>
      </c>
      <c r="AZ3" s="63">
        <f t="shared" ref="AZ3" si="91">((AZ$4*60)/0.25)*AZ$5</f>
        <v>38400</v>
      </c>
      <c r="BA3" s="82">
        <f t="shared" ref="BA3" ca="1" si="92">-(AZ$3+AZ$30)/AZ$30</f>
        <v>-0.44085754996766841</v>
      </c>
      <c r="BB3" s="63"/>
      <c r="BC3" s="37" t="s">
        <v>205</v>
      </c>
      <c r="BD3" s="63">
        <f t="shared" ref="BD3" si="93">((BD$4*60)/0.25)*BD$5</f>
        <v>38400</v>
      </c>
      <c r="BE3" s="82">
        <f t="shared" ref="BE3" ca="1" si="94">-(BD$3+BD$30)/BD$30</f>
        <v>0.40265796264688003</v>
      </c>
      <c r="BF3" s="63"/>
      <c r="BG3" s="37" t="s">
        <v>205</v>
      </c>
      <c r="BH3" s="63">
        <f t="shared" ref="BH3" si="95">((BH$4*60)/0.25)*BH$5</f>
        <v>48000</v>
      </c>
      <c r="BI3" s="82">
        <f t="shared" ref="BI3" ca="1" si="96">-(BH$3+BH$30)/BH$30</f>
        <v>0.52539808128775778</v>
      </c>
      <c r="BJ3" s="63"/>
      <c r="BK3" s="37" t="s">
        <v>205</v>
      </c>
      <c r="BL3" s="63">
        <f t="shared" ref="BL3" si="97">((BL$4*60)/0.25)*BL$5</f>
        <v>48000</v>
      </c>
      <c r="BM3" s="82">
        <f t="shared" ref="BM3" ca="1" si="98">-(BL$3+BL$30)/BL$30</f>
        <v>-0.39215265842599756</v>
      </c>
      <c r="BN3" s="63"/>
      <c r="BO3" s="37" t="s">
        <v>205</v>
      </c>
      <c r="BP3" s="63">
        <f t="shared" ref="BP3" si="99">((BP$4*60)/0.25)*BP$5</f>
        <v>48000</v>
      </c>
      <c r="BQ3" s="82">
        <f t="shared" ref="BQ3" ca="1" si="100">-(BP$3+BP$30)/BP$30</f>
        <v>0.52539808128775778</v>
      </c>
      <c r="BR3" s="63"/>
      <c r="BS3" s="37" t="s">
        <v>205</v>
      </c>
      <c r="BT3" s="63">
        <f t="shared" ref="BT3" si="101">((BT$4*60)/0.25)*BT$5</f>
        <v>48000</v>
      </c>
      <c r="BU3" s="82">
        <f t="shared" ref="BU3" ca="1" si="102">-(BT$3+BT$30)/BT$30</f>
        <v>0.52539808128775778</v>
      </c>
      <c r="BV3" s="63"/>
      <c r="BW3" s="37" t="s">
        <v>205</v>
      </c>
      <c r="BX3" s="63">
        <f t="shared" ref="BX3" si="103">((BX$4*60)/0.25)*BX$5</f>
        <v>48000</v>
      </c>
      <c r="BY3" s="82">
        <f t="shared" ref="BY3" ca="1" si="104">-(BX$3+BX$30)/BX$30</f>
        <v>-0.4151134376017479</v>
      </c>
      <c r="BZ3" s="63"/>
      <c r="CA3" s="37" t="s">
        <v>205</v>
      </c>
      <c r="CB3" s="63">
        <f t="shared" ref="CB3" si="105">((CB$4*60)/0.25)*CB$5</f>
        <v>48000</v>
      </c>
      <c r="CC3" s="82">
        <f t="shared" ref="CC3" ca="1" si="106">-(CB$3+CB$30)/CB$30</f>
        <v>0.52539808128775778</v>
      </c>
      <c r="CD3" s="63"/>
      <c r="CE3" s="37" t="s">
        <v>205</v>
      </c>
      <c r="CF3" s="63">
        <f t="shared" ref="CF3" si="107">((CF$4*60)/0.25)*CF$5</f>
        <v>57600</v>
      </c>
      <c r="CG3" s="82">
        <f t="shared" ref="CG3" ca="1" si="108">-(CF$3+CF$30)/CF$30</f>
        <v>0.61989793818503969</v>
      </c>
      <c r="CH3" s="63"/>
      <c r="CI3" s="37" t="s">
        <v>205</v>
      </c>
      <c r="CJ3" s="63">
        <f t="shared" ref="CJ3" si="109">((CJ$4*60)/0.25)*CJ$5</f>
        <v>57600</v>
      </c>
      <c r="CK3" s="82">
        <f t="shared" ref="CK3" ca="1" si="110">-(CJ$3+CJ$30)/CJ$30</f>
        <v>-0.37633851543707436</v>
      </c>
      <c r="CL3" s="63"/>
      <c r="CM3" s="37" t="s">
        <v>205</v>
      </c>
      <c r="CN3" s="63">
        <f t="shared" ref="CN3" si="111">((CN$4*60)/0.25)*CN$5</f>
        <v>57600</v>
      </c>
      <c r="CO3" s="82">
        <f t="shared" ref="CO3" ca="1" si="112">-(CN$3+CN$30)/CN$30</f>
        <v>0.61989793818503969</v>
      </c>
      <c r="CP3" s="63"/>
      <c r="CQ3" s="37" t="s">
        <v>205</v>
      </c>
      <c r="CR3" s="63">
        <f t="shared" ref="CR3" si="113">((CR$4*60)/0.25)*CR$5</f>
        <v>57600</v>
      </c>
      <c r="CS3" s="82">
        <f t="shared" ref="CS3" ca="1" si="114">-(CR$3+CR$30)/CR$30</f>
        <v>0.61989793818503969</v>
      </c>
      <c r="CT3" s="63"/>
      <c r="CU3" s="37" t="s">
        <v>205</v>
      </c>
      <c r="CV3" s="63">
        <f t="shared" ref="CV3" si="115">((CV$4*60)/0.25)*CV$5</f>
        <v>57600</v>
      </c>
      <c r="CW3" s="82">
        <f t="shared" ref="CW3" ca="1" si="116">-(CV$3+CV$30)/CV$30</f>
        <v>-0.37633851543707436</v>
      </c>
      <c r="CX3" s="63"/>
      <c r="CY3" s="37" t="s">
        <v>205</v>
      </c>
      <c r="CZ3" s="63">
        <f t="shared" ref="CZ3" si="117">((CZ$4*60)/0.25)*CZ$5</f>
        <v>57600</v>
      </c>
      <c r="DA3" s="82">
        <f t="shared" ref="DA3" ca="1" si="118">-(CZ$3+CZ$30)/CZ$30</f>
        <v>0.61989793818503969</v>
      </c>
      <c r="DB3" s="63"/>
      <c r="DC3" s="37" t="s">
        <v>205</v>
      </c>
      <c r="DD3" s="63">
        <f t="shared" ref="DD3" si="119">((DD$4*60)/0.25)*DD$5</f>
        <v>57600</v>
      </c>
      <c r="DE3" s="82">
        <f t="shared" ref="DE3" ca="1" si="120">-(DD$3+DD$30)/DD$30</f>
        <v>0.61989793818503969</v>
      </c>
      <c r="DF3" s="63"/>
      <c r="DG3" s="37" t="s">
        <v>205</v>
      </c>
      <c r="DH3" s="63">
        <f t="shared" ref="DH3" si="121">((DH$4*60)/0.25)*DH$5</f>
        <v>67200</v>
      </c>
      <c r="DI3" s="82">
        <f t="shared" ref="DI3" ca="1" si="122">-(DH$3+DH$30)/DH$30</f>
        <v>-0.36452936678650649</v>
      </c>
      <c r="DJ3" s="63"/>
      <c r="DK3" s="37" t="s">
        <v>205</v>
      </c>
      <c r="DL3" s="63">
        <f t="shared" ref="DL3" si="123">((DL$4*60)/0.25)*DL$5</f>
        <v>67200</v>
      </c>
      <c r="DM3" s="82">
        <f t="shared" ref="DM3" ca="1" si="124">-(DL$3+DL$30)/DL$30</f>
        <v>0.69489833703651083</v>
      </c>
      <c r="DN3" s="63"/>
      <c r="DO3" s="37" t="s">
        <v>205</v>
      </c>
      <c r="DP3" s="63">
        <f t="shared" ref="DP3" si="125">((DP$4*60)/0.25)*DP$5</f>
        <v>67200</v>
      </c>
      <c r="DQ3" s="82">
        <f t="shared" ref="DQ3" ca="1" si="126">-(DP$3+DP$30)/DP$30</f>
        <v>0.69489833703651083</v>
      </c>
      <c r="DR3" s="63"/>
      <c r="DS3" s="37" t="s">
        <v>205</v>
      </c>
      <c r="DT3" s="63">
        <f t="shared" ref="DT3" si="127">((DT$4*60)/0.25)*DT$5</f>
        <v>67200</v>
      </c>
      <c r="DU3" s="82">
        <f t="shared" ref="DU3" ca="1" si="128">-(DT$3+DT$30)/DT$30</f>
        <v>-0.36452936678650649</v>
      </c>
      <c r="DV3" s="63"/>
      <c r="DW3" s="37" t="s">
        <v>205</v>
      </c>
      <c r="DX3" s="63">
        <f t="shared" ref="DX3" si="129">((DX$4*60)/0.25)*DX$5</f>
        <v>67200</v>
      </c>
      <c r="DY3" s="82">
        <f t="shared" ref="DY3" ca="1" si="130">-(DX$3+DX$30)/DX$30</f>
        <v>0.66111331862020806</v>
      </c>
      <c r="DZ3" s="63"/>
      <c r="EA3" s="37" t="s">
        <v>205</v>
      </c>
      <c r="EB3" s="63">
        <f t="shared" ref="EB3" si="131">((EB$4*60)/0.25)*EB$5</f>
        <v>67200</v>
      </c>
      <c r="EC3" s="82">
        <f t="shared" ref="EC3" ca="1" si="132">-(EB$3+EB$30)/EB$30</f>
        <v>0.66111331862020806</v>
      </c>
      <c r="ED3" s="63"/>
      <c r="EE3" s="37" t="s">
        <v>205</v>
      </c>
      <c r="EF3" s="63">
        <f t="shared" ref="EF3" si="133">((EF$4*60)/0.25)*EF$5</f>
        <v>67200</v>
      </c>
      <c r="EG3" s="82">
        <f t="shared" ref="EG3" ca="1" si="134">-(EF$3+EF$30)/EF$30</f>
        <v>-0.40401648053154776</v>
      </c>
      <c r="EH3" s="63"/>
      <c r="EI3" s="37" t="s">
        <v>205</v>
      </c>
      <c r="EJ3" s="63">
        <f t="shared" ref="EJ3" si="135">((EJ$4*60)/0.25)*EJ$5</f>
        <v>76800</v>
      </c>
      <c r="EK3" s="82">
        <f t="shared" ref="EK3" ca="1" si="136">-(EJ$3+EJ$30)/EJ$30</f>
        <v>0.71963671181376576</v>
      </c>
      <c r="EL3" s="63"/>
      <c r="EM3" s="37" t="s">
        <v>205</v>
      </c>
      <c r="EN3" s="63">
        <f t="shared" ref="EN3" si="137">((EN$4*60)/0.25)*EN$5</f>
        <v>76800</v>
      </c>
      <c r="EO3" s="82">
        <f t="shared" ref="EO3" ca="1" si="138">-(EN$3+EN$30)/EN$30</f>
        <v>0.71963671181376576</v>
      </c>
      <c r="EP3" s="63"/>
      <c r="EQ3" s="37" t="s">
        <v>205</v>
      </c>
      <c r="ER3" s="63">
        <f t="shared" ref="ER3" si="139">((ER$4*60)/0.25)*ER$5</f>
        <v>76800</v>
      </c>
      <c r="ES3" s="82">
        <f t="shared" ref="ES3" ca="1" si="140">-(ER$3+ER$30)/ER$30</f>
        <v>-0.36032301415079154</v>
      </c>
      <c r="ET3" s="63"/>
      <c r="EU3" s="37" t="s">
        <v>205</v>
      </c>
      <c r="EV3" s="63">
        <f t="shared" ref="EV3" si="141">((EV$4*60)/0.25)*EV$5</f>
        <v>76800</v>
      </c>
      <c r="EW3" s="82">
        <f t="shared" ref="EW3" ca="1" si="142">-(EV$3+EV$30)/EV$30</f>
        <v>0.71963671181376576</v>
      </c>
      <c r="EX3" s="63"/>
      <c r="EY3" s="37" t="s">
        <v>205</v>
      </c>
      <c r="EZ3" s="63">
        <f t="shared" ref="EZ3" si="143">((EZ$4*60)/0.25)*EZ$5</f>
        <v>76800</v>
      </c>
      <c r="FA3" s="82">
        <f t="shared" ref="FA3" ca="1" si="144">-(EZ$3+EZ$30)/EZ$30</f>
        <v>0.71963671181376576</v>
      </c>
      <c r="FB3" s="63"/>
      <c r="FC3" s="37" t="s">
        <v>205</v>
      </c>
      <c r="FD3" s="63">
        <f t="shared" ref="FD3" si="145">((FD$4*60)/0.25)*FD$5</f>
        <v>76800</v>
      </c>
      <c r="FE3" s="82">
        <f t="shared" ref="FE3" ca="1" si="146">-(FD$3+FD$30)/FD$30</f>
        <v>-0.39173421801158426</v>
      </c>
      <c r="FF3" s="63"/>
      <c r="FG3" s="37" t="s">
        <v>205</v>
      </c>
      <c r="FH3" s="63">
        <f t="shared" ref="FH3" si="147">((FH$4*60)/0.25)*FH$5</f>
        <v>86400</v>
      </c>
      <c r="FI3" s="82">
        <f t="shared" ref="FI3" ca="1" si="148">-(FH$3+FH$30)/FH$30</f>
        <v>0.76808620111555381</v>
      </c>
      <c r="FJ3" s="63"/>
      <c r="FK3" s="37" t="s">
        <v>205</v>
      </c>
      <c r="FL3" s="63">
        <f t="shared" ref="FL3" si="149">((FL$4*60)/0.25)*FL$5</f>
        <v>86400</v>
      </c>
      <c r="FM3" s="82">
        <f t="shared" ref="FM3" ca="1" si="150">-(FL$3+FL$30)/FL$30</f>
        <v>0.76808620111555381</v>
      </c>
      <c r="FN3" s="63"/>
      <c r="FO3" s="37" t="s">
        <v>205</v>
      </c>
      <c r="FP3" s="63">
        <f t="shared" ref="FP3" si="151">((FP$4*60)/0.25)*FP$5</f>
        <v>86400</v>
      </c>
      <c r="FQ3" s="82">
        <f t="shared" ref="FQ3" ca="1" si="152">-(FP$3+FP$30)/FP$30</f>
        <v>-0.35313070684010567</v>
      </c>
      <c r="FR3" s="63"/>
      <c r="FS3" s="37" t="s">
        <v>205</v>
      </c>
      <c r="FT3" s="63">
        <f t="shared" ref="FT3" si="153">((FT$4*60)/0.25)*FT$5</f>
        <v>86400</v>
      </c>
      <c r="FU3" s="82">
        <f t="shared" ref="FU3" ca="1" si="154">-(FT$3+FT$30)/FT$30</f>
        <v>0.76808620111555381</v>
      </c>
      <c r="FV3" s="63"/>
      <c r="FW3" s="37" t="s">
        <v>205</v>
      </c>
      <c r="FX3" s="63">
        <f t="shared" ref="FX3" si="155">((FX$4*60)/0.25)*FX$5</f>
        <v>86400</v>
      </c>
      <c r="FY3" s="82">
        <f t="shared" ref="FY3" ca="1" si="156">-(FX$3+FX$30)/FX$30</f>
        <v>0.76808620111555381</v>
      </c>
      <c r="FZ3" s="63"/>
      <c r="GA3" s="37" t="s">
        <v>205</v>
      </c>
      <c r="GB3" s="63">
        <f t="shared" ref="GB3" si="157">((GB$4*60)/0.25)*GB$5</f>
        <v>86400</v>
      </c>
      <c r="GC3" s="82">
        <f t="shared" ref="GC3" ca="1" si="158">-(GB$3+GB$30)/GB$30</f>
        <v>-0.36780362477277462</v>
      </c>
      <c r="GD3" s="63"/>
      <c r="GE3" s="37" t="s">
        <v>205</v>
      </c>
      <c r="GF3" s="63">
        <f t="shared" ref="GF3" si="159">((GF$4*60)/0.25)*GF$5</f>
        <v>86400</v>
      </c>
      <c r="GG3" s="82">
        <f t="shared" ref="GG3" ca="1" si="160">-(GF$3+GF$30)/GF$30</f>
        <v>0.76808620111555381</v>
      </c>
      <c r="GH3" s="63"/>
      <c r="GI3" s="37" t="s">
        <v>205</v>
      </c>
      <c r="GJ3" s="63">
        <f t="shared" ref="GJ3" si="161">((GJ$4*60)/0.25)*GJ$5</f>
        <v>96000</v>
      </c>
      <c r="GK3" s="82">
        <f t="shared" ref="GK3" ca="1" si="162">-(GJ$3+GJ$30)/GJ$30</f>
        <v>0.80885675950907265</v>
      </c>
      <c r="GL3" s="63"/>
      <c r="GM3" s="37" t="s">
        <v>205</v>
      </c>
      <c r="GN3" s="63">
        <f t="shared" ref="GN3" si="163">((GN$4*60)/0.25)*GN$5</f>
        <v>96000</v>
      </c>
      <c r="GO3" s="82">
        <f t="shared" ref="GO3" ca="1" si="164">-(GN$3+GN$30)/GN$30</f>
        <v>-0.34725935436510713</v>
      </c>
      <c r="GP3" s="63"/>
      <c r="GQ3" s="37" t="s">
        <v>205</v>
      </c>
      <c r="GR3" s="63">
        <f t="shared" ref="GR3" si="165">((GR$4*60)/0.25)*GR$5</f>
        <v>96000</v>
      </c>
      <c r="GS3" s="82">
        <f t="shared" ref="GS3" ca="1" si="166">-(GR$3+GR$30)/GR$30</f>
        <v>0.80885675950907265</v>
      </c>
      <c r="GT3" s="63"/>
      <c r="GU3" s="37" t="s">
        <v>205</v>
      </c>
      <c r="GV3" s="63">
        <f t="shared" ref="GV3" si="167">((GV$4*60)/0.25)*GV$5</f>
        <v>96000</v>
      </c>
      <c r="GW3" s="82">
        <f t="shared" ref="GW3" ca="1" si="168">-(GV$3+GV$30)/GV$30</f>
        <v>0.80885675950907265</v>
      </c>
      <c r="GX3" s="63"/>
      <c r="GY3" s="37" t="s">
        <v>205</v>
      </c>
      <c r="GZ3" s="63">
        <f t="shared" ref="GZ3" si="169">((GZ$4*60)/0.25)*GZ$5</f>
        <v>96000</v>
      </c>
      <c r="HA3" s="82">
        <f t="shared" ref="HA3" ca="1" si="170">-(GZ$3+GZ$30)/GZ$30</f>
        <v>-0.34725935436510713</v>
      </c>
      <c r="HB3" s="63"/>
      <c r="HC3" s="37" t="s">
        <v>205</v>
      </c>
      <c r="HD3" s="63">
        <f t="shared" ref="HD3" si="171">((HD$4*60)/0.25)*HD$5</f>
        <v>96000</v>
      </c>
      <c r="HE3" s="82">
        <f t="shared" ref="HE3" ca="1" si="172">-(HD$3+HD$30)/HD$30</f>
        <v>0.80885675950907265</v>
      </c>
      <c r="HF3" s="63"/>
      <c r="HG3" s="37" t="s">
        <v>205</v>
      </c>
      <c r="HH3" s="63">
        <f t="shared" ref="HH3" si="173">((HH$4*60)/0.25)*HH$5</f>
        <v>96000</v>
      </c>
      <c r="HI3" s="82">
        <f t="shared" ref="HI3" ca="1" si="174">-(HH$3+HH$30)/HH$30</f>
        <v>0.80885675950907265</v>
      </c>
      <c r="HJ3" s="63"/>
      <c r="HK3" s="37" t="s">
        <v>205</v>
      </c>
      <c r="HL3" s="63">
        <f t="shared" ref="HL3" si="175">((HL$4*60)/0.25)*HL$5</f>
        <v>105600</v>
      </c>
      <c r="HM3" s="82">
        <f t="shared" ref="HM3" ca="1" si="176">-(HL$3+HL$30)/HL$30</f>
        <v>-0.342375650439253</v>
      </c>
      <c r="HN3" s="63"/>
      <c r="HO3" s="37" t="s">
        <v>205</v>
      </c>
      <c r="HP3" s="63">
        <f t="shared" ref="HP3" si="177">((HP$4*60)/0.25)*HP$5</f>
        <v>105600</v>
      </c>
      <c r="HQ3" s="82">
        <f t="shared" ref="HQ3" ca="1" si="178">-(HP$3+HP$30)/HP$30</f>
        <v>0.84363992912312946</v>
      </c>
      <c r="HR3" s="63"/>
      <c r="HS3" s="37" t="s">
        <v>205</v>
      </c>
      <c r="HT3" s="63">
        <f t="shared" ref="HT3" si="179">((HT$4*60)/0.25)*HT$5</f>
        <v>105600</v>
      </c>
      <c r="HU3" s="82">
        <f t="shared" ref="HU3" ca="1" si="180">-(HT$3+HT$30)/HT$30</f>
        <v>0.84363992912312946</v>
      </c>
      <c r="HV3" s="63"/>
      <c r="HW3" s="37" t="s">
        <v>205</v>
      </c>
      <c r="HX3" s="63">
        <f t="shared" ref="HX3" si="181">((HX$4*60)/0.25)*HX$5</f>
        <v>105600</v>
      </c>
      <c r="HY3" s="82">
        <f t="shared" ref="HY3" ca="1" si="182">-(HX$3+HX$30)/HX$30</f>
        <v>-0.342375650439253</v>
      </c>
      <c r="HZ3" s="63"/>
      <c r="IA3" s="37" t="s">
        <v>205</v>
      </c>
      <c r="IB3" s="63">
        <f t="shared" ref="IB3" si="183">((IB$4*60)/0.25)*IB$5</f>
        <v>105600</v>
      </c>
      <c r="IC3" s="82">
        <f t="shared" ref="IC3" ca="1" si="184">-(IB$3+IB$30)/IB$30</f>
        <v>0.84363992912312946</v>
      </c>
      <c r="ID3" s="63"/>
      <c r="IE3" s="37" t="s">
        <v>205</v>
      </c>
      <c r="IF3" s="63">
        <f t="shared" ref="IF3" si="185">((IF$4*60)/0.25)*IF$5</f>
        <v>105600</v>
      </c>
      <c r="IG3" s="82">
        <f t="shared" ref="IG3" ca="1" si="186">-(IF$3+IF$30)/IF$30</f>
        <v>0.84363992912312946</v>
      </c>
      <c r="IH3" s="63"/>
      <c r="II3" s="37" t="s">
        <v>205</v>
      </c>
      <c r="IJ3" s="63">
        <f t="shared" ref="IJ3" si="187">((IJ$4*60)/0.25)*IJ$5</f>
        <v>115200</v>
      </c>
      <c r="IK3" s="82">
        <f t="shared" ref="IK3" ca="1" si="188">-(IJ$3+IJ$30)/IJ$30</f>
        <v>-0.33824972328639186</v>
      </c>
      <c r="IL3" s="63"/>
      <c r="IM3" s="37" t="s">
        <v>205</v>
      </c>
      <c r="IN3" s="63">
        <f t="shared" ref="IN3" si="189">((IN$4*60)/0.25)*IN$5</f>
        <v>115200</v>
      </c>
      <c r="IO3" s="82">
        <f t="shared" ref="IO3" ca="1" si="190">-(IN$3+IN$30)/IN$30</f>
        <v>0.8736644122244116</v>
      </c>
      <c r="IP3" s="63"/>
      <c r="IQ3" s="37" t="s">
        <v>205</v>
      </c>
      <c r="IR3" s="63">
        <f t="shared" ref="IR3" si="191">((IR$4*60)/0.25)*IR$5</f>
        <v>115200</v>
      </c>
      <c r="IS3" s="82">
        <f t="shared" ref="IS3" ca="1" si="192">-(IR$3+IR$30)/IR$30</f>
        <v>0.8736644122244116</v>
      </c>
      <c r="IT3" s="63"/>
      <c r="IU3" s="37" t="s">
        <v>205</v>
      </c>
      <c r="IV3" s="63">
        <f t="shared" ref="IV3" si="193">((IV$4*60)/0.25)*IV$5</f>
        <v>115200</v>
      </c>
      <c r="IW3" s="82">
        <f t="shared" ref="IW3" ca="1" si="194">-(IV$3+IV$30)/IV$30</f>
        <v>-0.33824972328639186</v>
      </c>
      <c r="IX3" s="63"/>
      <c r="IY3" s="37" t="s">
        <v>205</v>
      </c>
      <c r="IZ3" s="63">
        <f t="shared" ref="IZ3" si="195">((IZ$4*60)/0.25)*IZ$5</f>
        <v>115200</v>
      </c>
      <c r="JA3" s="82">
        <f t="shared" ref="JA3" ca="1" si="196">-(IZ$3+IZ$30)/IZ$30</f>
        <v>0.8736644122244116</v>
      </c>
      <c r="JB3" s="63"/>
      <c r="JC3" s="37" t="s">
        <v>205</v>
      </c>
      <c r="JD3" s="63">
        <f t="shared" ref="JD3" si="197">((JD$4*60)/0.25)*JD$5</f>
        <v>115200</v>
      </c>
      <c r="JE3" s="82">
        <f t="shared" ref="JE3" ca="1" si="198">-(JD$3+JD$30)/JD$30</f>
        <v>0.8736644122244116</v>
      </c>
      <c r="JF3" s="63"/>
      <c r="JG3" s="37" t="s">
        <v>205</v>
      </c>
      <c r="JH3" s="63">
        <f t="shared" ref="JH3" si="199">((JH$4*60)/0.25)*JH$5</f>
        <v>115200</v>
      </c>
      <c r="JI3" s="82">
        <f t="shared" ref="JI3" ca="1" si="200">-(JH$3+JH$30)/JH$30</f>
        <v>-0.36100746309801912</v>
      </c>
      <c r="JJ3" s="63"/>
      <c r="JK3" s="37" t="s">
        <v>205</v>
      </c>
      <c r="JL3" s="63">
        <f t="shared" ref="JL3" si="201">((JL$4*60)/0.25)*JL$5</f>
        <v>124800</v>
      </c>
      <c r="JM3" s="82">
        <f t="shared" ref="JM3" ca="1" si="202">-(JL$3+JL$30)/JL$30</f>
        <v>0.89984423866091945</v>
      </c>
      <c r="JN3" s="63"/>
      <c r="JO3" s="37" t="s">
        <v>205</v>
      </c>
      <c r="JP3" s="63">
        <f t="shared" ref="JP3" si="203">((JP$4*60)/0.25)*JP$5</f>
        <v>124800</v>
      </c>
      <c r="JQ3" s="82">
        <f t="shared" ref="JQ3" ca="1" si="204">-(JP$3+JP$30)/JP$30</f>
        <v>0.89984423866091945</v>
      </c>
      <c r="JR3" s="63"/>
      <c r="JS3" s="37" t="s">
        <v>205</v>
      </c>
      <c r="JT3" s="63">
        <f t="shared" ref="JT3" si="205">((JT$4*60)/0.25)*JT$5</f>
        <v>124800</v>
      </c>
      <c r="JU3" s="82">
        <f t="shared" ref="JU3" ca="1" si="206">-(JT$3+JT$30)/JT$30</f>
        <v>-0.33471790101149379</v>
      </c>
      <c r="JV3" s="63"/>
      <c r="JW3" s="37" t="s">
        <v>205</v>
      </c>
      <c r="JX3" s="63">
        <f t="shared" ref="JX3" si="207">((JX$4*60)/0.25)*JX$5</f>
        <v>124800</v>
      </c>
      <c r="JY3" s="82">
        <f t="shared" ref="JY3" ca="1" si="208">-(JX$3+JX$30)/JX$30</f>
        <v>0.89984423866091945</v>
      </c>
      <c r="JZ3" s="63"/>
      <c r="KA3" s="37" t="s">
        <v>205</v>
      </c>
      <c r="KB3" s="63">
        <f t="shared" ref="KB3" si="209">((KB$4*60)/0.25)*KB$5</f>
        <v>124800</v>
      </c>
      <c r="KC3" s="82">
        <f t="shared" ref="KC3" ca="1" si="210">-(KB$3+KB$30)/KB$30</f>
        <v>0.89984423866091945</v>
      </c>
      <c r="KD3" s="63"/>
      <c r="KE3" s="37" t="s">
        <v>205</v>
      </c>
      <c r="KF3" s="63">
        <f t="shared" ref="KF3" si="211">((KF$4*60)/0.25)*KF$5</f>
        <v>124800</v>
      </c>
      <c r="KG3" s="82">
        <f t="shared" ref="KG3" ca="1" si="212">-(KF$3+KF$30)/KF$30</f>
        <v>0.16646856304921914</v>
      </c>
      <c r="KH3" s="63"/>
    </row>
    <row r="4" spans="1:294" x14ac:dyDescent="0.25">
      <c r="A4" s="116">
        <v>0.15</v>
      </c>
      <c r="C4" s="37" t="s">
        <v>208</v>
      </c>
      <c r="D4" s="44">
        <v>3</v>
      </c>
      <c r="E4" s="63"/>
      <c r="F4" s="63"/>
      <c r="G4" s="37" t="s">
        <v>208</v>
      </c>
      <c r="H4" s="44">
        <f>INT(3 + (COLUMN()-COLUMN($D4))/4 * $A$4)</f>
        <v>3</v>
      </c>
      <c r="I4" s="63"/>
      <c r="J4" s="63"/>
      <c r="K4" s="37" t="s">
        <v>208</v>
      </c>
      <c r="L4" s="44">
        <f t="shared" ref="L4" si="213">INT(3 + (COLUMN()-COLUMN($D4))/4 * $A$4)</f>
        <v>3</v>
      </c>
      <c r="M4" s="63"/>
      <c r="N4" s="63"/>
      <c r="O4" s="37" t="s">
        <v>208</v>
      </c>
      <c r="P4" s="44">
        <f t="shared" ref="P4" si="214">INT(3 + (COLUMN()-COLUMN($D4))/4 * $A$4)</f>
        <v>3</v>
      </c>
      <c r="Q4" s="63"/>
      <c r="R4" s="63"/>
      <c r="S4" s="37" t="s">
        <v>208</v>
      </c>
      <c r="T4" s="44">
        <f t="shared" ref="T4" si="215">INT(3 + (COLUMN()-COLUMN($D4))/4 * $A$4)</f>
        <v>3</v>
      </c>
      <c r="U4" s="63"/>
      <c r="V4" s="63"/>
      <c r="W4" s="37" t="s">
        <v>208</v>
      </c>
      <c r="X4" s="44">
        <f t="shared" ref="X4" si="216">INT(3 + (COLUMN()-COLUMN($D4))/4 * $A$4)</f>
        <v>3</v>
      </c>
      <c r="Y4" s="63"/>
      <c r="Z4" s="63"/>
      <c r="AA4" s="37" t="s">
        <v>208</v>
      </c>
      <c r="AB4" s="44">
        <f t="shared" ref="AB4" si="217">INT(3 + (COLUMN()-COLUMN($D4))/4 * $A$4)</f>
        <v>3</v>
      </c>
      <c r="AC4" s="63"/>
      <c r="AD4" s="63"/>
      <c r="AE4" s="37" t="s">
        <v>208</v>
      </c>
      <c r="AF4" s="44">
        <f t="shared" ref="AF4" si="218">INT(3 + (COLUMN()-COLUMN($D4))/4 * $A$4)</f>
        <v>4</v>
      </c>
      <c r="AG4" s="63"/>
      <c r="AH4" s="63"/>
      <c r="AI4" s="37" t="s">
        <v>208</v>
      </c>
      <c r="AJ4" s="44">
        <f t="shared" ref="AJ4" si="219">INT(3 + (COLUMN()-COLUMN($D4))/4 * $A$4)</f>
        <v>4</v>
      </c>
      <c r="AK4" s="63"/>
      <c r="AL4" s="63"/>
      <c r="AM4" s="37" t="s">
        <v>208</v>
      </c>
      <c r="AN4" s="44">
        <f t="shared" ref="AN4" si="220">INT(3 + (COLUMN()-COLUMN($D4))/4 * $A$4)</f>
        <v>4</v>
      </c>
      <c r="AO4" s="63"/>
      <c r="AP4" s="63"/>
      <c r="AQ4" s="37" t="s">
        <v>208</v>
      </c>
      <c r="AR4" s="44">
        <f t="shared" ref="AR4" si="221">INT(3 + (COLUMN()-COLUMN($D4))/4 * $A$4)</f>
        <v>4</v>
      </c>
      <c r="AS4" s="63"/>
      <c r="AT4" s="63"/>
      <c r="AU4" s="37" t="s">
        <v>208</v>
      </c>
      <c r="AV4" s="44">
        <f t="shared" ref="AV4" si="222">INT(3 + (COLUMN()-COLUMN($D4))/4 * $A$4)</f>
        <v>4</v>
      </c>
      <c r="AW4" s="63"/>
      <c r="AX4" s="63"/>
      <c r="AY4" s="37" t="s">
        <v>208</v>
      </c>
      <c r="AZ4" s="44">
        <f t="shared" ref="AZ4" si="223">INT(3 + (COLUMN()-COLUMN($D4))/4 * $A$4)</f>
        <v>4</v>
      </c>
      <c r="BA4" s="63"/>
      <c r="BB4" s="63"/>
      <c r="BC4" s="37" t="s">
        <v>208</v>
      </c>
      <c r="BD4" s="44">
        <f t="shared" ref="BD4" si="224">INT(3 + (COLUMN()-COLUMN($D4))/4 * $A$4)</f>
        <v>4</v>
      </c>
      <c r="BE4" s="63"/>
      <c r="BF4" s="63"/>
      <c r="BG4" s="37" t="s">
        <v>208</v>
      </c>
      <c r="BH4" s="44">
        <f t="shared" ref="BH4" si="225">INT(3 + (COLUMN()-COLUMN($D4))/4 * $A$4)</f>
        <v>5</v>
      </c>
      <c r="BI4" s="63"/>
      <c r="BJ4" s="63"/>
      <c r="BK4" s="37" t="s">
        <v>208</v>
      </c>
      <c r="BL4" s="44">
        <f t="shared" ref="BL4" si="226">INT(3 + (COLUMN()-COLUMN($D4))/4 * $A$4)</f>
        <v>5</v>
      </c>
      <c r="BM4" s="63"/>
      <c r="BN4" s="63"/>
      <c r="BO4" s="37" t="s">
        <v>208</v>
      </c>
      <c r="BP4" s="44">
        <f t="shared" ref="BP4" si="227">INT(3 + (COLUMN()-COLUMN($D4))/4 * $A$4)</f>
        <v>5</v>
      </c>
      <c r="BQ4" s="63"/>
      <c r="BR4" s="63"/>
      <c r="BS4" s="37" t="s">
        <v>208</v>
      </c>
      <c r="BT4" s="44">
        <f t="shared" ref="BT4" si="228">INT(3 + (COLUMN()-COLUMN($D4))/4 * $A$4)</f>
        <v>5</v>
      </c>
      <c r="BU4" s="63"/>
      <c r="BV4" s="63"/>
      <c r="BW4" s="37" t="s">
        <v>208</v>
      </c>
      <c r="BX4" s="44">
        <f t="shared" ref="BX4" si="229">INT(3 + (COLUMN()-COLUMN($D4))/4 * $A$4)</f>
        <v>5</v>
      </c>
      <c r="BY4" s="63"/>
      <c r="BZ4" s="63"/>
      <c r="CA4" s="37" t="s">
        <v>208</v>
      </c>
      <c r="CB4" s="44">
        <f t="shared" ref="CB4" si="230">INT(3 + (COLUMN()-COLUMN($D4))/4 * $A$4)</f>
        <v>5</v>
      </c>
      <c r="CC4" s="63"/>
      <c r="CD4" s="63"/>
      <c r="CE4" s="37" t="s">
        <v>208</v>
      </c>
      <c r="CF4" s="44">
        <f t="shared" ref="CF4" si="231">INT(3 + (COLUMN()-COLUMN($D4))/4 * $A$4)</f>
        <v>6</v>
      </c>
      <c r="CG4" s="63"/>
      <c r="CH4" s="63"/>
      <c r="CI4" s="37" t="s">
        <v>208</v>
      </c>
      <c r="CJ4" s="44">
        <f t="shared" ref="CJ4" si="232">INT(3 + (COLUMN()-COLUMN($D4))/4 * $A$4)</f>
        <v>6</v>
      </c>
      <c r="CK4" s="63"/>
      <c r="CL4" s="63"/>
      <c r="CM4" s="37" t="s">
        <v>208</v>
      </c>
      <c r="CN4" s="44">
        <f t="shared" ref="CN4" si="233">INT(3 + (COLUMN()-COLUMN($D4))/4 * $A$4)</f>
        <v>6</v>
      </c>
      <c r="CO4" s="63"/>
      <c r="CP4" s="63"/>
      <c r="CQ4" s="37" t="s">
        <v>208</v>
      </c>
      <c r="CR4" s="44">
        <f t="shared" ref="CR4" si="234">INT(3 + (COLUMN()-COLUMN($D4))/4 * $A$4)</f>
        <v>6</v>
      </c>
      <c r="CS4" s="63"/>
      <c r="CT4" s="63"/>
      <c r="CU4" s="37" t="s">
        <v>208</v>
      </c>
      <c r="CV4" s="44">
        <f t="shared" ref="CV4" si="235">INT(3 + (COLUMN()-COLUMN($D4))/4 * $A$4)</f>
        <v>6</v>
      </c>
      <c r="CW4" s="63"/>
      <c r="CX4" s="63"/>
      <c r="CY4" s="37" t="s">
        <v>208</v>
      </c>
      <c r="CZ4" s="44">
        <f t="shared" ref="CZ4" si="236">INT(3 + (COLUMN()-COLUMN($D4))/4 * $A$4)</f>
        <v>6</v>
      </c>
      <c r="DA4" s="63"/>
      <c r="DB4" s="63"/>
      <c r="DC4" s="37" t="s">
        <v>208</v>
      </c>
      <c r="DD4" s="44">
        <f t="shared" ref="DD4" si="237">INT(3 + (COLUMN()-COLUMN($D4))/4 * $A$4)</f>
        <v>6</v>
      </c>
      <c r="DE4" s="63"/>
      <c r="DF4" s="63"/>
      <c r="DG4" s="37" t="s">
        <v>208</v>
      </c>
      <c r="DH4" s="44">
        <f t="shared" ref="DH4" si="238">INT(3 + (COLUMN()-COLUMN($D4))/4 * $A$4)</f>
        <v>7</v>
      </c>
      <c r="DI4" s="63"/>
      <c r="DJ4" s="63"/>
      <c r="DK4" s="37" t="s">
        <v>208</v>
      </c>
      <c r="DL4" s="44">
        <f t="shared" ref="DL4" si="239">INT(3 + (COLUMN()-COLUMN($D4))/4 * $A$4)</f>
        <v>7</v>
      </c>
      <c r="DM4" s="63"/>
      <c r="DN4" s="63"/>
      <c r="DO4" s="37" t="s">
        <v>208</v>
      </c>
      <c r="DP4" s="44">
        <f t="shared" ref="DP4" si="240">INT(3 + (COLUMN()-COLUMN($D4))/4 * $A$4)</f>
        <v>7</v>
      </c>
      <c r="DQ4" s="63"/>
      <c r="DR4" s="63"/>
      <c r="DS4" s="37" t="s">
        <v>208</v>
      </c>
      <c r="DT4" s="44">
        <f t="shared" ref="DT4" si="241">INT(3 + (COLUMN()-COLUMN($D4))/4 * $A$4)</f>
        <v>7</v>
      </c>
      <c r="DU4" s="63"/>
      <c r="DV4" s="63"/>
      <c r="DW4" s="37" t="s">
        <v>208</v>
      </c>
      <c r="DX4" s="44">
        <f t="shared" ref="DX4" si="242">INT(3 + (COLUMN()-COLUMN($D4))/4 * $A$4)</f>
        <v>7</v>
      </c>
      <c r="DY4" s="63"/>
      <c r="DZ4" s="63"/>
      <c r="EA4" s="37" t="s">
        <v>208</v>
      </c>
      <c r="EB4" s="44">
        <f t="shared" ref="EB4" si="243">INT(3 + (COLUMN()-COLUMN($D4))/4 * $A$4)</f>
        <v>7</v>
      </c>
      <c r="EC4" s="63"/>
      <c r="ED4" s="63"/>
      <c r="EE4" s="37" t="s">
        <v>208</v>
      </c>
      <c r="EF4" s="44">
        <f t="shared" ref="EF4" si="244">INT(3 + (COLUMN()-COLUMN($D4))/4 * $A$4)</f>
        <v>7</v>
      </c>
      <c r="EG4" s="63"/>
      <c r="EH4" s="63"/>
      <c r="EI4" s="37" t="s">
        <v>208</v>
      </c>
      <c r="EJ4" s="44">
        <f t="shared" ref="EJ4" si="245">INT(3 + (COLUMN()-COLUMN($D4))/4 * $A$4)</f>
        <v>8</v>
      </c>
      <c r="EK4" s="63"/>
      <c r="EL4" s="63"/>
      <c r="EM4" s="37" t="s">
        <v>208</v>
      </c>
      <c r="EN4" s="44">
        <f t="shared" ref="EN4" si="246">INT(3 + (COLUMN()-COLUMN($D4))/4 * $A$4)</f>
        <v>8</v>
      </c>
      <c r="EO4" s="63"/>
      <c r="EP4" s="63"/>
      <c r="EQ4" s="37" t="s">
        <v>208</v>
      </c>
      <c r="ER4" s="44">
        <f t="shared" ref="ER4" si="247">INT(3 + (COLUMN()-COLUMN($D4))/4 * $A$4)</f>
        <v>8</v>
      </c>
      <c r="ES4" s="63"/>
      <c r="ET4" s="63"/>
      <c r="EU4" s="37" t="s">
        <v>208</v>
      </c>
      <c r="EV4" s="44">
        <f t="shared" ref="EV4" si="248">INT(3 + (COLUMN()-COLUMN($D4))/4 * $A$4)</f>
        <v>8</v>
      </c>
      <c r="EW4" s="63"/>
      <c r="EX4" s="63"/>
      <c r="EY4" s="37" t="s">
        <v>208</v>
      </c>
      <c r="EZ4" s="44">
        <f t="shared" ref="EZ4" si="249">INT(3 + (COLUMN()-COLUMN($D4))/4 * $A$4)</f>
        <v>8</v>
      </c>
      <c r="FA4" s="63"/>
      <c r="FB4" s="63"/>
      <c r="FC4" s="37" t="s">
        <v>208</v>
      </c>
      <c r="FD4" s="44">
        <f t="shared" ref="FD4" si="250">INT(3 + (COLUMN()-COLUMN($D4))/4 * $A$4)</f>
        <v>8</v>
      </c>
      <c r="FE4" s="63"/>
      <c r="FF4" s="63"/>
      <c r="FG4" s="37" t="s">
        <v>208</v>
      </c>
      <c r="FH4" s="44">
        <f t="shared" ref="FH4" si="251">INT(3 + (COLUMN()-COLUMN($D4))/4 * $A$4)</f>
        <v>9</v>
      </c>
      <c r="FI4" s="63"/>
      <c r="FJ4" s="63"/>
      <c r="FK4" s="37" t="s">
        <v>208</v>
      </c>
      <c r="FL4" s="44">
        <f t="shared" ref="FL4" si="252">INT(3 + (COLUMN()-COLUMN($D4))/4 * $A$4)</f>
        <v>9</v>
      </c>
      <c r="FM4" s="63"/>
      <c r="FN4" s="63"/>
      <c r="FO4" s="37" t="s">
        <v>208</v>
      </c>
      <c r="FP4" s="44">
        <f t="shared" ref="FP4" si="253">INT(3 + (COLUMN()-COLUMN($D4))/4 * $A$4)</f>
        <v>9</v>
      </c>
      <c r="FQ4" s="63"/>
      <c r="FR4" s="63"/>
      <c r="FS4" s="37" t="s">
        <v>208</v>
      </c>
      <c r="FT4" s="44">
        <f t="shared" ref="FT4" si="254">INT(3 + (COLUMN()-COLUMN($D4))/4 * $A$4)</f>
        <v>9</v>
      </c>
      <c r="FU4" s="63"/>
      <c r="FV4" s="63"/>
      <c r="FW4" s="37" t="s">
        <v>208</v>
      </c>
      <c r="FX4" s="44">
        <f t="shared" ref="FX4" si="255">INT(3 + (COLUMN()-COLUMN($D4))/4 * $A$4)</f>
        <v>9</v>
      </c>
      <c r="FY4" s="63"/>
      <c r="FZ4" s="63"/>
      <c r="GA4" s="37" t="s">
        <v>208</v>
      </c>
      <c r="GB4" s="44">
        <f t="shared" ref="GB4" si="256">INT(3 + (COLUMN()-COLUMN($D4))/4 * $A$4)</f>
        <v>9</v>
      </c>
      <c r="GC4" s="63"/>
      <c r="GD4" s="63"/>
      <c r="GE4" s="37" t="s">
        <v>208</v>
      </c>
      <c r="GF4" s="44">
        <f t="shared" ref="GF4" si="257">INT(3 + (COLUMN()-COLUMN($D4))/4 * $A$4)</f>
        <v>9</v>
      </c>
      <c r="GG4" s="63"/>
      <c r="GH4" s="63"/>
      <c r="GI4" s="37" t="s">
        <v>208</v>
      </c>
      <c r="GJ4" s="44">
        <f t="shared" ref="GJ4" si="258">INT(3 + (COLUMN()-COLUMN($D4))/4 * $A$4)</f>
        <v>10</v>
      </c>
      <c r="GK4" s="63"/>
      <c r="GL4" s="63"/>
      <c r="GM4" s="37" t="s">
        <v>208</v>
      </c>
      <c r="GN4" s="44">
        <f t="shared" ref="GN4" si="259">INT(3 + (COLUMN()-COLUMN($D4))/4 * $A$4)</f>
        <v>10</v>
      </c>
      <c r="GO4" s="63"/>
      <c r="GP4" s="63"/>
      <c r="GQ4" s="37" t="s">
        <v>208</v>
      </c>
      <c r="GR4" s="44">
        <f t="shared" ref="GR4" si="260">INT(3 + (COLUMN()-COLUMN($D4))/4 * $A$4)</f>
        <v>10</v>
      </c>
      <c r="GS4" s="63"/>
      <c r="GT4" s="63"/>
      <c r="GU4" s="37" t="s">
        <v>208</v>
      </c>
      <c r="GV4" s="44">
        <f t="shared" ref="GV4" si="261">INT(3 + (COLUMN()-COLUMN($D4))/4 * $A$4)</f>
        <v>10</v>
      </c>
      <c r="GW4" s="63"/>
      <c r="GX4" s="63"/>
      <c r="GY4" s="37" t="s">
        <v>208</v>
      </c>
      <c r="GZ4" s="44">
        <f t="shared" ref="GZ4" si="262">INT(3 + (COLUMN()-COLUMN($D4))/4 * $A$4)</f>
        <v>10</v>
      </c>
      <c r="HA4" s="63"/>
      <c r="HB4" s="63"/>
      <c r="HC4" s="37" t="s">
        <v>208</v>
      </c>
      <c r="HD4" s="44">
        <f t="shared" ref="HD4" si="263">INT(3 + (COLUMN()-COLUMN($D4))/4 * $A$4)</f>
        <v>10</v>
      </c>
      <c r="HE4" s="63"/>
      <c r="HF4" s="63"/>
      <c r="HG4" s="37" t="s">
        <v>208</v>
      </c>
      <c r="HH4" s="44">
        <f t="shared" ref="HH4" si="264">INT(3 + (COLUMN()-COLUMN($D4))/4 * $A$4)</f>
        <v>10</v>
      </c>
      <c r="HI4" s="63"/>
      <c r="HJ4" s="63"/>
      <c r="HK4" s="37" t="s">
        <v>208</v>
      </c>
      <c r="HL4" s="44">
        <f t="shared" ref="HL4" si="265">INT(3 + (COLUMN()-COLUMN($D4))/4 * $A$4)</f>
        <v>11</v>
      </c>
      <c r="HM4" s="63"/>
      <c r="HN4" s="63"/>
      <c r="HO4" s="37" t="s">
        <v>208</v>
      </c>
      <c r="HP4" s="44">
        <f t="shared" ref="HP4" si="266">INT(3 + (COLUMN()-COLUMN($D4))/4 * $A$4)</f>
        <v>11</v>
      </c>
      <c r="HQ4" s="63"/>
      <c r="HR4" s="63"/>
      <c r="HS4" s="37" t="s">
        <v>208</v>
      </c>
      <c r="HT4" s="44">
        <f t="shared" ref="HT4" si="267">INT(3 + (COLUMN()-COLUMN($D4))/4 * $A$4)</f>
        <v>11</v>
      </c>
      <c r="HU4" s="63"/>
      <c r="HV4" s="63"/>
      <c r="HW4" s="37" t="s">
        <v>208</v>
      </c>
      <c r="HX4" s="44">
        <f t="shared" ref="HX4" si="268">INT(3 + (COLUMN()-COLUMN($D4))/4 * $A$4)</f>
        <v>11</v>
      </c>
      <c r="HY4" s="63"/>
      <c r="HZ4" s="63"/>
      <c r="IA4" s="37" t="s">
        <v>208</v>
      </c>
      <c r="IB4" s="44">
        <f t="shared" ref="IB4" si="269">INT(3 + (COLUMN()-COLUMN($D4))/4 * $A$4)</f>
        <v>11</v>
      </c>
      <c r="IC4" s="63"/>
      <c r="ID4" s="63"/>
      <c r="IE4" s="37" t="s">
        <v>208</v>
      </c>
      <c r="IF4" s="44">
        <f t="shared" ref="IF4" si="270">INT(3 + (COLUMN()-COLUMN($D4))/4 * $A$4)</f>
        <v>11</v>
      </c>
      <c r="IG4" s="63"/>
      <c r="IH4" s="63"/>
      <c r="II4" s="37" t="s">
        <v>208</v>
      </c>
      <c r="IJ4" s="44">
        <f t="shared" ref="IJ4" si="271">INT(3 + (COLUMN()-COLUMN($D4))/4 * $A$4)</f>
        <v>12</v>
      </c>
      <c r="IK4" s="63"/>
      <c r="IL4" s="63"/>
      <c r="IM4" s="37" t="s">
        <v>208</v>
      </c>
      <c r="IN4" s="44">
        <f t="shared" ref="IN4" si="272">INT(3 + (COLUMN()-COLUMN($D4))/4 * $A$4)</f>
        <v>12</v>
      </c>
      <c r="IO4" s="63"/>
      <c r="IP4" s="63"/>
      <c r="IQ4" s="37" t="s">
        <v>208</v>
      </c>
      <c r="IR4" s="44">
        <f t="shared" ref="IR4" si="273">INT(3 + (COLUMN()-COLUMN($D4))/4 * $A$4)</f>
        <v>12</v>
      </c>
      <c r="IS4" s="63"/>
      <c r="IT4" s="63"/>
      <c r="IU4" s="37" t="s">
        <v>208</v>
      </c>
      <c r="IV4" s="44">
        <f t="shared" ref="IV4" si="274">INT(3 + (COLUMN()-COLUMN($D4))/4 * $A$4)</f>
        <v>12</v>
      </c>
      <c r="IW4" s="63"/>
      <c r="IX4" s="63"/>
      <c r="IY4" s="37" t="s">
        <v>208</v>
      </c>
      <c r="IZ4" s="44">
        <f t="shared" ref="IZ4" si="275">INT(3 + (COLUMN()-COLUMN($D4))/4 * $A$4)</f>
        <v>12</v>
      </c>
      <c r="JA4" s="63"/>
      <c r="JB4" s="63"/>
      <c r="JC4" s="37" t="s">
        <v>208</v>
      </c>
      <c r="JD4" s="44">
        <f t="shared" ref="JD4" si="276">INT(3 + (COLUMN()-COLUMN($D4))/4 * $A$4)</f>
        <v>12</v>
      </c>
      <c r="JE4" s="63"/>
      <c r="JF4" s="63"/>
      <c r="JG4" s="37" t="s">
        <v>208</v>
      </c>
      <c r="JH4" s="44">
        <f t="shared" ref="JH4" si="277">INT(3 + (COLUMN()-COLUMN($D4))/4 * $A$4)</f>
        <v>12</v>
      </c>
      <c r="JI4" s="63"/>
      <c r="JJ4" s="63"/>
      <c r="JK4" s="37" t="s">
        <v>208</v>
      </c>
      <c r="JL4" s="44">
        <f t="shared" ref="JL4" si="278">INT(3 + (COLUMN()-COLUMN($D4))/4 * $A$4)</f>
        <v>13</v>
      </c>
      <c r="JM4" s="63"/>
      <c r="JN4" s="63"/>
      <c r="JO4" s="37" t="s">
        <v>208</v>
      </c>
      <c r="JP4" s="44">
        <f t="shared" ref="JP4" si="279">INT(3 + (COLUMN()-COLUMN($D4))/4 * $A$4)</f>
        <v>13</v>
      </c>
      <c r="JQ4" s="63"/>
      <c r="JR4" s="63"/>
      <c r="JS4" s="37" t="s">
        <v>208</v>
      </c>
      <c r="JT4" s="44">
        <f t="shared" ref="JT4" si="280">INT(3 + (COLUMN()-COLUMN($D4))/4 * $A$4)</f>
        <v>13</v>
      </c>
      <c r="JU4" s="63"/>
      <c r="JV4" s="63"/>
      <c r="JW4" s="37" t="s">
        <v>208</v>
      </c>
      <c r="JX4" s="44">
        <f t="shared" ref="JX4" si="281">INT(3 + (COLUMN()-COLUMN($D4))/4 * $A$4)</f>
        <v>13</v>
      </c>
      <c r="JY4" s="63"/>
      <c r="JZ4" s="63"/>
      <c r="KA4" s="37" t="s">
        <v>208</v>
      </c>
      <c r="KB4" s="44">
        <f t="shared" ref="KB4" si="282">INT(3 + (COLUMN()-COLUMN($D4))/4 * $A$4)</f>
        <v>13</v>
      </c>
      <c r="KC4" s="63"/>
      <c r="KD4" s="63"/>
      <c r="KE4" s="37" t="s">
        <v>208</v>
      </c>
      <c r="KF4" s="44">
        <f t="shared" ref="KF4" si="283">INT(3 + (COLUMN()-COLUMN($D4))/4 * $A$4)</f>
        <v>13</v>
      </c>
      <c r="KG4" s="63"/>
      <c r="KH4" s="63"/>
    </row>
    <row r="5" spans="1:294" x14ac:dyDescent="0.25">
      <c r="C5" s="37" t="s">
        <v>182</v>
      </c>
      <c r="D5" s="63">
        <f>$A$3</f>
        <v>40</v>
      </c>
      <c r="E5" s="63"/>
      <c r="F5" s="63"/>
      <c r="G5" s="37" t="s">
        <v>182</v>
      </c>
      <c r="H5" s="63">
        <f>$A$3</f>
        <v>40</v>
      </c>
      <c r="I5" s="63"/>
      <c r="J5" s="63"/>
      <c r="K5" s="37" t="s">
        <v>182</v>
      </c>
      <c r="L5" s="63">
        <f t="shared" ref="L5" si="284">$A$3</f>
        <v>40</v>
      </c>
      <c r="M5" s="63"/>
      <c r="N5" s="63"/>
      <c r="O5" s="37" t="s">
        <v>182</v>
      </c>
      <c r="P5" s="63">
        <f t="shared" ref="P5" si="285">$A$3</f>
        <v>40</v>
      </c>
      <c r="Q5" s="63"/>
      <c r="R5" s="63"/>
      <c r="S5" s="37" t="s">
        <v>182</v>
      </c>
      <c r="T5" s="63">
        <f t="shared" ref="T5" si="286">$A$3</f>
        <v>40</v>
      </c>
      <c r="U5" s="63"/>
      <c r="V5" s="63"/>
      <c r="W5" s="37" t="s">
        <v>182</v>
      </c>
      <c r="X5" s="63">
        <f t="shared" ref="X5" si="287">$A$3</f>
        <v>40</v>
      </c>
      <c r="Y5" s="63"/>
      <c r="Z5" s="63"/>
      <c r="AA5" s="37" t="s">
        <v>182</v>
      </c>
      <c r="AB5" s="63">
        <f t="shared" ref="AB5" si="288">$A$3</f>
        <v>40</v>
      </c>
      <c r="AC5" s="63"/>
      <c r="AD5" s="63"/>
      <c r="AE5" s="37" t="s">
        <v>182</v>
      </c>
      <c r="AF5" s="63">
        <f t="shared" ref="AF5" si="289">$A$3</f>
        <v>40</v>
      </c>
      <c r="AG5" s="63"/>
      <c r="AH5" s="63"/>
      <c r="AI5" s="37" t="s">
        <v>182</v>
      </c>
      <c r="AJ5" s="63">
        <f t="shared" ref="AJ5" si="290">$A$3</f>
        <v>40</v>
      </c>
      <c r="AK5" s="63"/>
      <c r="AL5" s="63"/>
      <c r="AM5" s="37" t="s">
        <v>182</v>
      </c>
      <c r="AN5" s="63">
        <f t="shared" ref="AN5" si="291">$A$3</f>
        <v>40</v>
      </c>
      <c r="AO5" s="63"/>
      <c r="AP5" s="63"/>
      <c r="AQ5" s="37" t="s">
        <v>182</v>
      </c>
      <c r="AR5" s="63">
        <f t="shared" ref="AR5" si="292">$A$3</f>
        <v>40</v>
      </c>
      <c r="AS5" s="63"/>
      <c r="AT5" s="63"/>
      <c r="AU5" s="37" t="s">
        <v>182</v>
      </c>
      <c r="AV5" s="63">
        <f t="shared" ref="AV5" si="293">$A$3</f>
        <v>40</v>
      </c>
      <c r="AW5" s="63"/>
      <c r="AX5" s="63"/>
      <c r="AY5" s="37" t="s">
        <v>182</v>
      </c>
      <c r="AZ5" s="63">
        <f t="shared" ref="AZ5" si="294">$A$3</f>
        <v>40</v>
      </c>
      <c r="BA5" s="63"/>
      <c r="BB5" s="63"/>
      <c r="BC5" s="37" t="s">
        <v>182</v>
      </c>
      <c r="BD5" s="63">
        <f t="shared" ref="BD5" si="295">$A$3</f>
        <v>40</v>
      </c>
      <c r="BE5" s="63"/>
      <c r="BF5" s="63"/>
      <c r="BG5" s="37" t="s">
        <v>182</v>
      </c>
      <c r="BH5" s="63">
        <f t="shared" ref="BH5" si="296">$A$3</f>
        <v>40</v>
      </c>
      <c r="BI5" s="63"/>
      <c r="BJ5" s="63"/>
      <c r="BK5" s="37" t="s">
        <v>182</v>
      </c>
      <c r="BL5" s="63">
        <f t="shared" ref="BL5" si="297">$A$3</f>
        <v>40</v>
      </c>
      <c r="BM5" s="63"/>
      <c r="BN5" s="63"/>
      <c r="BO5" s="37" t="s">
        <v>182</v>
      </c>
      <c r="BP5" s="63">
        <f t="shared" ref="BP5" si="298">$A$3</f>
        <v>40</v>
      </c>
      <c r="BQ5" s="63"/>
      <c r="BR5" s="63"/>
      <c r="BS5" s="37" t="s">
        <v>182</v>
      </c>
      <c r="BT5" s="63">
        <f t="shared" ref="BT5" si="299">$A$3</f>
        <v>40</v>
      </c>
      <c r="BU5" s="63"/>
      <c r="BV5" s="63"/>
      <c r="BW5" s="37" t="s">
        <v>182</v>
      </c>
      <c r="BX5" s="63">
        <f t="shared" ref="BX5" si="300">$A$3</f>
        <v>40</v>
      </c>
      <c r="BY5" s="63"/>
      <c r="BZ5" s="63"/>
      <c r="CA5" s="37" t="s">
        <v>182</v>
      </c>
      <c r="CB5" s="63">
        <f t="shared" ref="CB5" si="301">$A$3</f>
        <v>40</v>
      </c>
      <c r="CC5" s="63"/>
      <c r="CD5" s="63"/>
      <c r="CE5" s="37" t="s">
        <v>182</v>
      </c>
      <c r="CF5" s="63">
        <f t="shared" ref="CF5" si="302">$A$3</f>
        <v>40</v>
      </c>
      <c r="CG5" s="63"/>
      <c r="CH5" s="63"/>
      <c r="CI5" s="37" t="s">
        <v>182</v>
      </c>
      <c r="CJ5" s="63">
        <f t="shared" ref="CJ5" si="303">$A$3</f>
        <v>40</v>
      </c>
      <c r="CK5" s="63"/>
      <c r="CL5" s="63"/>
      <c r="CM5" s="37" t="s">
        <v>182</v>
      </c>
      <c r="CN5" s="63">
        <f t="shared" ref="CN5" si="304">$A$3</f>
        <v>40</v>
      </c>
      <c r="CO5" s="63"/>
      <c r="CP5" s="63"/>
      <c r="CQ5" s="37" t="s">
        <v>182</v>
      </c>
      <c r="CR5" s="63">
        <f t="shared" ref="CR5" si="305">$A$3</f>
        <v>40</v>
      </c>
      <c r="CS5" s="63"/>
      <c r="CT5" s="63"/>
      <c r="CU5" s="37" t="s">
        <v>182</v>
      </c>
      <c r="CV5" s="63">
        <f t="shared" ref="CV5" si="306">$A$3</f>
        <v>40</v>
      </c>
      <c r="CW5" s="63"/>
      <c r="CX5" s="63"/>
      <c r="CY5" s="37" t="s">
        <v>182</v>
      </c>
      <c r="CZ5" s="63">
        <f t="shared" ref="CZ5" si="307">$A$3</f>
        <v>40</v>
      </c>
      <c r="DA5" s="63"/>
      <c r="DB5" s="63"/>
      <c r="DC5" s="37" t="s">
        <v>182</v>
      </c>
      <c r="DD5" s="63">
        <f t="shared" ref="DD5" si="308">$A$3</f>
        <v>40</v>
      </c>
      <c r="DE5" s="63"/>
      <c r="DF5" s="63"/>
      <c r="DG5" s="37" t="s">
        <v>182</v>
      </c>
      <c r="DH5" s="63">
        <f t="shared" ref="DH5" si="309">$A$3</f>
        <v>40</v>
      </c>
      <c r="DI5" s="63"/>
      <c r="DJ5" s="63"/>
      <c r="DK5" s="37" t="s">
        <v>182</v>
      </c>
      <c r="DL5" s="63">
        <f t="shared" ref="DL5" si="310">$A$3</f>
        <v>40</v>
      </c>
      <c r="DM5" s="63"/>
      <c r="DN5" s="63"/>
      <c r="DO5" s="37" t="s">
        <v>182</v>
      </c>
      <c r="DP5" s="63">
        <f t="shared" ref="DP5" si="311">$A$3</f>
        <v>40</v>
      </c>
      <c r="DQ5" s="63"/>
      <c r="DR5" s="63"/>
      <c r="DS5" s="37" t="s">
        <v>182</v>
      </c>
      <c r="DT5" s="63">
        <f t="shared" ref="DT5" si="312">$A$3</f>
        <v>40</v>
      </c>
      <c r="DU5" s="63"/>
      <c r="DV5" s="63"/>
      <c r="DW5" s="37" t="s">
        <v>182</v>
      </c>
      <c r="DX5" s="63">
        <f t="shared" ref="DX5" si="313">$A$3</f>
        <v>40</v>
      </c>
      <c r="DY5" s="63"/>
      <c r="DZ5" s="63"/>
      <c r="EA5" s="37" t="s">
        <v>182</v>
      </c>
      <c r="EB5" s="63">
        <f t="shared" ref="EB5" si="314">$A$3</f>
        <v>40</v>
      </c>
      <c r="EC5" s="63"/>
      <c r="ED5" s="63"/>
      <c r="EE5" s="37" t="s">
        <v>182</v>
      </c>
      <c r="EF5" s="63">
        <f t="shared" ref="EF5" si="315">$A$3</f>
        <v>40</v>
      </c>
      <c r="EG5" s="63"/>
      <c r="EH5" s="63"/>
      <c r="EI5" s="37" t="s">
        <v>182</v>
      </c>
      <c r="EJ5" s="63">
        <f t="shared" ref="EJ5" si="316">$A$3</f>
        <v>40</v>
      </c>
      <c r="EK5" s="63"/>
      <c r="EL5" s="63"/>
      <c r="EM5" s="37" t="s">
        <v>182</v>
      </c>
      <c r="EN5" s="63">
        <f t="shared" ref="EN5" si="317">$A$3</f>
        <v>40</v>
      </c>
      <c r="EO5" s="63"/>
      <c r="EP5" s="63"/>
      <c r="EQ5" s="37" t="s">
        <v>182</v>
      </c>
      <c r="ER5" s="63">
        <f t="shared" ref="ER5" si="318">$A$3</f>
        <v>40</v>
      </c>
      <c r="ES5" s="63"/>
      <c r="ET5" s="63"/>
      <c r="EU5" s="37" t="s">
        <v>182</v>
      </c>
      <c r="EV5" s="63">
        <f t="shared" ref="EV5" si="319">$A$3</f>
        <v>40</v>
      </c>
      <c r="EW5" s="63"/>
      <c r="EX5" s="63"/>
      <c r="EY5" s="37" t="s">
        <v>182</v>
      </c>
      <c r="EZ5" s="63">
        <f t="shared" ref="EZ5" si="320">$A$3</f>
        <v>40</v>
      </c>
      <c r="FA5" s="63"/>
      <c r="FB5" s="63"/>
      <c r="FC5" s="37" t="s">
        <v>182</v>
      </c>
      <c r="FD5" s="63">
        <f t="shared" ref="FD5" si="321">$A$3</f>
        <v>40</v>
      </c>
      <c r="FE5" s="63"/>
      <c r="FF5" s="63"/>
      <c r="FG5" s="37" t="s">
        <v>182</v>
      </c>
      <c r="FH5" s="63">
        <f t="shared" ref="FH5" si="322">$A$3</f>
        <v>40</v>
      </c>
      <c r="FI5" s="63"/>
      <c r="FJ5" s="63"/>
      <c r="FK5" s="37" t="s">
        <v>182</v>
      </c>
      <c r="FL5" s="63">
        <f t="shared" ref="FL5" si="323">$A$3</f>
        <v>40</v>
      </c>
      <c r="FM5" s="63"/>
      <c r="FN5" s="63"/>
      <c r="FO5" s="37" t="s">
        <v>182</v>
      </c>
      <c r="FP5" s="63">
        <f t="shared" ref="FP5" si="324">$A$3</f>
        <v>40</v>
      </c>
      <c r="FQ5" s="63"/>
      <c r="FR5" s="63"/>
      <c r="FS5" s="37" t="s">
        <v>182</v>
      </c>
      <c r="FT5" s="63">
        <f t="shared" ref="FT5" si="325">$A$3</f>
        <v>40</v>
      </c>
      <c r="FU5" s="63"/>
      <c r="FV5" s="63"/>
      <c r="FW5" s="37" t="s">
        <v>182</v>
      </c>
      <c r="FX5" s="63">
        <f t="shared" ref="FX5" si="326">$A$3</f>
        <v>40</v>
      </c>
      <c r="FY5" s="63"/>
      <c r="FZ5" s="63"/>
      <c r="GA5" s="37" t="s">
        <v>182</v>
      </c>
      <c r="GB5" s="63">
        <f t="shared" ref="GB5" si="327">$A$3</f>
        <v>40</v>
      </c>
      <c r="GC5" s="63"/>
      <c r="GD5" s="63"/>
      <c r="GE5" s="37" t="s">
        <v>182</v>
      </c>
      <c r="GF5" s="63">
        <f t="shared" ref="GF5" si="328">$A$3</f>
        <v>40</v>
      </c>
      <c r="GG5" s="63"/>
      <c r="GH5" s="63"/>
      <c r="GI5" s="37" t="s">
        <v>182</v>
      </c>
      <c r="GJ5" s="63">
        <f t="shared" ref="GJ5" si="329">$A$3</f>
        <v>40</v>
      </c>
      <c r="GK5" s="63"/>
      <c r="GL5" s="63"/>
      <c r="GM5" s="37" t="s">
        <v>182</v>
      </c>
      <c r="GN5" s="63">
        <f t="shared" ref="GN5" si="330">$A$3</f>
        <v>40</v>
      </c>
      <c r="GO5" s="63"/>
      <c r="GP5" s="63"/>
      <c r="GQ5" s="37" t="s">
        <v>182</v>
      </c>
      <c r="GR5" s="63">
        <f t="shared" ref="GR5" si="331">$A$3</f>
        <v>40</v>
      </c>
      <c r="GS5" s="63"/>
      <c r="GT5" s="63"/>
      <c r="GU5" s="37" t="s">
        <v>182</v>
      </c>
      <c r="GV5" s="63">
        <f t="shared" ref="GV5" si="332">$A$3</f>
        <v>40</v>
      </c>
      <c r="GW5" s="63"/>
      <c r="GX5" s="63"/>
      <c r="GY5" s="37" t="s">
        <v>182</v>
      </c>
      <c r="GZ5" s="63">
        <f t="shared" ref="GZ5" si="333">$A$3</f>
        <v>40</v>
      </c>
      <c r="HA5" s="63"/>
      <c r="HB5" s="63"/>
      <c r="HC5" s="37" t="s">
        <v>182</v>
      </c>
      <c r="HD5" s="63">
        <f t="shared" ref="HD5" si="334">$A$3</f>
        <v>40</v>
      </c>
      <c r="HE5" s="63"/>
      <c r="HF5" s="63"/>
      <c r="HG5" s="37" t="s">
        <v>182</v>
      </c>
      <c r="HH5" s="63">
        <f t="shared" ref="HH5" si="335">$A$3</f>
        <v>40</v>
      </c>
      <c r="HI5" s="63"/>
      <c r="HJ5" s="63"/>
      <c r="HK5" s="37" t="s">
        <v>182</v>
      </c>
      <c r="HL5" s="63">
        <f t="shared" ref="HL5" si="336">$A$3</f>
        <v>40</v>
      </c>
      <c r="HM5" s="63"/>
      <c r="HN5" s="63"/>
      <c r="HO5" s="37" t="s">
        <v>182</v>
      </c>
      <c r="HP5" s="63">
        <f t="shared" ref="HP5" si="337">$A$3</f>
        <v>40</v>
      </c>
      <c r="HQ5" s="63"/>
      <c r="HR5" s="63"/>
      <c r="HS5" s="37" t="s">
        <v>182</v>
      </c>
      <c r="HT5" s="63">
        <f t="shared" ref="HT5" si="338">$A$3</f>
        <v>40</v>
      </c>
      <c r="HU5" s="63"/>
      <c r="HV5" s="63"/>
      <c r="HW5" s="37" t="s">
        <v>182</v>
      </c>
      <c r="HX5" s="63">
        <f t="shared" ref="HX5" si="339">$A$3</f>
        <v>40</v>
      </c>
      <c r="HY5" s="63"/>
      <c r="HZ5" s="63"/>
      <c r="IA5" s="37" t="s">
        <v>182</v>
      </c>
      <c r="IB5" s="63">
        <f t="shared" ref="IB5" si="340">$A$3</f>
        <v>40</v>
      </c>
      <c r="IC5" s="63"/>
      <c r="ID5" s="63"/>
      <c r="IE5" s="37" t="s">
        <v>182</v>
      </c>
      <c r="IF5" s="63">
        <f t="shared" ref="IF5" si="341">$A$3</f>
        <v>40</v>
      </c>
      <c r="IG5" s="63"/>
      <c r="IH5" s="63"/>
      <c r="II5" s="37" t="s">
        <v>182</v>
      </c>
      <c r="IJ5" s="63">
        <f t="shared" ref="IJ5" si="342">$A$3</f>
        <v>40</v>
      </c>
      <c r="IK5" s="63"/>
      <c r="IL5" s="63"/>
      <c r="IM5" s="37" t="s">
        <v>182</v>
      </c>
      <c r="IN5" s="63">
        <f t="shared" ref="IN5" si="343">$A$3</f>
        <v>40</v>
      </c>
      <c r="IO5" s="63"/>
      <c r="IP5" s="63"/>
      <c r="IQ5" s="37" t="s">
        <v>182</v>
      </c>
      <c r="IR5" s="63">
        <f t="shared" ref="IR5" si="344">$A$3</f>
        <v>40</v>
      </c>
      <c r="IS5" s="63"/>
      <c r="IT5" s="63"/>
      <c r="IU5" s="37" t="s">
        <v>182</v>
      </c>
      <c r="IV5" s="63">
        <f t="shared" ref="IV5" si="345">$A$3</f>
        <v>40</v>
      </c>
      <c r="IW5" s="63"/>
      <c r="IX5" s="63"/>
      <c r="IY5" s="37" t="s">
        <v>182</v>
      </c>
      <c r="IZ5" s="63">
        <f t="shared" ref="IZ5" si="346">$A$3</f>
        <v>40</v>
      </c>
      <c r="JA5" s="63"/>
      <c r="JB5" s="63"/>
      <c r="JC5" s="37" t="s">
        <v>182</v>
      </c>
      <c r="JD5" s="63">
        <f t="shared" ref="JD5" si="347">$A$3</f>
        <v>40</v>
      </c>
      <c r="JE5" s="63"/>
      <c r="JF5" s="63"/>
      <c r="JG5" s="37" t="s">
        <v>182</v>
      </c>
      <c r="JH5" s="63">
        <f t="shared" ref="JH5" si="348">$A$3</f>
        <v>40</v>
      </c>
      <c r="JI5" s="63"/>
      <c r="JJ5" s="63"/>
      <c r="JK5" s="37" t="s">
        <v>182</v>
      </c>
      <c r="JL5" s="63">
        <f t="shared" ref="JL5" si="349">$A$3</f>
        <v>40</v>
      </c>
      <c r="JM5" s="63"/>
      <c r="JN5" s="63"/>
      <c r="JO5" s="37" t="s">
        <v>182</v>
      </c>
      <c r="JP5" s="63">
        <f t="shared" ref="JP5" si="350">$A$3</f>
        <v>40</v>
      </c>
      <c r="JQ5" s="63"/>
      <c r="JR5" s="63"/>
      <c r="JS5" s="37" t="s">
        <v>182</v>
      </c>
      <c r="JT5" s="63">
        <f t="shared" ref="JT5" si="351">$A$3</f>
        <v>40</v>
      </c>
      <c r="JU5" s="63"/>
      <c r="JV5" s="63"/>
      <c r="JW5" s="37" t="s">
        <v>182</v>
      </c>
      <c r="JX5" s="63">
        <f t="shared" ref="JX5" si="352">$A$3</f>
        <v>40</v>
      </c>
      <c r="JY5" s="63"/>
      <c r="JZ5" s="63"/>
      <c r="KA5" s="37" t="s">
        <v>182</v>
      </c>
      <c r="KB5" s="63">
        <f t="shared" ref="KB5" si="353">$A$3</f>
        <v>40</v>
      </c>
      <c r="KC5" s="63"/>
      <c r="KD5" s="63"/>
      <c r="KE5" s="37" t="s">
        <v>182</v>
      </c>
      <c r="KF5" s="63">
        <f t="shared" ref="KF5" si="354">$A$3</f>
        <v>40</v>
      </c>
      <c r="KG5" s="63"/>
      <c r="KH5" s="63"/>
    </row>
    <row r="6" spans="1:294" x14ac:dyDescent="0.25">
      <c r="E6" s="63"/>
      <c r="F6" s="63"/>
      <c r="H6" s="44"/>
      <c r="I6" s="63"/>
      <c r="J6" s="63"/>
      <c r="K6" s="37"/>
      <c r="L6" s="44"/>
      <c r="M6" s="63"/>
      <c r="N6" s="63"/>
      <c r="O6" s="37"/>
      <c r="P6" s="44"/>
      <c r="Q6" s="63"/>
      <c r="R6" s="63"/>
      <c r="S6" s="37"/>
      <c r="T6" s="44"/>
      <c r="U6" s="63"/>
      <c r="V6" s="63"/>
      <c r="W6" s="37"/>
      <c r="X6" s="44"/>
      <c r="Y6" s="63"/>
      <c r="Z6" s="63"/>
      <c r="AA6" s="37"/>
      <c r="AB6" s="44"/>
      <c r="AC6" s="63"/>
      <c r="AD6" s="63"/>
      <c r="AE6" s="37"/>
      <c r="AF6" s="44"/>
      <c r="AG6" s="63"/>
      <c r="AH6" s="63"/>
      <c r="AI6" s="37"/>
      <c r="AJ6" s="44"/>
      <c r="AK6" s="63"/>
      <c r="AL6" s="63"/>
      <c r="AM6" s="37"/>
      <c r="AN6" s="44"/>
      <c r="AO6" s="63"/>
      <c r="AP6" s="63"/>
      <c r="AQ6" s="37"/>
      <c r="AR6" s="44"/>
      <c r="AS6" s="63"/>
      <c r="AT6" s="63"/>
      <c r="AU6" s="37"/>
      <c r="AV6" s="44"/>
      <c r="AW6" s="63"/>
      <c r="AX6" s="63"/>
      <c r="AY6" s="37"/>
      <c r="AZ6" s="44"/>
      <c r="BA6" s="63"/>
      <c r="BB6" s="63"/>
      <c r="BC6" s="37"/>
      <c r="BD6" s="44"/>
      <c r="BE6" s="63"/>
      <c r="BF6" s="63"/>
      <c r="BG6" s="37"/>
      <c r="BH6" s="44"/>
      <c r="BI6" s="63"/>
      <c r="BJ6" s="63"/>
      <c r="BK6" s="37"/>
      <c r="BL6" s="44"/>
      <c r="BM6" s="63"/>
      <c r="BN6" s="63"/>
      <c r="BO6" s="37"/>
      <c r="BP6" s="44"/>
      <c r="BQ6" s="63"/>
      <c r="BR6" s="63"/>
      <c r="BS6" s="37"/>
      <c r="BT6" s="44"/>
      <c r="BU6" s="63"/>
      <c r="BV6" s="63"/>
      <c r="BW6" s="37"/>
      <c r="BX6" s="44"/>
      <c r="BY6" s="63"/>
      <c r="BZ6" s="63"/>
      <c r="CA6" s="37"/>
      <c r="CB6" s="44"/>
      <c r="CC6" s="63"/>
      <c r="CD6" s="63"/>
      <c r="CE6" s="37"/>
      <c r="CF6" s="44"/>
      <c r="CG6" s="63"/>
      <c r="CH6" s="63"/>
      <c r="CI6" s="37"/>
      <c r="CJ6" s="44"/>
      <c r="CK6" s="63"/>
      <c r="CL6" s="63"/>
      <c r="CM6" s="37"/>
      <c r="CN6" s="44"/>
      <c r="CO6" s="63"/>
      <c r="CP6" s="63"/>
      <c r="CQ6" s="37"/>
      <c r="CR6" s="44"/>
      <c r="CS6" s="63"/>
      <c r="CT6" s="63"/>
      <c r="CU6" s="37"/>
      <c r="CV6" s="44"/>
      <c r="CW6" s="63"/>
      <c r="CX6" s="63"/>
      <c r="CY6" s="37"/>
      <c r="CZ6" s="44"/>
      <c r="DA6" s="63"/>
      <c r="DB6" s="63"/>
      <c r="DC6" s="37"/>
      <c r="DD6" s="44"/>
      <c r="DE6" s="63"/>
      <c r="DF6" s="63"/>
      <c r="DG6" s="37"/>
      <c r="DH6" s="44"/>
      <c r="DI6" s="63"/>
      <c r="DJ6" s="63"/>
      <c r="DK6" s="37"/>
      <c r="DL6" s="44"/>
      <c r="DM6" s="63"/>
      <c r="DN6" s="63"/>
      <c r="DO6" s="37"/>
      <c r="DP6" s="44"/>
      <c r="DQ6" s="63"/>
      <c r="DR6" s="63"/>
      <c r="DS6" s="37"/>
      <c r="DT6" s="44"/>
      <c r="DU6" s="63"/>
      <c r="DV6" s="63"/>
      <c r="DW6" s="37"/>
      <c r="DX6" s="44"/>
      <c r="DY6" s="63"/>
      <c r="DZ6" s="63"/>
      <c r="EA6" s="37"/>
      <c r="EB6" s="44"/>
      <c r="EC6" s="63"/>
      <c r="ED6" s="63"/>
      <c r="EE6" s="37"/>
      <c r="EF6" s="44"/>
      <c r="EG6" s="63"/>
      <c r="EH6" s="63"/>
      <c r="EI6" s="37"/>
      <c r="EJ6" s="44"/>
      <c r="EK6" s="63"/>
      <c r="EL6" s="63"/>
      <c r="EM6" s="37"/>
      <c r="EN6" s="44"/>
      <c r="EO6" s="63"/>
      <c r="EP6" s="63"/>
      <c r="EQ6" s="37"/>
      <c r="ER6" s="44"/>
      <c r="ES6" s="63"/>
      <c r="ET6" s="63"/>
      <c r="EU6" s="37"/>
      <c r="EV6" s="44"/>
      <c r="EW6" s="63"/>
      <c r="EX6" s="63"/>
      <c r="EY6" s="37"/>
      <c r="EZ6" s="44"/>
      <c r="FA6" s="63"/>
      <c r="FB6" s="63"/>
      <c r="FC6" s="37"/>
      <c r="FD6" s="44"/>
      <c r="FE6" s="63"/>
      <c r="FF6" s="63"/>
      <c r="FG6" s="37"/>
      <c r="FH6" s="44"/>
      <c r="FI6" s="63"/>
      <c r="FJ6" s="63"/>
      <c r="FK6" s="37"/>
      <c r="FL6" s="44"/>
      <c r="FM6" s="63"/>
      <c r="FN6" s="63"/>
      <c r="FO6" s="37"/>
      <c r="FP6" s="44"/>
      <c r="FQ6" s="63"/>
      <c r="FR6" s="63"/>
      <c r="FS6" s="37"/>
      <c r="FT6" s="44"/>
      <c r="FU6" s="63"/>
      <c r="FV6" s="63"/>
      <c r="FW6" s="37"/>
      <c r="FX6" s="44"/>
      <c r="FY6" s="63"/>
      <c r="FZ6" s="63"/>
      <c r="GA6" s="37"/>
      <c r="GB6" s="44"/>
      <c r="GC6" s="63"/>
      <c r="GD6" s="63"/>
      <c r="GE6" s="37"/>
      <c r="GF6" s="44"/>
      <c r="GG6" s="63"/>
      <c r="GH6" s="63"/>
      <c r="GI6" s="37"/>
      <c r="GJ6" s="44"/>
      <c r="GK6" s="63"/>
      <c r="GL6" s="63"/>
      <c r="GM6" s="37"/>
      <c r="GN6" s="44"/>
      <c r="GO6" s="63"/>
      <c r="GP6" s="63"/>
      <c r="GQ6" s="37"/>
      <c r="GR6" s="44"/>
      <c r="GS6" s="63"/>
      <c r="GT6" s="63"/>
      <c r="GU6" s="37"/>
      <c r="GV6" s="44"/>
      <c r="GW6" s="63"/>
      <c r="GX6" s="63"/>
      <c r="GY6" s="37"/>
      <c r="GZ6" s="44"/>
      <c r="HA6" s="63"/>
      <c r="HB6" s="63"/>
      <c r="HC6" s="37"/>
      <c r="HD6" s="44"/>
      <c r="HE6" s="63"/>
      <c r="HF6" s="63"/>
      <c r="HG6" s="37"/>
      <c r="HH6" s="44"/>
      <c r="HI6" s="63"/>
      <c r="HJ6" s="63"/>
      <c r="HK6" s="37"/>
      <c r="HL6" s="44"/>
      <c r="HM6" s="63"/>
      <c r="HN6" s="63"/>
      <c r="HO6" s="37"/>
      <c r="HP6" s="44"/>
      <c r="HQ6" s="63"/>
      <c r="HR6" s="63"/>
      <c r="HS6" s="37"/>
      <c r="HT6" s="44"/>
      <c r="HU6" s="63"/>
      <c r="HV6" s="63"/>
      <c r="HW6" s="37"/>
      <c r="HX6" s="44"/>
      <c r="HY6" s="63"/>
      <c r="HZ6" s="63"/>
      <c r="IA6" s="37"/>
      <c r="IB6" s="44"/>
      <c r="IC6" s="63"/>
      <c r="ID6" s="63"/>
      <c r="IE6" s="37"/>
      <c r="IF6" s="44"/>
      <c r="IG6" s="63"/>
      <c r="IH6" s="63"/>
      <c r="II6" s="37"/>
      <c r="IJ6" s="44"/>
      <c r="IK6" s="63"/>
      <c r="IL6" s="63"/>
      <c r="IM6" s="37"/>
      <c r="IN6" s="44"/>
      <c r="IO6" s="63"/>
      <c r="IP6" s="63"/>
      <c r="IQ6" s="37"/>
      <c r="IR6" s="44"/>
      <c r="IS6" s="63"/>
      <c r="IT6" s="63"/>
      <c r="IU6" s="37"/>
      <c r="IV6" s="44"/>
      <c r="IW6" s="63"/>
      <c r="IX6" s="63"/>
      <c r="IY6" s="37"/>
      <c r="IZ6" s="44"/>
      <c r="JA6" s="63"/>
      <c r="JB6" s="63"/>
      <c r="JC6" s="37"/>
      <c r="JD6" s="44"/>
      <c r="JE6" s="63"/>
      <c r="JF6" s="63"/>
      <c r="JG6" s="37"/>
      <c r="JH6" s="44"/>
      <c r="JI6" s="63"/>
      <c r="JJ6" s="63"/>
      <c r="JK6" s="37"/>
      <c r="JL6" s="44"/>
      <c r="JM6" s="63"/>
      <c r="JN6" s="63"/>
      <c r="JO6" s="37"/>
      <c r="JP6" s="44"/>
      <c r="JQ6" s="63"/>
      <c r="JR6" s="63"/>
      <c r="JS6" s="37"/>
      <c r="JT6" s="44"/>
      <c r="JU6" s="63"/>
      <c r="JV6" s="63"/>
      <c r="JW6" s="37"/>
      <c r="JX6" s="44"/>
      <c r="JY6" s="63"/>
      <c r="JZ6" s="63"/>
      <c r="KA6" s="37"/>
      <c r="KB6" s="44"/>
      <c r="KC6" s="63"/>
      <c r="KD6" s="63"/>
      <c r="KE6" s="37"/>
      <c r="KF6" s="44"/>
      <c r="KG6" s="63"/>
      <c r="KH6" s="63"/>
    </row>
    <row r="7" spans="1:294" x14ac:dyDescent="0.25">
      <c r="C7" s="1" t="s">
        <v>204</v>
      </c>
      <c r="D7" s="19">
        <f>SUM(D$3)</f>
        <v>28800</v>
      </c>
      <c r="E7" s="63"/>
      <c r="F7" s="63"/>
      <c r="G7" s="1" t="s">
        <v>204</v>
      </c>
      <c r="H7" s="19">
        <f>SUM(H$3)</f>
        <v>28800</v>
      </c>
      <c r="I7" s="63"/>
      <c r="J7" s="63"/>
      <c r="K7" s="1" t="s">
        <v>204</v>
      </c>
      <c r="L7" s="19">
        <f t="shared" ref="L7" si="355">SUM(L$3)</f>
        <v>28800</v>
      </c>
      <c r="M7" s="63"/>
      <c r="N7" s="63"/>
      <c r="O7" s="1" t="s">
        <v>204</v>
      </c>
      <c r="P7" s="19">
        <f t="shared" ref="P7" si="356">SUM(P$3)</f>
        <v>28800</v>
      </c>
      <c r="Q7" s="63"/>
      <c r="R7" s="63"/>
      <c r="S7" s="1" t="s">
        <v>204</v>
      </c>
      <c r="T7" s="19">
        <f t="shared" ref="T7" si="357">SUM(T$3)</f>
        <v>28800</v>
      </c>
      <c r="U7" s="63"/>
      <c r="V7" s="63"/>
      <c r="W7" s="1" t="s">
        <v>204</v>
      </c>
      <c r="X7" s="19">
        <f t="shared" ref="X7" si="358">SUM(X$3)</f>
        <v>28800</v>
      </c>
      <c r="Y7" s="63"/>
      <c r="Z7" s="63"/>
      <c r="AA7" s="1" t="s">
        <v>204</v>
      </c>
      <c r="AB7" s="19">
        <f t="shared" ref="AB7" si="359">SUM(AB$3)</f>
        <v>28800</v>
      </c>
      <c r="AC7" s="63"/>
      <c r="AD7" s="63"/>
      <c r="AE7" s="1" t="s">
        <v>204</v>
      </c>
      <c r="AF7" s="19">
        <f t="shared" ref="AF7" si="360">SUM(AF$3)</f>
        <v>38400</v>
      </c>
      <c r="AG7" s="63"/>
      <c r="AH7" s="63"/>
      <c r="AI7" s="1" t="s">
        <v>204</v>
      </c>
      <c r="AJ7" s="19">
        <f t="shared" ref="AJ7" si="361">SUM(AJ$3)</f>
        <v>38400</v>
      </c>
      <c r="AK7" s="63"/>
      <c r="AL7" s="63"/>
      <c r="AM7" s="1" t="s">
        <v>204</v>
      </c>
      <c r="AN7" s="19">
        <f t="shared" ref="AN7" si="362">SUM(AN$3)</f>
        <v>38400</v>
      </c>
      <c r="AO7" s="63"/>
      <c r="AP7" s="63"/>
      <c r="AQ7" s="1" t="s">
        <v>204</v>
      </c>
      <c r="AR7" s="19">
        <f t="shared" ref="AR7" si="363">SUM(AR$3)</f>
        <v>38400</v>
      </c>
      <c r="AS7" s="63"/>
      <c r="AT7" s="63"/>
      <c r="AU7" s="1" t="s">
        <v>204</v>
      </c>
      <c r="AV7" s="19">
        <f t="shared" ref="AV7" si="364">SUM(AV$3)</f>
        <v>38400</v>
      </c>
      <c r="AW7" s="63"/>
      <c r="AX7" s="63"/>
      <c r="AY7" s="1" t="s">
        <v>204</v>
      </c>
      <c r="AZ7" s="19">
        <f t="shared" ref="AZ7" si="365">SUM(AZ$3)</f>
        <v>38400</v>
      </c>
      <c r="BA7" s="63"/>
      <c r="BB7" s="63"/>
      <c r="BC7" s="1" t="s">
        <v>204</v>
      </c>
      <c r="BD7" s="19">
        <f t="shared" ref="BD7" si="366">SUM(BD$3)</f>
        <v>38400</v>
      </c>
      <c r="BE7" s="63"/>
      <c r="BF7" s="63"/>
      <c r="BG7" s="1" t="s">
        <v>204</v>
      </c>
      <c r="BH7" s="19">
        <f t="shared" ref="BH7" si="367">SUM(BH$3)</f>
        <v>48000</v>
      </c>
      <c r="BI7" s="63"/>
      <c r="BJ7" s="63"/>
      <c r="BK7" s="1" t="s">
        <v>204</v>
      </c>
      <c r="BL7" s="19">
        <f t="shared" ref="BL7" si="368">SUM(BL$3)</f>
        <v>48000</v>
      </c>
      <c r="BM7" s="63"/>
      <c r="BN7" s="63"/>
      <c r="BO7" s="1" t="s">
        <v>204</v>
      </c>
      <c r="BP7" s="19">
        <f t="shared" ref="BP7" si="369">SUM(BP$3)</f>
        <v>48000</v>
      </c>
      <c r="BQ7" s="63"/>
      <c r="BR7" s="63"/>
      <c r="BS7" s="1" t="s">
        <v>204</v>
      </c>
      <c r="BT7" s="19">
        <f t="shared" ref="BT7" si="370">SUM(BT$3)</f>
        <v>48000</v>
      </c>
      <c r="BU7" s="63"/>
      <c r="BV7" s="63"/>
      <c r="BW7" s="1" t="s">
        <v>204</v>
      </c>
      <c r="BX7" s="19">
        <f t="shared" ref="BX7" si="371">SUM(BX$3)</f>
        <v>48000</v>
      </c>
      <c r="BY7" s="63"/>
      <c r="BZ7" s="63"/>
      <c r="CA7" s="1" t="s">
        <v>204</v>
      </c>
      <c r="CB7" s="19">
        <f t="shared" ref="CB7" si="372">SUM(CB$3)</f>
        <v>48000</v>
      </c>
      <c r="CC7" s="63"/>
      <c r="CD7" s="63"/>
      <c r="CE7" s="1" t="s">
        <v>204</v>
      </c>
      <c r="CF7" s="19">
        <f t="shared" ref="CF7" si="373">SUM(CF$3)</f>
        <v>57600</v>
      </c>
      <c r="CG7" s="63"/>
      <c r="CH7" s="63"/>
      <c r="CI7" s="1" t="s">
        <v>204</v>
      </c>
      <c r="CJ7" s="19">
        <f t="shared" ref="CJ7" si="374">SUM(CJ$3)</f>
        <v>57600</v>
      </c>
      <c r="CK7" s="63"/>
      <c r="CL7" s="63"/>
      <c r="CM7" s="1" t="s">
        <v>204</v>
      </c>
      <c r="CN7" s="19">
        <f t="shared" ref="CN7" si="375">SUM(CN$3)</f>
        <v>57600</v>
      </c>
      <c r="CO7" s="63"/>
      <c r="CP7" s="63"/>
      <c r="CQ7" s="1" t="s">
        <v>204</v>
      </c>
      <c r="CR7" s="19">
        <f t="shared" ref="CR7" si="376">SUM(CR$3)</f>
        <v>57600</v>
      </c>
      <c r="CS7" s="63"/>
      <c r="CT7" s="63"/>
      <c r="CU7" s="1" t="s">
        <v>204</v>
      </c>
      <c r="CV7" s="19">
        <f t="shared" ref="CV7" si="377">SUM(CV$3)</f>
        <v>57600</v>
      </c>
      <c r="CW7" s="63"/>
      <c r="CX7" s="63"/>
      <c r="CY7" s="1" t="s">
        <v>204</v>
      </c>
      <c r="CZ7" s="19">
        <f t="shared" ref="CZ7" si="378">SUM(CZ$3)</f>
        <v>57600</v>
      </c>
      <c r="DA7" s="63"/>
      <c r="DB7" s="63"/>
      <c r="DC7" s="1" t="s">
        <v>204</v>
      </c>
      <c r="DD7" s="19">
        <f t="shared" ref="DD7" si="379">SUM(DD$3)</f>
        <v>57600</v>
      </c>
      <c r="DE7" s="63"/>
      <c r="DF7" s="63"/>
      <c r="DG7" s="1" t="s">
        <v>204</v>
      </c>
      <c r="DH7" s="19">
        <f t="shared" ref="DH7" si="380">SUM(DH$3)</f>
        <v>67200</v>
      </c>
      <c r="DI7" s="63"/>
      <c r="DJ7" s="63"/>
      <c r="DK7" s="1" t="s">
        <v>204</v>
      </c>
      <c r="DL7" s="19">
        <f t="shared" ref="DL7" si="381">SUM(DL$3)</f>
        <v>67200</v>
      </c>
      <c r="DM7" s="63"/>
      <c r="DN7" s="63"/>
      <c r="DO7" s="1" t="s">
        <v>204</v>
      </c>
      <c r="DP7" s="19">
        <f t="shared" ref="DP7" si="382">SUM(DP$3)</f>
        <v>67200</v>
      </c>
      <c r="DQ7" s="63"/>
      <c r="DR7" s="63"/>
      <c r="DS7" s="1" t="s">
        <v>204</v>
      </c>
      <c r="DT7" s="19">
        <f t="shared" ref="DT7" si="383">SUM(DT$3)</f>
        <v>67200</v>
      </c>
      <c r="DU7" s="63"/>
      <c r="DV7" s="63"/>
      <c r="DW7" s="1" t="s">
        <v>204</v>
      </c>
      <c r="DX7" s="19">
        <f t="shared" ref="DX7" si="384">SUM(DX$3)</f>
        <v>67200</v>
      </c>
      <c r="DY7" s="63"/>
      <c r="DZ7" s="63"/>
      <c r="EA7" s="1" t="s">
        <v>204</v>
      </c>
      <c r="EB7" s="19">
        <f t="shared" ref="EB7" si="385">SUM(EB$3)</f>
        <v>67200</v>
      </c>
      <c r="EC7" s="63"/>
      <c r="ED7" s="63"/>
      <c r="EE7" s="1" t="s">
        <v>204</v>
      </c>
      <c r="EF7" s="19">
        <f t="shared" ref="EF7" si="386">SUM(EF$3)</f>
        <v>67200</v>
      </c>
      <c r="EG7" s="63"/>
      <c r="EH7" s="63"/>
      <c r="EI7" s="1" t="s">
        <v>204</v>
      </c>
      <c r="EJ7" s="19">
        <f t="shared" ref="EJ7" si="387">SUM(EJ$3)</f>
        <v>76800</v>
      </c>
      <c r="EK7" s="63"/>
      <c r="EL7" s="63"/>
      <c r="EM7" s="1" t="s">
        <v>204</v>
      </c>
      <c r="EN7" s="19">
        <f t="shared" ref="EN7" si="388">SUM(EN$3)</f>
        <v>76800</v>
      </c>
      <c r="EO7" s="63"/>
      <c r="EP7" s="63"/>
      <c r="EQ7" s="1" t="s">
        <v>204</v>
      </c>
      <c r="ER7" s="19">
        <f t="shared" ref="ER7" si="389">SUM(ER$3)</f>
        <v>76800</v>
      </c>
      <c r="ES7" s="63"/>
      <c r="ET7" s="63"/>
      <c r="EU7" s="1" t="s">
        <v>204</v>
      </c>
      <c r="EV7" s="19">
        <f t="shared" ref="EV7" si="390">SUM(EV$3)</f>
        <v>76800</v>
      </c>
      <c r="EW7" s="63"/>
      <c r="EX7" s="63"/>
      <c r="EY7" s="1" t="s">
        <v>204</v>
      </c>
      <c r="EZ7" s="19">
        <f t="shared" ref="EZ7" si="391">SUM(EZ$3)</f>
        <v>76800</v>
      </c>
      <c r="FA7" s="63"/>
      <c r="FB7" s="63"/>
      <c r="FC7" s="1" t="s">
        <v>204</v>
      </c>
      <c r="FD7" s="19">
        <f t="shared" ref="FD7" si="392">SUM(FD$3)</f>
        <v>76800</v>
      </c>
      <c r="FE7" s="63"/>
      <c r="FF7" s="63"/>
      <c r="FG7" s="1" t="s">
        <v>204</v>
      </c>
      <c r="FH7" s="19">
        <f t="shared" ref="FH7" si="393">SUM(FH$3)</f>
        <v>86400</v>
      </c>
      <c r="FI7" s="63"/>
      <c r="FJ7" s="63"/>
      <c r="FK7" s="1" t="s">
        <v>204</v>
      </c>
      <c r="FL7" s="19">
        <f t="shared" ref="FL7" si="394">SUM(FL$3)</f>
        <v>86400</v>
      </c>
      <c r="FM7" s="63"/>
      <c r="FN7" s="63"/>
      <c r="FO7" s="1" t="s">
        <v>204</v>
      </c>
      <c r="FP7" s="19">
        <f t="shared" ref="FP7" si="395">SUM(FP$3)</f>
        <v>86400</v>
      </c>
      <c r="FQ7" s="63"/>
      <c r="FR7" s="63"/>
      <c r="FS7" s="1" t="s">
        <v>204</v>
      </c>
      <c r="FT7" s="19">
        <f t="shared" ref="FT7" si="396">SUM(FT$3)</f>
        <v>86400</v>
      </c>
      <c r="FU7" s="63"/>
      <c r="FV7" s="63"/>
      <c r="FW7" s="1" t="s">
        <v>204</v>
      </c>
      <c r="FX7" s="19">
        <f t="shared" ref="FX7" si="397">SUM(FX$3)</f>
        <v>86400</v>
      </c>
      <c r="FY7" s="63"/>
      <c r="FZ7" s="63"/>
      <c r="GA7" s="1" t="s">
        <v>204</v>
      </c>
      <c r="GB7" s="19">
        <f t="shared" ref="GB7" si="398">SUM(GB$3)</f>
        <v>86400</v>
      </c>
      <c r="GC7" s="63"/>
      <c r="GD7" s="63"/>
      <c r="GE7" s="1" t="s">
        <v>204</v>
      </c>
      <c r="GF7" s="19">
        <f t="shared" ref="GF7" si="399">SUM(GF$3)</f>
        <v>86400</v>
      </c>
      <c r="GG7" s="63"/>
      <c r="GH7" s="63"/>
      <c r="GI7" s="1" t="s">
        <v>204</v>
      </c>
      <c r="GJ7" s="19">
        <f t="shared" ref="GJ7" si="400">SUM(GJ$3)</f>
        <v>96000</v>
      </c>
      <c r="GK7" s="63"/>
      <c r="GL7" s="63"/>
      <c r="GM7" s="1" t="s">
        <v>204</v>
      </c>
      <c r="GN7" s="19">
        <f t="shared" ref="GN7" si="401">SUM(GN$3)</f>
        <v>96000</v>
      </c>
      <c r="GO7" s="63"/>
      <c r="GP7" s="63"/>
      <c r="GQ7" s="1" t="s">
        <v>204</v>
      </c>
      <c r="GR7" s="19">
        <f t="shared" ref="GR7" si="402">SUM(GR$3)</f>
        <v>96000</v>
      </c>
      <c r="GS7" s="63"/>
      <c r="GT7" s="63"/>
      <c r="GU7" s="1" t="s">
        <v>204</v>
      </c>
      <c r="GV7" s="19">
        <f t="shared" ref="GV7" si="403">SUM(GV$3)</f>
        <v>96000</v>
      </c>
      <c r="GW7" s="63"/>
      <c r="GX7" s="63"/>
      <c r="GY7" s="1" t="s">
        <v>204</v>
      </c>
      <c r="GZ7" s="19">
        <f t="shared" ref="GZ7" si="404">SUM(GZ$3)</f>
        <v>96000</v>
      </c>
      <c r="HA7" s="63"/>
      <c r="HB7" s="63"/>
      <c r="HC7" s="1" t="s">
        <v>204</v>
      </c>
      <c r="HD7" s="19">
        <f t="shared" ref="HD7" si="405">SUM(HD$3)</f>
        <v>96000</v>
      </c>
      <c r="HE7" s="63"/>
      <c r="HF7" s="63"/>
      <c r="HG7" s="1" t="s">
        <v>204</v>
      </c>
      <c r="HH7" s="19">
        <f t="shared" ref="HH7" si="406">SUM(HH$3)</f>
        <v>96000</v>
      </c>
      <c r="HI7" s="63"/>
      <c r="HJ7" s="63"/>
      <c r="HK7" s="1" t="s">
        <v>204</v>
      </c>
      <c r="HL7" s="19">
        <f t="shared" ref="HL7" si="407">SUM(HL$3)</f>
        <v>105600</v>
      </c>
      <c r="HM7" s="63"/>
      <c r="HN7" s="63"/>
      <c r="HO7" s="1" t="s">
        <v>204</v>
      </c>
      <c r="HP7" s="19">
        <f t="shared" ref="HP7" si="408">SUM(HP$3)</f>
        <v>105600</v>
      </c>
      <c r="HQ7" s="63"/>
      <c r="HR7" s="63"/>
      <c r="HS7" s="1" t="s">
        <v>204</v>
      </c>
      <c r="HT7" s="19">
        <f t="shared" ref="HT7" si="409">SUM(HT$3)</f>
        <v>105600</v>
      </c>
      <c r="HU7" s="63"/>
      <c r="HV7" s="63"/>
      <c r="HW7" s="1" t="s">
        <v>204</v>
      </c>
      <c r="HX7" s="19">
        <f t="shared" ref="HX7" si="410">SUM(HX$3)</f>
        <v>105600</v>
      </c>
      <c r="HY7" s="63"/>
      <c r="HZ7" s="63"/>
      <c r="IA7" s="1" t="s">
        <v>204</v>
      </c>
      <c r="IB7" s="19">
        <f t="shared" ref="IB7" si="411">SUM(IB$3)</f>
        <v>105600</v>
      </c>
      <c r="IC7" s="63"/>
      <c r="ID7" s="63"/>
      <c r="IE7" s="1" t="s">
        <v>204</v>
      </c>
      <c r="IF7" s="19">
        <f t="shared" ref="IF7" si="412">SUM(IF$3)</f>
        <v>105600</v>
      </c>
      <c r="IG7" s="63"/>
      <c r="IH7" s="63"/>
      <c r="II7" s="1" t="s">
        <v>204</v>
      </c>
      <c r="IJ7" s="19">
        <f t="shared" ref="IJ7" si="413">SUM(IJ$3)</f>
        <v>115200</v>
      </c>
      <c r="IK7" s="63"/>
      <c r="IL7" s="63"/>
      <c r="IM7" s="1" t="s">
        <v>204</v>
      </c>
      <c r="IN7" s="19">
        <f t="shared" ref="IN7" si="414">SUM(IN$3)</f>
        <v>115200</v>
      </c>
      <c r="IO7" s="63"/>
      <c r="IP7" s="63"/>
      <c r="IQ7" s="1" t="s">
        <v>204</v>
      </c>
      <c r="IR7" s="19">
        <f t="shared" ref="IR7" si="415">SUM(IR$3)</f>
        <v>115200</v>
      </c>
      <c r="IS7" s="63"/>
      <c r="IT7" s="63"/>
      <c r="IU7" s="1" t="s">
        <v>204</v>
      </c>
      <c r="IV7" s="19">
        <f t="shared" ref="IV7" si="416">SUM(IV$3)</f>
        <v>115200</v>
      </c>
      <c r="IW7" s="63"/>
      <c r="IX7" s="63"/>
      <c r="IY7" s="1" t="s">
        <v>204</v>
      </c>
      <c r="IZ7" s="19">
        <f t="shared" ref="IZ7" si="417">SUM(IZ$3)</f>
        <v>115200</v>
      </c>
      <c r="JA7" s="63"/>
      <c r="JB7" s="63"/>
      <c r="JC7" s="1" t="s">
        <v>204</v>
      </c>
      <c r="JD7" s="19">
        <f t="shared" ref="JD7" si="418">SUM(JD$3)</f>
        <v>115200</v>
      </c>
      <c r="JE7" s="63"/>
      <c r="JF7" s="63"/>
      <c r="JG7" s="1" t="s">
        <v>204</v>
      </c>
      <c r="JH7" s="19">
        <f t="shared" ref="JH7" si="419">SUM(JH$3)</f>
        <v>115200</v>
      </c>
      <c r="JI7" s="63"/>
      <c r="JJ7" s="63"/>
      <c r="JK7" s="1" t="s">
        <v>204</v>
      </c>
      <c r="JL7" s="19">
        <f t="shared" ref="JL7" si="420">SUM(JL$3)</f>
        <v>124800</v>
      </c>
      <c r="JM7" s="63"/>
      <c r="JN7" s="63"/>
      <c r="JO7" s="1" t="s">
        <v>204</v>
      </c>
      <c r="JP7" s="19">
        <f t="shared" ref="JP7" si="421">SUM(JP$3)</f>
        <v>124800</v>
      </c>
      <c r="JQ7" s="63"/>
      <c r="JR7" s="63"/>
      <c r="JS7" s="1" t="s">
        <v>204</v>
      </c>
      <c r="JT7" s="19">
        <f t="shared" ref="JT7" si="422">SUM(JT$3)</f>
        <v>124800</v>
      </c>
      <c r="JU7" s="63"/>
      <c r="JV7" s="63"/>
      <c r="JW7" s="1" t="s">
        <v>204</v>
      </c>
      <c r="JX7" s="19">
        <f t="shared" ref="JX7" si="423">SUM(JX$3)</f>
        <v>124800</v>
      </c>
      <c r="JY7" s="63"/>
      <c r="JZ7" s="63"/>
      <c r="KA7" s="1" t="s">
        <v>204</v>
      </c>
      <c r="KB7" s="19">
        <f t="shared" ref="KB7" si="424">SUM(KB$3)</f>
        <v>124800</v>
      </c>
      <c r="KC7" s="63"/>
      <c r="KD7" s="63"/>
      <c r="KE7" s="1" t="s">
        <v>204</v>
      </c>
      <c r="KF7" s="19">
        <f t="shared" ref="KF7" si="425">SUM(KF$3)</f>
        <v>124800</v>
      </c>
      <c r="KG7" s="63"/>
      <c r="KH7" s="63"/>
    </row>
    <row r="8" spans="1:294" x14ac:dyDescent="0.25">
      <c r="E8" s="63"/>
      <c r="F8" s="63"/>
      <c r="H8" s="44"/>
      <c r="I8" s="63"/>
      <c r="J8" s="63"/>
      <c r="K8" s="37"/>
      <c r="L8" s="44"/>
      <c r="M8" s="63"/>
      <c r="N8" s="63"/>
      <c r="O8" s="37"/>
      <c r="P8" s="44"/>
      <c r="Q8" s="63"/>
      <c r="R8" s="63"/>
      <c r="S8" s="37"/>
      <c r="T8" s="44"/>
      <c r="U8" s="63"/>
      <c r="V8" s="63"/>
      <c r="W8" s="37"/>
      <c r="X8" s="44"/>
      <c r="Y8" s="63"/>
      <c r="Z8" s="63"/>
      <c r="AA8" s="37"/>
      <c r="AB8" s="44"/>
      <c r="AC8" s="63"/>
      <c r="AD8" s="63"/>
      <c r="AE8" s="37"/>
      <c r="AF8" s="44"/>
      <c r="AG8" s="63"/>
      <c r="AH8" s="63"/>
      <c r="AI8" s="37"/>
      <c r="AJ8" s="44"/>
      <c r="AK8" s="63"/>
      <c r="AL8" s="63"/>
      <c r="AM8" s="37"/>
      <c r="AN8" s="44"/>
      <c r="AO8" s="63"/>
      <c r="AP8" s="63"/>
      <c r="AQ8" s="37"/>
      <c r="AR8" s="44"/>
      <c r="AS8" s="63"/>
      <c r="AT8" s="63"/>
      <c r="AU8" s="37"/>
      <c r="AV8" s="44"/>
      <c r="AW8" s="63"/>
      <c r="AX8" s="63"/>
      <c r="AY8" s="37"/>
      <c r="AZ8" s="44"/>
      <c r="BA8" s="63"/>
      <c r="BB8" s="63"/>
      <c r="BC8" s="37"/>
      <c r="BD8" s="44"/>
      <c r="BE8" s="63"/>
      <c r="BF8" s="63"/>
      <c r="BG8" s="37"/>
      <c r="BH8" s="44"/>
      <c r="BI8" s="63"/>
      <c r="BJ8" s="63"/>
      <c r="BK8" s="37"/>
      <c r="BL8" s="44"/>
      <c r="BM8" s="63"/>
      <c r="BN8" s="63"/>
      <c r="BO8" s="37"/>
      <c r="BP8" s="44"/>
      <c r="BQ8" s="63"/>
      <c r="BR8" s="63"/>
      <c r="BS8" s="37"/>
      <c r="BT8" s="44"/>
      <c r="BU8" s="63"/>
      <c r="BV8" s="63"/>
      <c r="BW8" s="37"/>
      <c r="BX8" s="44"/>
      <c r="BY8" s="63"/>
      <c r="BZ8" s="63"/>
      <c r="CA8" s="37"/>
      <c r="CB8" s="44"/>
      <c r="CC8" s="63"/>
      <c r="CD8" s="63"/>
      <c r="CE8" s="37"/>
      <c r="CF8" s="44"/>
      <c r="CG8" s="63"/>
      <c r="CH8" s="63"/>
      <c r="CI8" s="37"/>
      <c r="CJ8" s="44"/>
      <c r="CK8" s="63"/>
      <c r="CL8" s="63"/>
      <c r="CM8" s="37"/>
      <c r="CN8" s="44"/>
      <c r="CO8" s="63"/>
      <c r="CP8" s="63"/>
      <c r="CQ8" s="37"/>
      <c r="CR8" s="44"/>
      <c r="CS8" s="63"/>
      <c r="CT8" s="63"/>
      <c r="CU8" s="37"/>
      <c r="CV8" s="44"/>
      <c r="CW8" s="63"/>
      <c r="CX8" s="63"/>
      <c r="CY8" s="37"/>
      <c r="CZ8" s="44"/>
      <c r="DA8" s="63"/>
      <c r="DB8" s="63"/>
      <c r="DC8" s="37"/>
      <c r="DD8" s="44"/>
      <c r="DE8" s="63"/>
      <c r="DF8" s="63"/>
      <c r="DG8" s="37"/>
      <c r="DH8" s="44"/>
      <c r="DI8" s="63"/>
      <c r="DJ8" s="63"/>
      <c r="DK8" s="37"/>
      <c r="DL8" s="44"/>
      <c r="DM8" s="63"/>
      <c r="DN8" s="63"/>
      <c r="DO8" s="37"/>
      <c r="DP8" s="44"/>
      <c r="DQ8" s="63"/>
      <c r="DR8" s="63"/>
      <c r="DS8" s="37"/>
      <c r="DT8" s="44"/>
      <c r="DU8" s="63"/>
      <c r="DV8" s="63"/>
      <c r="DW8" s="37"/>
      <c r="DX8" s="44"/>
      <c r="DY8" s="63"/>
      <c r="DZ8" s="63"/>
      <c r="EA8" s="37"/>
      <c r="EB8" s="44"/>
      <c r="EC8" s="63"/>
      <c r="ED8" s="63"/>
      <c r="EE8" s="37"/>
      <c r="EF8" s="44"/>
      <c r="EG8" s="63"/>
      <c r="EH8" s="63"/>
      <c r="EI8" s="37"/>
      <c r="EJ8" s="44"/>
      <c r="EK8" s="63"/>
      <c r="EL8" s="63"/>
      <c r="EM8" s="37"/>
      <c r="EN8" s="44"/>
      <c r="EO8" s="63"/>
      <c r="EP8" s="63"/>
      <c r="EQ8" s="37"/>
      <c r="ER8" s="44"/>
      <c r="ES8" s="63"/>
      <c r="ET8" s="63"/>
      <c r="EU8" s="37"/>
      <c r="EV8" s="44"/>
      <c r="EW8" s="63"/>
      <c r="EX8" s="63"/>
      <c r="EY8" s="37"/>
      <c r="EZ8" s="44"/>
      <c r="FA8" s="63"/>
      <c r="FB8" s="63"/>
      <c r="FC8" s="37"/>
      <c r="FD8" s="44"/>
      <c r="FE8" s="63"/>
      <c r="FF8" s="63"/>
      <c r="FG8" s="37"/>
      <c r="FH8" s="44"/>
      <c r="FI8" s="63"/>
      <c r="FJ8" s="63"/>
      <c r="FK8" s="37"/>
      <c r="FL8" s="44"/>
      <c r="FM8" s="63"/>
      <c r="FN8" s="63"/>
      <c r="FO8" s="37"/>
      <c r="FP8" s="44"/>
      <c r="FQ8" s="63"/>
      <c r="FR8" s="63"/>
      <c r="FS8" s="37"/>
      <c r="FT8" s="44"/>
      <c r="FU8" s="63"/>
      <c r="FV8" s="63"/>
      <c r="FW8" s="37"/>
      <c r="FX8" s="44"/>
      <c r="FY8" s="63"/>
      <c r="FZ8" s="63"/>
      <c r="GA8" s="37"/>
      <c r="GB8" s="44"/>
      <c r="GC8" s="63"/>
      <c r="GD8" s="63"/>
      <c r="GE8" s="37"/>
      <c r="GF8" s="44"/>
      <c r="GG8" s="63"/>
      <c r="GH8" s="63"/>
      <c r="GI8" s="37"/>
      <c r="GJ8" s="44"/>
      <c r="GK8" s="63"/>
      <c r="GL8" s="63"/>
      <c r="GM8" s="37"/>
      <c r="GN8" s="44"/>
      <c r="GO8" s="63"/>
      <c r="GP8" s="63"/>
      <c r="GQ8" s="37"/>
      <c r="GR8" s="44"/>
      <c r="GS8" s="63"/>
      <c r="GT8" s="63"/>
      <c r="GU8" s="37"/>
      <c r="GV8" s="44"/>
      <c r="GW8" s="63"/>
      <c r="GX8" s="63"/>
      <c r="GY8" s="37"/>
      <c r="GZ8" s="44"/>
      <c r="HA8" s="63"/>
      <c r="HB8" s="63"/>
      <c r="HC8" s="37"/>
      <c r="HD8" s="44"/>
      <c r="HE8" s="63"/>
      <c r="HF8" s="63"/>
      <c r="HG8" s="37"/>
      <c r="HH8" s="44"/>
      <c r="HI8" s="63"/>
      <c r="HJ8" s="63"/>
      <c r="HK8" s="37"/>
      <c r="HL8" s="44"/>
      <c r="HM8" s="63"/>
      <c r="HN8" s="63"/>
      <c r="HO8" s="37"/>
      <c r="HP8" s="44"/>
      <c r="HQ8" s="63"/>
      <c r="HR8" s="63"/>
      <c r="HS8" s="37"/>
      <c r="HT8" s="44"/>
      <c r="HU8" s="63"/>
      <c r="HV8" s="63"/>
      <c r="HW8" s="37"/>
      <c r="HX8" s="44"/>
      <c r="HY8" s="63"/>
      <c r="HZ8" s="63"/>
      <c r="IA8" s="37"/>
      <c r="IB8" s="44"/>
      <c r="IC8" s="63"/>
      <c r="ID8" s="63"/>
      <c r="IE8" s="37"/>
      <c r="IF8" s="44"/>
      <c r="IG8" s="63"/>
      <c r="IH8" s="63"/>
      <c r="II8" s="37"/>
      <c r="IJ8" s="44"/>
      <c r="IK8" s="63"/>
      <c r="IL8" s="63"/>
      <c r="IM8" s="37"/>
      <c r="IN8" s="44"/>
      <c r="IO8" s="63"/>
      <c r="IP8" s="63"/>
      <c r="IQ8" s="37"/>
      <c r="IR8" s="44"/>
      <c r="IS8" s="63"/>
      <c r="IT8" s="63"/>
      <c r="IU8" s="37"/>
      <c r="IV8" s="44"/>
      <c r="IW8" s="63"/>
      <c r="IX8" s="63"/>
      <c r="IY8" s="37"/>
      <c r="IZ8" s="44"/>
      <c r="JA8" s="63"/>
      <c r="JB8" s="63"/>
      <c r="JC8" s="37"/>
      <c r="JD8" s="44"/>
      <c r="JE8" s="63"/>
      <c r="JF8" s="63"/>
      <c r="JG8" s="37"/>
      <c r="JH8" s="44"/>
      <c r="JI8" s="63"/>
      <c r="JJ8" s="63"/>
      <c r="JK8" s="37"/>
      <c r="JL8" s="44"/>
      <c r="JM8" s="63"/>
      <c r="JN8" s="63"/>
      <c r="JO8" s="37"/>
      <c r="JP8" s="44"/>
      <c r="JQ8" s="63"/>
      <c r="JR8" s="63"/>
      <c r="JS8" s="37"/>
      <c r="JT8" s="44"/>
      <c r="JU8" s="63"/>
      <c r="JV8" s="63"/>
      <c r="JW8" s="37"/>
      <c r="JX8" s="44"/>
      <c r="JY8" s="63"/>
      <c r="JZ8" s="63"/>
      <c r="KA8" s="37"/>
      <c r="KB8" s="44"/>
      <c r="KC8" s="63"/>
      <c r="KD8" s="63"/>
      <c r="KE8" s="37"/>
      <c r="KF8" s="44"/>
      <c r="KG8" s="63"/>
      <c r="KH8" s="63"/>
    </row>
    <row r="9" spans="1:294" x14ac:dyDescent="0.25">
      <c r="C9" s="95" t="s">
        <v>202</v>
      </c>
      <c r="D9" s="88" t="s">
        <v>146</v>
      </c>
      <c r="E9" s="63"/>
      <c r="F9" s="63"/>
      <c r="G9" s="95" t="s">
        <v>202</v>
      </c>
      <c r="H9" s="88" t="s">
        <v>146</v>
      </c>
      <c r="I9" s="63"/>
      <c r="J9" s="63"/>
      <c r="K9" s="95" t="s">
        <v>202</v>
      </c>
      <c r="L9" s="88" t="s">
        <v>146</v>
      </c>
      <c r="M9" s="63"/>
      <c r="N9" s="63"/>
      <c r="O9" s="95" t="s">
        <v>202</v>
      </c>
      <c r="P9" s="88" t="s">
        <v>146</v>
      </c>
      <c r="Q9" s="63"/>
      <c r="R9" s="63"/>
      <c r="S9" s="95" t="s">
        <v>202</v>
      </c>
      <c r="T9" s="88" t="s">
        <v>146</v>
      </c>
      <c r="U9" s="63"/>
      <c r="V9" s="63"/>
      <c r="W9" s="95" t="s">
        <v>202</v>
      </c>
      <c r="X9" s="88" t="s">
        <v>146</v>
      </c>
      <c r="Y9" s="63"/>
      <c r="Z9" s="63"/>
      <c r="AA9" s="95" t="s">
        <v>202</v>
      </c>
      <c r="AB9" s="88" t="s">
        <v>146</v>
      </c>
      <c r="AC9" s="63"/>
      <c r="AD9" s="63"/>
      <c r="AE9" s="95" t="s">
        <v>202</v>
      </c>
      <c r="AF9" s="88" t="s">
        <v>146</v>
      </c>
      <c r="AG9" s="63"/>
      <c r="AH9" s="63"/>
      <c r="AI9" s="95" t="s">
        <v>202</v>
      </c>
      <c r="AJ9" s="88" t="s">
        <v>146</v>
      </c>
      <c r="AK9" s="63"/>
      <c r="AL9" s="63"/>
      <c r="AM9" s="95" t="s">
        <v>202</v>
      </c>
      <c r="AN9" s="88" t="s">
        <v>146</v>
      </c>
      <c r="AO9" s="63"/>
      <c r="AP9" s="63"/>
      <c r="AQ9" s="95" t="s">
        <v>202</v>
      </c>
      <c r="AR9" s="88" t="s">
        <v>146</v>
      </c>
      <c r="AS9" s="63"/>
      <c r="AT9" s="63"/>
      <c r="AU9" s="95" t="s">
        <v>202</v>
      </c>
      <c r="AV9" s="88" t="s">
        <v>146</v>
      </c>
      <c r="AW9" s="63"/>
      <c r="AX9" s="63"/>
      <c r="AY9" s="95" t="s">
        <v>202</v>
      </c>
      <c r="AZ9" s="88" t="s">
        <v>146</v>
      </c>
      <c r="BA9" s="63"/>
      <c r="BB9" s="63"/>
      <c r="BC9" s="95" t="s">
        <v>202</v>
      </c>
      <c r="BD9" s="88" t="s">
        <v>146</v>
      </c>
      <c r="BE9" s="63"/>
      <c r="BF9" s="63"/>
      <c r="BG9" s="95" t="s">
        <v>202</v>
      </c>
      <c r="BH9" s="88" t="s">
        <v>146</v>
      </c>
      <c r="BI9" s="63"/>
      <c r="BJ9" s="63"/>
      <c r="BK9" s="95" t="s">
        <v>202</v>
      </c>
      <c r="BL9" s="88" t="s">
        <v>146</v>
      </c>
      <c r="BM9" s="63"/>
      <c r="BN9" s="63"/>
      <c r="BO9" s="95" t="s">
        <v>202</v>
      </c>
      <c r="BP9" s="88" t="s">
        <v>146</v>
      </c>
      <c r="BQ9" s="63"/>
      <c r="BR9" s="63"/>
      <c r="BS9" s="95" t="s">
        <v>202</v>
      </c>
      <c r="BT9" s="88" t="s">
        <v>146</v>
      </c>
      <c r="BU9" s="63"/>
      <c r="BV9" s="63"/>
      <c r="BW9" s="95" t="s">
        <v>202</v>
      </c>
      <c r="BX9" s="88" t="s">
        <v>146</v>
      </c>
      <c r="BY9" s="63"/>
      <c r="BZ9" s="63"/>
      <c r="CA9" s="95" t="s">
        <v>202</v>
      </c>
      <c r="CB9" s="88" t="s">
        <v>146</v>
      </c>
      <c r="CC9" s="63"/>
      <c r="CD9" s="63"/>
      <c r="CE9" s="95" t="s">
        <v>202</v>
      </c>
      <c r="CF9" s="88" t="s">
        <v>146</v>
      </c>
      <c r="CG9" s="63"/>
      <c r="CH9" s="63"/>
      <c r="CI9" s="95" t="s">
        <v>202</v>
      </c>
      <c r="CJ9" s="88" t="s">
        <v>146</v>
      </c>
      <c r="CK9" s="63"/>
      <c r="CL9" s="63"/>
      <c r="CM9" s="95" t="s">
        <v>202</v>
      </c>
      <c r="CN9" s="88" t="s">
        <v>146</v>
      </c>
      <c r="CO9" s="63"/>
      <c r="CP9" s="63"/>
      <c r="CQ9" s="95" t="s">
        <v>202</v>
      </c>
      <c r="CR9" s="88" t="s">
        <v>146</v>
      </c>
      <c r="CS9" s="63"/>
      <c r="CT9" s="63"/>
      <c r="CU9" s="95" t="s">
        <v>202</v>
      </c>
      <c r="CV9" s="88" t="s">
        <v>146</v>
      </c>
      <c r="CW9" s="63"/>
      <c r="CX9" s="63"/>
      <c r="CY9" s="95" t="s">
        <v>202</v>
      </c>
      <c r="CZ9" s="88" t="s">
        <v>146</v>
      </c>
      <c r="DA9" s="63"/>
      <c r="DB9" s="63"/>
      <c r="DC9" s="95" t="s">
        <v>202</v>
      </c>
      <c r="DD9" s="88" t="s">
        <v>146</v>
      </c>
      <c r="DE9" s="63"/>
      <c r="DF9" s="63"/>
      <c r="DG9" s="95" t="s">
        <v>202</v>
      </c>
      <c r="DH9" s="88" t="s">
        <v>146</v>
      </c>
      <c r="DI9" s="63"/>
      <c r="DJ9" s="63"/>
      <c r="DK9" s="95" t="s">
        <v>202</v>
      </c>
      <c r="DL9" s="88" t="s">
        <v>146</v>
      </c>
      <c r="DM9" s="63"/>
      <c r="DN9" s="63"/>
      <c r="DO9" s="95" t="s">
        <v>202</v>
      </c>
      <c r="DP9" s="88" t="s">
        <v>146</v>
      </c>
      <c r="DQ9" s="63"/>
      <c r="DR9" s="63"/>
      <c r="DS9" s="95" t="s">
        <v>202</v>
      </c>
      <c r="DT9" s="88" t="s">
        <v>146</v>
      </c>
      <c r="DU9" s="63"/>
      <c r="DV9" s="63"/>
      <c r="DW9" s="95" t="s">
        <v>202</v>
      </c>
      <c r="DX9" s="88" t="s">
        <v>146</v>
      </c>
      <c r="DY9" s="63"/>
      <c r="DZ9" s="63"/>
      <c r="EA9" s="95" t="s">
        <v>202</v>
      </c>
      <c r="EB9" s="88" t="s">
        <v>146</v>
      </c>
      <c r="EC9" s="63"/>
      <c r="ED9" s="63"/>
      <c r="EE9" s="95" t="s">
        <v>202</v>
      </c>
      <c r="EF9" s="88" t="s">
        <v>146</v>
      </c>
      <c r="EG9" s="63"/>
      <c r="EH9" s="63"/>
      <c r="EI9" s="95" t="s">
        <v>202</v>
      </c>
      <c r="EJ9" s="88" t="s">
        <v>146</v>
      </c>
      <c r="EK9" s="63"/>
      <c r="EL9" s="63"/>
      <c r="EM9" s="95" t="s">
        <v>202</v>
      </c>
      <c r="EN9" s="88" t="s">
        <v>146</v>
      </c>
      <c r="EO9" s="63"/>
      <c r="EP9" s="63"/>
      <c r="EQ9" s="95" t="s">
        <v>202</v>
      </c>
      <c r="ER9" s="88" t="s">
        <v>146</v>
      </c>
      <c r="ES9" s="63"/>
      <c r="ET9" s="63"/>
      <c r="EU9" s="95" t="s">
        <v>202</v>
      </c>
      <c r="EV9" s="88" t="s">
        <v>146</v>
      </c>
      <c r="EW9" s="63"/>
      <c r="EX9" s="63"/>
      <c r="EY9" s="95" t="s">
        <v>202</v>
      </c>
      <c r="EZ9" s="88" t="s">
        <v>146</v>
      </c>
      <c r="FA9" s="63"/>
      <c r="FB9" s="63"/>
      <c r="FC9" s="95" t="s">
        <v>202</v>
      </c>
      <c r="FD9" s="88" t="s">
        <v>146</v>
      </c>
      <c r="FE9" s="63"/>
      <c r="FF9" s="63"/>
      <c r="FG9" s="95" t="s">
        <v>202</v>
      </c>
      <c r="FH9" s="88" t="s">
        <v>146</v>
      </c>
      <c r="FI9" s="63"/>
      <c r="FJ9" s="63"/>
      <c r="FK9" s="95" t="s">
        <v>202</v>
      </c>
      <c r="FL9" s="88" t="s">
        <v>146</v>
      </c>
      <c r="FM9" s="63"/>
      <c r="FN9" s="63"/>
      <c r="FO9" s="95" t="s">
        <v>202</v>
      </c>
      <c r="FP9" s="88" t="s">
        <v>146</v>
      </c>
      <c r="FQ9" s="63"/>
      <c r="FR9" s="63"/>
      <c r="FS9" s="95" t="s">
        <v>202</v>
      </c>
      <c r="FT9" s="88" t="s">
        <v>146</v>
      </c>
      <c r="FU9" s="63"/>
      <c r="FV9" s="63"/>
      <c r="FW9" s="95" t="s">
        <v>202</v>
      </c>
      <c r="FX9" s="88" t="s">
        <v>146</v>
      </c>
      <c r="FY9" s="63"/>
      <c r="FZ9" s="63"/>
      <c r="GA9" s="95" t="s">
        <v>202</v>
      </c>
      <c r="GB9" s="88" t="s">
        <v>146</v>
      </c>
      <c r="GC9" s="63"/>
      <c r="GD9" s="63"/>
      <c r="GE9" s="95" t="s">
        <v>202</v>
      </c>
      <c r="GF9" s="88" t="s">
        <v>146</v>
      </c>
      <c r="GG9" s="63"/>
      <c r="GH9" s="63"/>
      <c r="GI9" s="95" t="s">
        <v>202</v>
      </c>
      <c r="GJ9" s="88" t="s">
        <v>146</v>
      </c>
      <c r="GK9" s="63"/>
      <c r="GL9" s="63"/>
      <c r="GM9" s="95" t="s">
        <v>202</v>
      </c>
      <c r="GN9" s="88" t="s">
        <v>146</v>
      </c>
      <c r="GO9" s="63"/>
      <c r="GP9" s="63"/>
      <c r="GQ9" s="95" t="s">
        <v>202</v>
      </c>
      <c r="GR9" s="88" t="s">
        <v>146</v>
      </c>
      <c r="GS9" s="63"/>
      <c r="GT9" s="63"/>
      <c r="GU9" s="95" t="s">
        <v>202</v>
      </c>
      <c r="GV9" s="88" t="s">
        <v>146</v>
      </c>
      <c r="GW9" s="63"/>
      <c r="GX9" s="63"/>
      <c r="GY9" s="95" t="s">
        <v>202</v>
      </c>
      <c r="GZ9" s="88" t="s">
        <v>146</v>
      </c>
      <c r="HA9" s="63"/>
      <c r="HB9" s="63"/>
      <c r="HC9" s="95" t="s">
        <v>202</v>
      </c>
      <c r="HD9" s="88" t="s">
        <v>146</v>
      </c>
      <c r="HE9" s="63"/>
      <c r="HF9" s="63"/>
      <c r="HG9" s="95" t="s">
        <v>202</v>
      </c>
      <c r="HH9" s="88" t="s">
        <v>146</v>
      </c>
      <c r="HI9" s="63"/>
      <c r="HJ9" s="63"/>
      <c r="HK9" s="95" t="s">
        <v>202</v>
      </c>
      <c r="HL9" s="88" t="s">
        <v>146</v>
      </c>
      <c r="HM9" s="63"/>
      <c r="HN9" s="63"/>
      <c r="HO9" s="95" t="s">
        <v>202</v>
      </c>
      <c r="HP9" s="88" t="s">
        <v>146</v>
      </c>
      <c r="HQ9" s="63"/>
      <c r="HR9" s="63"/>
      <c r="HS9" s="95" t="s">
        <v>202</v>
      </c>
      <c r="HT9" s="88" t="s">
        <v>146</v>
      </c>
      <c r="HU9" s="63"/>
      <c r="HV9" s="63"/>
      <c r="HW9" s="95" t="s">
        <v>202</v>
      </c>
      <c r="HX9" s="88" t="s">
        <v>146</v>
      </c>
      <c r="HY9" s="63"/>
      <c r="HZ9" s="63"/>
      <c r="IA9" s="95" t="s">
        <v>202</v>
      </c>
      <c r="IB9" s="88" t="s">
        <v>146</v>
      </c>
      <c r="IC9" s="63"/>
      <c r="ID9" s="63"/>
      <c r="IE9" s="95" t="s">
        <v>202</v>
      </c>
      <c r="IF9" s="88" t="s">
        <v>146</v>
      </c>
      <c r="IG9" s="63"/>
      <c r="IH9" s="63"/>
      <c r="II9" s="95" t="s">
        <v>202</v>
      </c>
      <c r="IJ9" s="88" t="s">
        <v>146</v>
      </c>
      <c r="IK9" s="63"/>
      <c r="IL9" s="63"/>
      <c r="IM9" s="95" t="s">
        <v>202</v>
      </c>
      <c r="IN9" s="88" t="s">
        <v>146</v>
      </c>
      <c r="IO9" s="63"/>
      <c r="IP9" s="63"/>
      <c r="IQ9" s="95" t="s">
        <v>202</v>
      </c>
      <c r="IR9" s="88" t="s">
        <v>146</v>
      </c>
      <c r="IS9" s="63"/>
      <c r="IT9" s="63"/>
      <c r="IU9" s="95" t="s">
        <v>202</v>
      </c>
      <c r="IV9" s="88" t="s">
        <v>146</v>
      </c>
      <c r="IW9" s="63"/>
      <c r="IX9" s="63"/>
      <c r="IY9" s="95" t="s">
        <v>202</v>
      </c>
      <c r="IZ9" s="88" t="s">
        <v>146</v>
      </c>
      <c r="JA9" s="63"/>
      <c r="JB9" s="63"/>
      <c r="JC9" s="95" t="s">
        <v>202</v>
      </c>
      <c r="JD9" s="88" t="s">
        <v>146</v>
      </c>
      <c r="JE9" s="63"/>
      <c r="JF9" s="63"/>
      <c r="JG9" s="95" t="s">
        <v>202</v>
      </c>
      <c r="JH9" s="88" t="s">
        <v>146</v>
      </c>
      <c r="JI9" s="63"/>
      <c r="JJ9" s="63"/>
      <c r="JK9" s="95" t="s">
        <v>202</v>
      </c>
      <c r="JL9" s="88" t="s">
        <v>146</v>
      </c>
      <c r="JM9" s="63"/>
      <c r="JN9" s="63"/>
      <c r="JO9" s="95" t="s">
        <v>202</v>
      </c>
      <c r="JP9" s="88" t="s">
        <v>146</v>
      </c>
      <c r="JQ9" s="63"/>
      <c r="JR9" s="63"/>
      <c r="JS9" s="95" t="s">
        <v>202</v>
      </c>
      <c r="JT9" s="88" t="s">
        <v>146</v>
      </c>
      <c r="JU9" s="63"/>
      <c r="JV9" s="63"/>
      <c r="JW9" s="95" t="s">
        <v>202</v>
      </c>
      <c r="JX9" s="88" t="s">
        <v>146</v>
      </c>
      <c r="JY9" s="63"/>
      <c r="JZ9" s="63"/>
      <c r="KA9" s="95" t="s">
        <v>202</v>
      </c>
      <c r="KB9" s="88" t="s">
        <v>146</v>
      </c>
      <c r="KC9" s="63"/>
      <c r="KD9" s="63"/>
      <c r="KE9" s="95" t="s">
        <v>202</v>
      </c>
      <c r="KF9" s="88" t="s">
        <v>146</v>
      </c>
      <c r="KG9" s="63"/>
      <c r="KH9" s="63"/>
    </row>
    <row r="10" spans="1:294" outlineLevel="1" x14ac:dyDescent="0.25">
      <c r="A10" s="99" t="s">
        <v>224</v>
      </c>
      <c r="C10" s="100" t="s">
        <v>187</v>
      </c>
      <c r="D10" s="101">
        <f>-'Investimento Inicial'!$B$2</f>
        <v>-70000</v>
      </c>
      <c r="E10" s="63"/>
      <c r="F10" s="63"/>
      <c r="G10" s="100"/>
      <c r="H10" s="101"/>
      <c r="I10" s="63"/>
      <c r="J10" s="63"/>
      <c r="K10" s="100"/>
      <c r="L10" s="101"/>
      <c r="M10" s="63"/>
      <c r="N10" s="63"/>
      <c r="O10" s="100"/>
      <c r="P10" s="101"/>
      <c r="Q10" s="63"/>
      <c r="R10" s="63"/>
      <c r="S10" s="100"/>
      <c r="T10" s="101"/>
      <c r="U10" s="63"/>
      <c r="V10" s="63"/>
      <c r="W10" s="100"/>
      <c r="X10" s="101"/>
      <c r="Y10" s="63"/>
      <c r="Z10" s="63"/>
      <c r="AA10" s="100"/>
      <c r="AB10" s="101"/>
      <c r="AC10" s="63"/>
      <c r="AD10" s="63"/>
      <c r="AE10" s="100"/>
      <c r="AF10" s="101"/>
      <c r="AG10" s="63"/>
      <c r="AH10" s="63"/>
      <c r="AI10" s="100"/>
      <c r="AJ10" s="101"/>
      <c r="AK10" s="63"/>
      <c r="AL10" s="63"/>
      <c r="AM10" s="100"/>
      <c r="AN10" s="101"/>
      <c r="AO10" s="63"/>
      <c r="AP10" s="63"/>
      <c r="AQ10" s="100"/>
      <c r="AR10" s="101"/>
      <c r="AS10" s="63"/>
      <c r="AT10" s="63"/>
      <c r="AU10" s="100"/>
      <c r="AV10" s="101"/>
      <c r="AW10" s="63"/>
      <c r="AX10" s="63"/>
      <c r="AY10" s="100"/>
      <c r="AZ10" s="101"/>
      <c r="BA10" s="63"/>
      <c r="BB10" s="63"/>
      <c r="BC10" s="100"/>
      <c r="BD10" s="101"/>
      <c r="BE10" s="63"/>
      <c r="BF10" s="63"/>
      <c r="BG10" s="100"/>
      <c r="BH10" s="101"/>
      <c r="BI10" s="63"/>
      <c r="BJ10" s="63"/>
      <c r="BK10" s="100"/>
      <c r="BL10" s="101"/>
      <c r="BM10" s="63"/>
      <c r="BN10" s="63"/>
      <c r="BO10" s="100"/>
      <c r="BP10" s="101"/>
      <c r="BQ10" s="63"/>
      <c r="BR10" s="63"/>
      <c r="BS10" s="100"/>
      <c r="BT10" s="101"/>
      <c r="BU10" s="63"/>
      <c r="BV10" s="63"/>
      <c r="BW10" s="100"/>
      <c r="BX10" s="101"/>
      <c r="BY10" s="63"/>
      <c r="BZ10" s="63"/>
      <c r="CA10" s="100"/>
      <c r="CB10" s="101"/>
      <c r="CC10" s="63"/>
      <c r="CD10" s="63"/>
      <c r="CE10" s="100"/>
      <c r="CF10" s="101"/>
      <c r="CG10" s="63"/>
      <c r="CH10" s="63"/>
      <c r="CI10" s="100"/>
      <c r="CJ10" s="101"/>
      <c r="CK10" s="63"/>
      <c r="CL10" s="63"/>
      <c r="CM10" s="100"/>
      <c r="CN10" s="101"/>
      <c r="CO10" s="63"/>
      <c r="CP10" s="63"/>
      <c r="CQ10" s="100"/>
      <c r="CR10" s="101"/>
      <c r="CS10" s="63"/>
      <c r="CT10" s="63"/>
      <c r="CU10" s="100"/>
      <c r="CV10" s="101"/>
      <c r="CW10" s="63"/>
      <c r="CX10" s="63"/>
      <c r="CY10" s="100"/>
      <c r="CZ10" s="101"/>
      <c r="DA10" s="63"/>
      <c r="DB10" s="63"/>
      <c r="DC10" s="100"/>
      <c r="DD10" s="101"/>
      <c r="DE10" s="63"/>
      <c r="DF10" s="63"/>
      <c r="DG10" s="100"/>
      <c r="DH10" s="101"/>
      <c r="DI10" s="63"/>
      <c r="DJ10" s="63"/>
      <c r="DK10" s="100"/>
      <c r="DL10" s="101"/>
      <c r="DM10" s="63"/>
      <c r="DN10" s="63"/>
      <c r="DO10" s="100"/>
      <c r="DP10" s="101"/>
      <c r="DQ10" s="63"/>
      <c r="DR10" s="63"/>
      <c r="DS10" s="100"/>
      <c r="DT10" s="101"/>
      <c r="DU10" s="63"/>
      <c r="DV10" s="63"/>
      <c r="DW10" s="100"/>
      <c r="DX10" s="101"/>
      <c r="DY10" s="63"/>
      <c r="DZ10" s="63"/>
      <c r="EA10" s="100"/>
      <c r="EB10" s="101"/>
      <c r="EC10" s="63"/>
      <c r="ED10" s="63"/>
      <c r="EE10" s="100"/>
      <c r="EF10" s="101"/>
      <c r="EG10" s="63"/>
      <c r="EH10" s="63"/>
      <c r="EI10" s="100"/>
      <c r="EJ10" s="101"/>
      <c r="EK10" s="63"/>
      <c r="EL10" s="63"/>
      <c r="EM10" s="100"/>
      <c r="EN10" s="101"/>
      <c r="EO10" s="63"/>
      <c r="EP10" s="63"/>
      <c r="EQ10" s="100"/>
      <c r="ER10" s="101"/>
      <c r="ES10" s="63"/>
      <c r="ET10" s="63"/>
      <c r="EU10" s="100"/>
      <c r="EV10" s="101"/>
      <c r="EW10" s="63"/>
      <c r="EX10" s="63"/>
      <c r="EY10" s="100"/>
      <c r="EZ10" s="101"/>
      <c r="FA10" s="63"/>
      <c r="FB10" s="63"/>
      <c r="FC10" s="100"/>
      <c r="FD10" s="101"/>
      <c r="FE10" s="63"/>
      <c r="FF10" s="63"/>
      <c r="FG10" s="100"/>
      <c r="FH10" s="101"/>
      <c r="FI10" s="63"/>
      <c r="FJ10" s="63"/>
      <c r="FK10" s="100"/>
      <c r="FL10" s="101"/>
      <c r="FM10" s="63"/>
      <c r="FN10" s="63"/>
      <c r="FO10" s="100"/>
      <c r="FP10" s="101"/>
      <c r="FQ10" s="63"/>
      <c r="FR10" s="63"/>
      <c r="FS10" s="100"/>
      <c r="FT10" s="101"/>
      <c r="FU10" s="63"/>
      <c r="FV10" s="63"/>
      <c r="FW10" s="100"/>
      <c r="FX10" s="101"/>
      <c r="FY10" s="63"/>
      <c r="FZ10" s="63"/>
      <c r="GA10" s="100"/>
      <c r="GB10" s="101"/>
      <c r="GC10" s="63"/>
      <c r="GD10" s="63"/>
      <c r="GE10" s="100"/>
      <c r="GF10" s="101"/>
      <c r="GG10" s="63"/>
      <c r="GH10" s="63"/>
      <c r="GI10" s="100"/>
      <c r="GJ10" s="101"/>
      <c r="GK10" s="63"/>
      <c r="GL10" s="63"/>
      <c r="GM10" s="100"/>
      <c r="GN10" s="101"/>
      <c r="GO10" s="63"/>
      <c r="GP10" s="63"/>
      <c r="GQ10" s="100"/>
      <c r="GR10" s="101"/>
      <c r="GS10" s="63"/>
      <c r="GT10" s="63"/>
      <c r="GU10" s="100"/>
      <c r="GV10" s="101"/>
      <c r="GW10" s="63"/>
      <c r="GX10" s="63"/>
      <c r="GY10" s="100"/>
      <c r="GZ10" s="101"/>
      <c r="HA10" s="63"/>
      <c r="HB10" s="63"/>
      <c r="HC10" s="100"/>
      <c r="HD10" s="101"/>
      <c r="HE10" s="63"/>
      <c r="HF10" s="63"/>
      <c r="HG10" s="100"/>
      <c r="HH10" s="101"/>
      <c r="HI10" s="63"/>
      <c r="HJ10" s="63"/>
      <c r="HK10" s="100"/>
      <c r="HL10" s="101"/>
      <c r="HM10" s="63"/>
      <c r="HN10" s="63"/>
      <c r="HO10" s="100"/>
      <c r="HP10" s="101"/>
      <c r="HQ10" s="63"/>
      <c r="HR10" s="63"/>
      <c r="HS10" s="100"/>
      <c r="HT10" s="101"/>
      <c r="HU10" s="63"/>
      <c r="HV10" s="63"/>
      <c r="HW10" s="100"/>
      <c r="HX10" s="101"/>
      <c r="HY10" s="63"/>
      <c r="HZ10" s="63"/>
      <c r="IA10" s="100"/>
      <c r="IB10" s="101"/>
      <c r="IC10" s="63"/>
      <c r="ID10" s="63"/>
      <c r="IE10" s="100"/>
      <c r="IF10" s="101"/>
      <c r="IG10" s="63"/>
      <c r="IH10" s="63"/>
      <c r="II10" s="100"/>
      <c r="IJ10" s="101"/>
      <c r="IK10" s="63"/>
      <c r="IL10" s="63"/>
      <c r="IM10" s="100"/>
      <c r="IN10" s="101"/>
      <c r="IO10" s="63"/>
      <c r="IP10" s="63"/>
      <c r="IQ10" s="100"/>
      <c r="IR10" s="101"/>
      <c r="IS10" s="63"/>
      <c r="IT10" s="63"/>
      <c r="IU10" s="100"/>
      <c r="IV10" s="101"/>
      <c r="IW10" s="63"/>
      <c r="IX10" s="63"/>
      <c r="IY10" s="100"/>
      <c r="IZ10" s="101"/>
      <c r="JA10" s="63"/>
      <c r="JB10" s="63"/>
      <c r="JC10" s="100"/>
      <c r="JD10" s="101"/>
      <c r="JE10" s="63"/>
      <c r="JF10" s="63"/>
      <c r="JG10" s="100"/>
      <c r="JH10" s="101"/>
      <c r="JI10" s="63"/>
      <c r="JJ10" s="63"/>
      <c r="JK10" s="100"/>
      <c r="JL10" s="101"/>
      <c r="JM10" s="63"/>
      <c r="JN10" s="63"/>
      <c r="JO10" s="100"/>
      <c r="JP10" s="101"/>
      <c r="JQ10" s="63"/>
      <c r="JR10" s="63"/>
      <c r="JS10" s="100"/>
      <c r="JT10" s="101"/>
      <c r="JU10" s="63"/>
      <c r="JV10" s="63"/>
      <c r="JW10" s="100"/>
      <c r="JX10" s="101"/>
      <c r="JY10" s="63"/>
      <c r="JZ10" s="63"/>
      <c r="KA10" s="100"/>
      <c r="KB10" s="101"/>
      <c r="KC10" s="63"/>
      <c r="KD10" s="63"/>
      <c r="KE10" s="100"/>
      <c r="KF10" s="101"/>
      <c r="KG10" s="63"/>
      <c r="KH10" s="63"/>
    </row>
    <row r="11" spans="1:294" outlineLevel="1" x14ac:dyDescent="0.25">
      <c r="A11" s="103" t="s">
        <v>223</v>
      </c>
      <c r="C11" s="100" t="s">
        <v>188</v>
      </c>
      <c r="D11" s="101">
        <f>-'Investimento Inicial'!$B$3</f>
        <v>-500</v>
      </c>
      <c r="E11" s="63"/>
      <c r="F11" s="63"/>
      <c r="G11" s="100"/>
      <c r="H11" s="101"/>
      <c r="I11" s="63"/>
      <c r="J11" s="63"/>
      <c r="K11" s="100"/>
      <c r="L11" s="101"/>
      <c r="M11" s="63"/>
      <c r="N11" s="63"/>
      <c r="O11" s="100"/>
      <c r="P11" s="101"/>
      <c r="Q11" s="63"/>
      <c r="R11" s="63"/>
      <c r="S11" s="100"/>
      <c r="T11" s="101"/>
      <c r="U11" s="63"/>
      <c r="V11" s="63"/>
      <c r="W11" s="100"/>
      <c r="X11" s="101"/>
      <c r="Y11" s="63"/>
      <c r="Z11" s="63"/>
      <c r="AA11" s="100"/>
      <c r="AB11" s="101"/>
      <c r="AC11" s="63"/>
      <c r="AD11" s="63"/>
      <c r="AE11" s="100"/>
      <c r="AF11" s="101"/>
      <c r="AG11" s="63"/>
      <c r="AH11" s="63"/>
      <c r="AI11" s="100"/>
      <c r="AJ11" s="101"/>
      <c r="AK11" s="63"/>
      <c r="AL11" s="63"/>
      <c r="AM11" s="100"/>
      <c r="AN11" s="101"/>
      <c r="AO11" s="63"/>
      <c r="AP11" s="63"/>
      <c r="AQ11" s="100"/>
      <c r="AR11" s="101"/>
      <c r="AS11" s="63"/>
      <c r="AT11" s="63"/>
      <c r="AU11" s="100"/>
      <c r="AV11" s="101"/>
      <c r="AW11" s="63"/>
      <c r="AX11" s="63"/>
      <c r="AY11" s="100"/>
      <c r="AZ11" s="101"/>
      <c r="BA11" s="63"/>
      <c r="BB11" s="63"/>
      <c r="BC11" s="100"/>
      <c r="BD11" s="101"/>
      <c r="BE11" s="63"/>
      <c r="BF11" s="63"/>
      <c r="BG11" s="100"/>
      <c r="BH11" s="101"/>
      <c r="BI11" s="63"/>
      <c r="BJ11" s="63"/>
      <c r="BK11" s="100"/>
      <c r="BL11" s="101"/>
      <c r="BM11" s="63"/>
      <c r="BN11" s="63"/>
      <c r="BO11" s="100"/>
      <c r="BP11" s="101"/>
      <c r="BQ11" s="63"/>
      <c r="BR11" s="63"/>
      <c r="BS11" s="100"/>
      <c r="BT11" s="101"/>
      <c r="BU11" s="63"/>
      <c r="BV11" s="63"/>
      <c r="BW11" s="100"/>
      <c r="BX11" s="101"/>
      <c r="BY11" s="63"/>
      <c r="BZ11" s="63"/>
      <c r="CA11" s="100"/>
      <c r="CB11" s="101"/>
      <c r="CC11" s="63"/>
      <c r="CD11" s="63"/>
      <c r="CE11" s="100"/>
      <c r="CF11" s="101"/>
      <c r="CG11" s="63"/>
      <c r="CH11" s="63"/>
      <c r="CI11" s="100"/>
      <c r="CJ11" s="101"/>
      <c r="CK11" s="63"/>
      <c r="CL11" s="63"/>
      <c r="CM11" s="100"/>
      <c r="CN11" s="101"/>
      <c r="CO11" s="63"/>
      <c r="CP11" s="63"/>
      <c r="CQ11" s="100"/>
      <c r="CR11" s="101"/>
      <c r="CS11" s="63"/>
      <c r="CT11" s="63"/>
      <c r="CU11" s="100"/>
      <c r="CV11" s="101"/>
      <c r="CW11" s="63"/>
      <c r="CX11" s="63"/>
      <c r="CY11" s="100"/>
      <c r="CZ11" s="101"/>
      <c r="DA11" s="63"/>
      <c r="DB11" s="63"/>
      <c r="DC11" s="100"/>
      <c r="DD11" s="101"/>
      <c r="DE11" s="63"/>
      <c r="DF11" s="63"/>
      <c r="DG11" s="100"/>
      <c r="DH11" s="101"/>
      <c r="DI11" s="63"/>
      <c r="DJ11" s="63"/>
      <c r="DK11" s="100"/>
      <c r="DL11" s="101"/>
      <c r="DM11" s="63"/>
      <c r="DN11" s="63"/>
      <c r="DO11" s="100"/>
      <c r="DP11" s="101"/>
      <c r="DQ11" s="63"/>
      <c r="DR11" s="63"/>
      <c r="DS11" s="100"/>
      <c r="DT11" s="101"/>
      <c r="DU11" s="63"/>
      <c r="DV11" s="63"/>
      <c r="DW11" s="100"/>
      <c r="DX11" s="101"/>
      <c r="DY11" s="63"/>
      <c r="DZ11" s="63"/>
      <c r="EA11" s="100"/>
      <c r="EB11" s="101"/>
      <c r="EC11" s="63"/>
      <c r="ED11" s="63"/>
      <c r="EE11" s="100"/>
      <c r="EF11" s="101"/>
      <c r="EG11" s="63"/>
      <c r="EH11" s="63"/>
      <c r="EI11" s="100"/>
      <c r="EJ11" s="101"/>
      <c r="EK11" s="63"/>
      <c r="EL11" s="63"/>
      <c r="EM11" s="100"/>
      <c r="EN11" s="101"/>
      <c r="EO11" s="63"/>
      <c r="EP11" s="63"/>
      <c r="EQ11" s="100"/>
      <c r="ER11" s="101"/>
      <c r="ES11" s="63"/>
      <c r="ET11" s="63"/>
      <c r="EU11" s="100"/>
      <c r="EV11" s="101"/>
      <c r="EW11" s="63"/>
      <c r="EX11" s="63"/>
      <c r="EY11" s="100"/>
      <c r="EZ11" s="101"/>
      <c r="FA11" s="63"/>
      <c r="FB11" s="63"/>
      <c r="FC11" s="100"/>
      <c r="FD11" s="101"/>
      <c r="FE11" s="63"/>
      <c r="FF11" s="63"/>
      <c r="FG11" s="100"/>
      <c r="FH11" s="101"/>
      <c r="FI11" s="63"/>
      <c r="FJ11" s="63"/>
      <c r="FK11" s="100"/>
      <c r="FL11" s="101"/>
      <c r="FM11" s="63"/>
      <c r="FN11" s="63"/>
      <c r="FO11" s="100"/>
      <c r="FP11" s="101"/>
      <c r="FQ11" s="63"/>
      <c r="FR11" s="63"/>
      <c r="FS11" s="100"/>
      <c r="FT11" s="101"/>
      <c r="FU11" s="63"/>
      <c r="FV11" s="63"/>
      <c r="FW11" s="100"/>
      <c r="FX11" s="101"/>
      <c r="FY11" s="63"/>
      <c r="FZ11" s="63"/>
      <c r="GA11" s="100"/>
      <c r="GB11" s="101"/>
      <c r="GC11" s="63"/>
      <c r="GD11" s="63"/>
      <c r="GE11" s="100"/>
      <c r="GF11" s="101"/>
      <c r="GG11" s="63"/>
      <c r="GH11" s="63"/>
      <c r="GI11" s="100"/>
      <c r="GJ11" s="101"/>
      <c r="GK11" s="63"/>
      <c r="GL11" s="63"/>
      <c r="GM11" s="100"/>
      <c r="GN11" s="101"/>
      <c r="GO11" s="63"/>
      <c r="GP11" s="63"/>
      <c r="GQ11" s="100"/>
      <c r="GR11" s="101"/>
      <c r="GS11" s="63"/>
      <c r="GT11" s="63"/>
      <c r="GU11" s="100"/>
      <c r="GV11" s="101"/>
      <c r="GW11" s="63"/>
      <c r="GX11" s="63"/>
      <c r="GY11" s="100"/>
      <c r="GZ11" s="101"/>
      <c r="HA11" s="63"/>
      <c r="HB11" s="63"/>
      <c r="HC11" s="100"/>
      <c r="HD11" s="101"/>
      <c r="HE11" s="63"/>
      <c r="HF11" s="63"/>
      <c r="HG11" s="100"/>
      <c r="HH11" s="101"/>
      <c r="HI11" s="63"/>
      <c r="HJ11" s="63"/>
      <c r="HK11" s="100"/>
      <c r="HL11" s="101"/>
      <c r="HM11" s="63"/>
      <c r="HN11" s="63"/>
      <c r="HO11" s="100"/>
      <c r="HP11" s="101"/>
      <c r="HQ11" s="63"/>
      <c r="HR11" s="63"/>
      <c r="HS11" s="100"/>
      <c r="HT11" s="101"/>
      <c r="HU11" s="63"/>
      <c r="HV11" s="63"/>
      <c r="HW11" s="100"/>
      <c r="HX11" s="101"/>
      <c r="HY11" s="63"/>
      <c r="HZ11" s="63"/>
      <c r="IA11" s="100"/>
      <c r="IB11" s="101"/>
      <c r="IC11" s="63"/>
      <c r="ID11" s="63"/>
      <c r="IE11" s="100"/>
      <c r="IF11" s="101"/>
      <c r="IG11" s="63"/>
      <c r="IH11" s="63"/>
      <c r="II11" s="100"/>
      <c r="IJ11" s="101"/>
      <c r="IK11" s="63"/>
      <c r="IL11" s="63"/>
      <c r="IM11" s="100"/>
      <c r="IN11" s="101"/>
      <c r="IO11" s="63"/>
      <c r="IP11" s="63"/>
      <c r="IQ11" s="100"/>
      <c r="IR11" s="101"/>
      <c r="IS11" s="63"/>
      <c r="IT11" s="63"/>
      <c r="IU11" s="100"/>
      <c r="IV11" s="101"/>
      <c r="IW11" s="63"/>
      <c r="IX11" s="63"/>
      <c r="IY11" s="100"/>
      <c r="IZ11" s="101"/>
      <c r="JA11" s="63"/>
      <c r="JB11" s="63"/>
      <c r="JC11" s="100"/>
      <c r="JD11" s="101"/>
      <c r="JE11" s="63"/>
      <c r="JF11" s="63"/>
      <c r="JG11" s="100"/>
      <c r="JH11" s="101"/>
      <c r="JI11" s="63"/>
      <c r="JJ11" s="63"/>
      <c r="JK11" s="100"/>
      <c r="JL11" s="101"/>
      <c r="JM11" s="63"/>
      <c r="JN11" s="63"/>
      <c r="JO11" s="100"/>
      <c r="JP11" s="101"/>
      <c r="JQ11" s="63"/>
      <c r="JR11" s="63"/>
      <c r="JS11" s="100"/>
      <c r="JT11" s="101"/>
      <c r="JU11" s="63"/>
      <c r="JV11" s="63"/>
      <c r="JW11" s="100"/>
      <c r="JX11" s="101"/>
      <c r="JY11" s="63"/>
      <c r="JZ11" s="63"/>
      <c r="KA11" s="100"/>
      <c r="KB11" s="101"/>
      <c r="KC11" s="63"/>
      <c r="KD11" s="63"/>
      <c r="KE11" s="100"/>
      <c r="KF11" s="101"/>
      <c r="KG11" s="63"/>
      <c r="KH11" s="63"/>
    </row>
    <row r="12" spans="1:294" outlineLevel="1" x14ac:dyDescent="0.25">
      <c r="A12" s="106" t="s">
        <v>222</v>
      </c>
      <c r="C12" s="120" t="str">
        <f ca="1">IF(D12&lt;&gt;"", $A$14&amp;" meses de café", "")</f>
        <v>3 meses de café</v>
      </c>
      <c r="D12" s="108">
        <f ca="1">IF(AND(NOT(ISBLANK(C$1)), MOD(C$1,$A$14)=0), -$A$2*SUM(OFFSET(C4,0,0,1,$A$14*4)), "")</f>
        <v>-27900</v>
      </c>
      <c r="E12" s="120" t="str">
        <f t="shared" ref="E12" ca="1" si="426">IF(F12&lt;&gt;"", $A$14&amp;" meses de café", "")</f>
        <v/>
      </c>
      <c r="F12" s="108" t="str">
        <f t="shared" ref="F12" ca="1" si="427">IF(AND(NOT(ISBLANK(E$1)), MOD(E$1,$A$14)=0), -$A$2*SUM(OFFSET(E4,0,0,1,$A$14*4)), "")</f>
        <v/>
      </c>
      <c r="G12" s="120" t="str">
        <f t="shared" ref="G12" ca="1" si="428">IF(H12&lt;&gt;"", $A$14&amp;" meses de café", "")</f>
        <v/>
      </c>
      <c r="H12" s="108" t="str">
        <f t="shared" ref="H12" ca="1" si="429">IF(AND(NOT(ISBLANK(G$1)), MOD(G$1,$A$14)=0), -$A$2*SUM(OFFSET(G4,0,0,1,$A$14*4)), "")</f>
        <v/>
      </c>
      <c r="I12" s="120" t="str">
        <f t="shared" ref="I12" ca="1" si="430">IF(J12&lt;&gt;"", $A$14&amp;" meses de café", "")</f>
        <v/>
      </c>
      <c r="J12" s="108" t="str">
        <f t="shared" ref="J12" ca="1" si="431">IF(AND(NOT(ISBLANK(I$1)), MOD(I$1,$A$14)=0), -$A$2*SUM(OFFSET(I4,0,0,1,$A$14*4)), "")</f>
        <v/>
      </c>
      <c r="K12" s="120" t="str">
        <f t="shared" ref="K12" ca="1" si="432">IF(L12&lt;&gt;"", $A$14&amp;" meses de café", "")</f>
        <v/>
      </c>
      <c r="L12" s="108" t="str">
        <f t="shared" ref="L12" ca="1" si="433">IF(AND(NOT(ISBLANK(K$1)), MOD(K$1,$A$14)=0), -$A$2*SUM(OFFSET(K4,0,0,1,$A$14*4)), "")</f>
        <v/>
      </c>
      <c r="M12" s="120" t="str">
        <f t="shared" ref="M12" ca="1" si="434">IF(N12&lt;&gt;"", $A$14&amp;" meses de café", "")</f>
        <v/>
      </c>
      <c r="N12" s="108" t="str">
        <f t="shared" ref="N12" ca="1" si="435">IF(AND(NOT(ISBLANK(M$1)), MOD(M$1,$A$14)=0), -$A$2*SUM(OFFSET(M4,0,0,1,$A$14*4)), "")</f>
        <v/>
      </c>
      <c r="O12" s="120" t="str">
        <f t="shared" ref="O12" ca="1" si="436">IF(P12&lt;&gt;"", $A$14&amp;" meses de café", "")</f>
        <v>3 meses de café</v>
      </c>
      <c r="P12" s="108">
        <f t="shared" ref="P12" ca="1" si="437">IF(AND(NOT(ISBLANK(O$1)), MOD(O$1,$A$14)=0), -$A$2*SUM(OFFSET(O4,0,0,1,$A$14*4)), "")</f>
        <v>-27900</v>
      </c>
      <c r="Q12" s="120" t="str">
        <f t="shared" ref="Q12" ca="1" si="438">IF(R12&lt;&gt;"", $A$14&amp;" meses de café", "")</f>
        <v/>
      </c>
      <c r="R12" s="108" t="str">
        <f t="shared" ref="R12" ca="1" si="439">IF(AND(NOT(ISBLANK(Q$1)), MOD(Q$1,$A$14)=0), -$A$2*SUM(OFFSET(Q4,0,0,1,$A$14*4)), "")</f>
        <v/>
      </c>
      <c r="S12" s="120" t="str">
        <f t="shared" ref="S12" ca="1" si="440">IF(T12&lt;&gt;"", $A$14&amp;" meses de café", "")</f>
        <v/>
      </c>
      <c r="T12" s="108" t="str">
        <f t="shared" ref="T12" ca="1" si="441">IF(AND(NOT(ISBLANK(S$1)), MOD(S$1,$A$14)=0), -$A$2*SUM(OFFSET(S4,0,0,1,$A$14*4)), "")</f>
        <v/>
      </c>
      <c r="U12" s="120" t="str">
        <f t="shared" ref="U12" ca="1" si="442">IF(V12&lt;&gt;"", $A$14&amp;" meses de café", "")</f>
        <v/>
      </c>
      <c r="V12" s="108" t="str">
        <f t="shared" ref="V12" ca="1" si="443">IF(AND(NOT(ISBLANK(U$1)), MOD(U$1,$A$14)=0), -$A$2*SUM(OFFSET(U4,0,0,1,$A$14*4)), "")</f>
        <v/>
      </c>
      <c r="W12" s="120" t="str">
        <f t="shared" ref="W12" ca="1" si="444">IF(X12&lt;&gt;"", $A$14&amp;" meses de café", "")</f>
        <v/>
      </c>
      <c r="X12" s="108" t="str">
        <f t="shared" ref="X12" ca="1" si="445">IF(AND(NOT(ISBLANK(W$1)), MOD(W$1,$A$14)=0), -$A$2*SUM(OFFSET(W4,0,0,1,$A$14*4)), "")</f>
        <v/>
      </c>
      <c r="Y12" s="120" t="str">
        <f t="shared" ref="Y12" ca="1" si="446">IF(Z12&lt;&gt;"", $A$14&amp;" meses de café", "")</f>
        <v/>
      </c>
      <c r="Z12" s="108" t="str">
        <f t="shared" ref="Z12" ca="1" si="447">IF(AND(NOT(ISBLANK(Y$1)), MOD(Y$1,$A$14)=0), -$A$2*SUM(OFFSET(Y4,0,0,1,$A$14*4)), "")</f>
        <v/>
      </c>
      <c r="AA12" s="120" t="str">
        <f t="shared" ref="AA12" ca="1" si="448">IF(AB12&lt;&gt;"", $A$14&amp;" meses de café", "")</f>
        <v>3 meses de café</v>
      </c>
      <c r="AB12" s="108">
        <f t="shared" ref="AB12" ca="1" si="449">IF(AND(NOT(ISBLANK(AA$1)), MOD(AA$1,$A$14)=0), -$A$2*SUM(OFFSET(AA4,0,0,1,$A$14*4)), "")</f>
        <v>-34100</v>
      </c>
      <c r="AC12" s="120" t="str">
        <f t="shared" ref="AC12" ca="1" si="450">IF(AD12&lt;&gt;"", $A$14&amp;" meses de café", "")</f>
        <v/>
      </c>
      <c r="AD12" s="108" t="str">
        <f t="shared" ref="AD12" ca="1" si="451">IF(AND(NOT(ISBLANK(AC$1)), MOD(AC$1,$A$14)=0), -$A$2*SUM(OFFSET(AC4,0,0,1,$A$14*4)), "")</f>
        <v/>
      </c>
      <c r="AE12" s="120" t="str">
        <f t="shared" ref="AE12" ca="1" si="452">IF(AF12&lt;&gt;"", $A$14&amp;" meses de café", "")</f>
        <v/>
      </c>
      <c r="AF12" s="108" t="str">
        <f t="shared" ref="AF12" ca="1" si="453">IF(AND(NOT(ISBLANK(AE$1)), MOD(AE$1,$A$14)=0), -$A$2*SUM(OFFSET(AE4,0,0,1,$A$14*4)), "")</f>
        <v/>
      </c>
      <c r="AG12" s="120" t="str">
        <f t="shared" ref="AG12" ca="1" si="454">IF(AH12&lt;&gt;"", $A$14&amp;" meses de café", "")</f>
        <v/>
      </c>
      <c r="AH12" s="108" t="str">
        <f t="shared" ref="AH12" ca="1" si="455">IF(AND(NOT(ISBLANK(AG$1)), MOD(AG$1,$A$14)=0), -$A$2*SUM(OFFSET(AG4,0,0,1,$A$14*4)), "")</f>
        <v/>
      </c>
      <c r="AI12" s="120" t="str">
        <f t="shared" ref="AI12" ca="1" si="456">IF(AJ12&lt;&gt;"", $A$14&amp;" meses de café", "")</f>
        <v/>
      </c>
      <c r="AJ12" s="108" t="str">
        <f t="shared" ref="AJ12" ca="1" si="457">IF(AND(NOT(ISBLANK(AI$1)), MOD(AI$1,$A$14)=0), -$A$2*SUM(OFFSET(AI4,0,0,1,$A$14*4)), "")</f>
        <v/>
      </c>
      <c r="AK12" s="120" t="str">
        <f t="shared" ref="AK12" ca="1" si="458">IF(AL12&lt;&gt;"", $A$14&amp;" meses de café", "")</f>
        <v/>
      </c>
      <c r="AL12" s="108" t="str">
        <f t="shared" ref="AL12" ca="1" si="459">IF(AND(NOT(ISBLANK(AK$1)), MOD(AK$1,$A$14)=0), -$A$2*SUM(OFFSET(AK4,0,0,1,$A$14*4)), "")</f>
        <v/>
      </c>
      <c r="AM12" s="120" t="str">
        <f t="shared" ref="AM12" ca="1" si="460">IF(AN12&lt;&gt;"", $A$14&amp;" meses de café", "")</f>
        <v>3 meses de café</v>
      </c>
      <c r="AN12" s="108">
        <f t="shared" ref="AN12" ca="1" si="461">IF(AND(NOT(ISBLANK(AM$1)), MOD(AM$1,$A$14)=0), -$A$2*SUM(OFFSET(AM4,0,0,1,$A$14*4)), "")</f>
        <v>-37200</v>
      </c>
      <c r="AO12" s="120" t="str">
        <f t="shared" ref="AO12" ca="1" si="462">IF(AP12&lt;&gt;"", $A$14&amp;" meses de café", "")</f>
        <v/>
      </c>
      <c r="AP12" s="108" t="str">
        <f t="shared" ref="AP12" ca="1" si="463">IF(AND(NOT(ISBLANK(AO$1)), MOD(AO$1,$A$14)=0), -$A$2*SUM(OFFSET(AO4,0,0,1,$A$14*4)), "")</f>
        <v/>
      </c>
      <c r="AQ12" s="120" t="str">
        <f t="shared" ref="AQ12" ca="1" si="464">IF(AR12&lt;&gt;"", $A$14&amp;" meses de café", "")</f>
        <v/>
      </c>
      <c r="AR12" s="108" t="str">
        <f t="shared" ref="AR12" ca="1" si="465">IF(AND(NOT(ISBLANK(AQ$1)), MOD(AQ$1,$A$14)=0), -$A$2*SUM(OFFSET(AQ4,0,0,1,$A$14*4)), "")</f>
        <v/>
      </c>
      <c r="AS12" s="120" t="str">
        <f t="shared" ref="AS12" ca="1" si="466">IF(AT12&lt;&gt;"", $A$14&amp;" meses de café", "")</f>
        <v/>
      </c>
      <c r="AT12" s="108" t="str">
        <f t="shared" ref="AT12" ca="1" si="467">IF(AND(NOT(ISBLANK(AS$1)), MOD(AS$1,$A$14)=0), -$A$2*SUM(OFFSET(AS4,0,0,1,$A$14*4)), "")</f>
        <v/>
      </c>
      <c r="AU12" s="120" t="str">
        <f t="shared" ref="AU12" ca="1" si="468">IF(AV12&lt;&gt;"", $A$14&amp;" meses de café", "")</f>
        <v/>
      </c>
      <c r="AV12" s="108" t="str">
        <f t="shared" ref="AV12" ca="1" si="469">IF(AND(NOT(ISBLANK(AU$1)), MOD(AU$1,$A$14)=0), -$A$2*SUM(OFFSET(AU4,0,0,1,$A$14*4)), "")</f>
        <v/>
      </c>
      <c r="AW12" s="120" t="str">
        <f t="shared" ref="AW12" ca="1" si="470">IF(AX12&lt;&gt;"", $A$14&amp;" meses de café", "")</f>
        <v/>
      </c>
      <c r="AX12" s="108" t="str">
        <f t="shared" ref="AX12" ca="1" si="471">IF(AND(NOT(ISBLANK(AW$1)), MOD(AW$1,$A$14)=0), -$A$2*SUM(OFFSET(AW4,0,0,1,$A$14*4)), "")</f>
        <v/>
      </c>
      <c r="AY12" s="120" t="str">
        <f t="shared" ref="AY12" ca="1" si="472">IF(AZ12&lt;&gt;"", $A$14&amp;" meses de café", "")</f>
        <v>3 meses de café</v>
      </c>
      <c r="AZ12" s="108">
        <f t="shared" ref="AZ12" ca="1" si="473">IF(AND(NOT(ISBLANK(AY$1)), MOD(AY$1,$A$14)=0), -$A$2*SUM(OFFSET(AY4,0,0,1,$A$14*4)), "")</f>
        <v>-40300</v>
      </c>
      <c r="BA12" s="120" t="str">
        <f t="shared" ref="BA12" ca="1" si="474">IF(BB12&lt;&gt;"", $A$14&amp;" meses de café", "")</f>
        <v/>
      </c>
      <c r="BB12" s="108" t="str">
        <f t="shared" ref="BB12" ca="1" si="475">IF(AND(NOT(ISBLANK(BA$1)), MOD(BA$1,$A$14)=0), -$A$2*SUM(OFFSET(BA4,0,0,1,$A$14*4)), "")</f>
        <v/>
      </c>
      <c r="BC12" s="120" t="str">
        <f t="shared" ref="BC12" ca="1" si="476">IF(BD12&lt;&gt;"", $A$14&amp;" meses de café", "")</f>
        <v/>
      </c>
      <c r="BD12" s="108" t="str">
        <f t="shared" ref="BD12" ca="1" si="477">IF(AND(NOT(ISBLANK(BC$1)), MOD(BC$1,$A$14)=0), -$A$2*SUM(OFFSET(BC4,0,0,1,$A$14*4)), "")</f>
        <v/>
      </c>
      <c r="BE12" s="120" t="str">
        <f t="shared" ref="BE12" ca="1" si="478">IF(BF12&lt;&gt;"", $A$14&amp;" meses de café", "")</f>
        <v/>
      </c>
      <c r="BF12" s="108" t="str">
        <f t="shared" ref="BF12" ca="1" si="479">IF(AND(NOT(ISBLANK(BE$1)), MOD(BE$1,$A$14)=0), -$A$2*SUM(OFFSET(BE4,0,0,1,$A$14*4)), "")</f>
        <v/>
      </c>
      <c r="BG12" s="120" t="str">
        <f t="shared" ref="BG12" ca="1" si="480">IF(BH12&lt;&gt;"", $A$14&amp;" meses de café", "")</f>
        <v/>
      </c>
      <c r="BH12" s="108" t="str">
        <f t="shared" ref="BH12" ca="1" si="481">IF(AND(NOT(ISBLANK(BG$1)), MOD(BG$1,$A$14)=0), -$A$2*SUM(OFFSET(BG4,0,0,1,$A$14*4)), "")</f>
        <v/>
      </c>
      <c r="BI12" s="120" t="str">
        <f t="shared" ref="BI12" ca="1" si="482">IF(BJ12&lt;&gt;"", $A$14&amp;" meses de café", "")</f>
        <v/>
      </c>
      <c r="BJ12" s="108" t="str">
        <f t="shared" ref="BJ12" ca="1" si="483">IF(AND(NOT(ISBLANK(BI$1)), MOD(BI$1,$A$14)=0), -$A$2*SUM(OFFSET(BI4,0,0,1,$A$14*4)), "")</f>
        <v/>
      </c>
      <c r="BK12" s="120" t="str">
        <f t="shared" ref="BK12" ca="1" si="484">IF(BL12&lt;&gt;"", $A$14&amp;" meses de café", "")</f>
        <v>3 meses de café</v>
      </c>
      <c r="BL12" s="108">
        <f t="shared" ref="BL12" ca="1" si="485">IF(AND(NOT(ISBLANK(BK$1)), MOD(BK$1,$A$14)=0), -$A$2*SUM(OFFSET(BK4,0,0,1,$A$14*4)), "")</f>
        <v>-46500</v>
      </c>
      <c r="BM12" s="120" t="str">
        <f t="shared" ref="BM12" ca="1" si="486">IF(BN12&lt;&gt;"", $A$14&amp;" meses de café", "")</f>
        <v/>
      </c>
      <c r="BN12" s="108" t="str">
        <f t="shared" ref="BN12" ca="1" si="487">IF(AND(NOT(ISBLANK(BM$1)), MOD(BM$1,$A$14)=0), -$A$2*SUM(OFFSET(BM4,0,0,1,$A$14*4)), "")</f>
        <v/>
      </c>
      <c r="BO12" s="120" t="str">
        <f t="shared" ref="BO12" ca="1" si="488">IF(BP12&lt;&gt;"", $A$14&amp;" meses de café", "")</f>
        <v/>
      </c>
      <c r="BP12" s="108" t="str">
        <f t="shared" ref="BP12" ca="1" si="489">IF(AND(NOT(ISBLANK(BO$1)), MOD(BO$1,$A$14)=0), -$A$2*SUM(OFFSET(BO4,0,0,1,$A$14*4)), "")</f>
        <v/>
      </c>
      <c r="BQ12" s="120" t="str">
        <f t="shared" ref="BQ12" ca="1" si="490">IF(BR12&lt;&gt;"", $A$14&amp;" meses de café", "")</f>
        <v/>
      </c>
      <c r="BR12" s="108" t="str">
        <f t="shared" ref="BR12" ca="1" si="491">IF(AND(NOT(ISBLANK(BQ$1)), MOD(BQ$1,$A$14)=0), -$A$2*SUM(OFFSET(BQ4,0,0,1,$A$14*4)), "")</f>
        <v/>
      </c>
      <c r="BS12" s="120" t="str">
        <f t="shared" ref="BS12" ca="1" si="492">IF(BT12&lt;&gt;"", $A$14&amp;" meses de café", "")</f>
        <v/>
      </c>
      <c r="BT12" s="108" t="str">
        <f t="shared" ref="BT12" ca="1" si="493">IF(AND(NOT(ISBLANK(BS$1)), MOD(BS$1,$A$14)=0), -$A$2*SUM(OFFSET(BS4,0,0,1,$A$14*4)), "")</f>
        <v/>
      </c>
      <c r="BU12" s="120" t="str">
        <f t="shared" ref="BU12" ca="1" si="494">IF(BV12&lt;&gt;"", $A$14&amp;" meses de café", "")</f>
        <v/>
      </c>
      <c r="BV12" s="108" t="str">
        <f t="shared" ref="BV12" ca="1" si="495">IF(AND(NOT(ISBLANK(BU$1)), MOD(BU$1,$A$14)=0), -$A$2*SUM(OFFSET(BU4,0,0,1,$A$14*4)), "")</f>
        <v/>
      </c>
      <c r="BW12" s="120" t="str">
        <f t="shared" ref="BW12" ca="1" si="496">IF(BX12&lt;&gt;"", $A$14&amp;" meses de café", "")</f>
        <v>3 meses de café</v>
      </c>
      <c r="BX12" s="108">
        <f t="shared" ref="BX12" ca="1" si="497">IF(AND(NOT(ISBLANK(BW$1)), MOD(BW$1,$A$14)=0), -$A$2*SUM(OFFSET(BW4,0,0,1,$A$14*4)), "")</f>
        <v>-49600</v>
      </c>
      <c r="BY12" s="120" t="str">
        <f t="shared" ref="BY12" ca="1" si="498">IF(BZ12&lt;&gt;"", $A$14&amp;" meses de café", "")</f>
        <v/>
      </c>
      <c r="BZ12" s="108" t="str">
        <f t="shared" ref="BZ12" ca="1" si="499">IF(AND(NOT(ISBLANK(BY$1)), MOD(BY$1,$A$14)=0), -$A$2*SUM(OFFSET(BY4,0,0,1,$A$14*4)), "")</f>
        <v/>
      </c>
      <c r="CA12" s="120" t="str">
        <f t="shared" ref="CA12" ca="1" si="500">IF(CB12&lt;&gt;"", $A$14&amp;" meses de café", "")</f>
        <v/>
      </c>
      <c r="CB12" s="108" t="str">
        <f t="shared" ref="CB12" ca="1" si="501">IF(AND(NOT(ISBLANK(CA$1)), MOD(CA$1,$A$14)=0), -$A$2*SUM(OFFSET(CA4,0,0,1,$A$14*4)), "")</f>
        <v/>
      </c>
      <c r="CC12" s="120" t="str">
        <f t="shared" ref="CC12" ca="1" si="502">IF(CD12&lt;&gt;"", $A$14&amp;" meses de café", "")</f>
        <v/>
      </c>
      <c r="CD12" s="108" t="str">
        <f t="shared" ref="CD12" ca="1" si="503">IF(AND(NOT(ISBLANK(CC$1)), MOD(CC$1,$A$14)=0), -$A$2*SUM(OFFSET(CC4,0,0,1,$A$14*4)), "")</f>
        <v/>
      </c>
      <c r="CE12" s="120" t="str">
        <f t="shared" ref="CE12" ca="1" si="504">IF(CF12&lt;&gt;"", $A$14&amp;" meses de café", "")</f>
        <v/>
      </c>
      <c r="CF12" s="108" t="str">
        <f t="shared" ref="CF12" ca="1" si="505">IF(AND(NOT(ISBLANK(CE$1)), MOD(CE$1,$A$14)=0), -$A$2*SUM(OFFSET(CE4,0,0,1,$A$14*4)), "")</f>
        <v/>
      </c>
      <c r="CG12" s="120" t="str">
        <f t="shared" ref="CG12" ca="1" si="506">IF(CH12&lt;&gt;"", $A$14&amp;" meses de café", "")</f>
        <v/>
      </c>
      <c r="CH12" s="108" t="str">
        <f t="shared" ref="CH12" ca="1" si="507">IF(AND(NOT(ISBLANK(CG$1)), MOD(CG$1,$A$14)=0), -$A$2*SUM(OFFSET(CG4,0,0,1,$A$14*4)), "")</f>
        <v/>
      </c>
      <c r="CI12" s="120" t="str">
        <f t="shared" ref="CI12" ca="1" si="508">IF(CJ12&lt;&gt;"", $A$14&amp;" meses de café", "")</f>
        <v>3 meses de café</v>
      </c>
      <c r="CJ12" s="108">
        <f t="shared" ref="CJ12" ca="1" si="509">IF(AND(NOT(ISBLANK(CI$1)), MOD(CI$1,$A$14)=0), -$A$2*SUM(OFFSET(CI4,0,0,1,$A$14*4)), "")</f>
        <v>-55800</v>
      </c>
      <c r="CK12" s="120" t="str">
        <f t="shared" ref="CK12" ca="1" si="510">IF(CL12&lt;&gt;"", $A$14&amp;" meses de café", "")</f>
        <v/>
      </c>
      <c r="CL12" s="108" t="str">
        <f t="shared" ref="CL12" ca="1" si="511">IF(AND(NOT(ISBLANK(CK$1)), MOD(CK$1,$A$14)=0), -$A$2*SUM(OFFSET(CK4,0,0,1,$A$14*4)), "")</f>
        <v/>
      </c>
      <c r="CM12" s="120" t="str">
        <f t="shared" ref="CM12" ca="1" si="512">IF(CN12&lt;&gt;"", $A$14&amp;" meses de café", "")</f>
        <v/>
      </c>
      <c r="CN12" s="108" t="str">
        <f t="shared" ref="CN12" ca="1" si="513">IF(AND(NOT(ISBLANK(CM$1)), MOD(CM$1,$A$14)=0), -$A$2*SUM(OFFSET(CM4,0,0,1,$A$14*4)), "")</f>
        <v/>
      </c>
      <c r="CO12" s="120" t="str">
        <f t="shared" ref="CO12" ca="1" si="514">IF(CP12&lt;&gt;"", $A$14&amp;" meses de café", "")</f>
        <v/>
      </c>
      <c r="CP12" s="108" t="str">
        <f t="shared" ref="CP12" ca="1" si="515">IF(AND(NOT(ISBLANK(CO$1)), MOD(CO$1,$A$14)=0), -$A$2*SUM(OFFSET(CO4,0,0,1,$A$14*4)), "")</f>
        <v/>
      </c>
      <c r="CQ12" s="120" t="str">
        <f t="shared" ref="CQ12" ca="1" si="516">IF(CR12&lt;&gt;"", $A$14&amp;" meses de café", "")</f>
        <v/>
      </c>
      <c r="CR12" s="108" t="str">
        <f t="shared" ref="CR12" ca="1" si="517">IF(AND(NOT(ISBLANK(CQ$1)), MOD(CQ$1,$A$14)=0), -$A$2*SUM(OFFSET(CQ4,0,0,1,$A$14*4)), "")</f>
        <v/>
      </c>
      <c r="CS12" s="120" t="str">
        <f t="shared" ref="CS12" ca="1" si="518">IF(CT12&lt;&gt;"", $A$14&amp;" meses de café", "")</f>
        <v/>
      </c>
      <c r="CT12" s="108" t="str">
        <f t="shared" ref="CT12" ca="1" si="519">IF(AND(NOT(ISBLANK(CS$1)), MOD(CS$1,$A$14)=0), -$A$2*SUM(OFFSET(CS4,0,0,1,$A$14*4)), "")</f>
        <v/>
      </c>
      <c r="CU12" s="120" t="str">
        <f t="shared" ref="CU12" ca="1" si="520">IF(CV12&lt;&gt;"", $A$14&amp;" meses de café", "")</f>
        <v>3 meses de café</v>
      </c>
      <c r="CV12" s="108">
        <f t="shared" ref="CV12" ca="1" si="521">IF(AND(NOT(ISBLANK(CU$1)), MOD(CU$1,$A$14)=0), -$A$2*SUM(OFFSET(CU4,0,0,1,$A$14*4)), "")</f>
        <v>-55800</v>
      </c>
      <c r="CW12" s="120" t="str">
        <f t="shared" ref="CW12" ca="1" si="522">IF(CX12&lt;&gt;"", $A$14&amp;" meses de café", "")</f>
        <v/>
      </c>
      <c r="CX12" s="108" t="str">
        <f t="shared" ref="CX12" ca="1" si="523">IF(AND(NOT(ISBLANK(CW$1)), MOD(CW$1,$A$14)=0), -$A$2*SUM(OFFSET(CW4,0,0,1,$A$14*4)), "")</f>
        <v/>
      </c>
      <c r="CY12" s="120" t="str">
        <f t="shared" ref="CY12" ca="1" si="524">IF(CZ12&lt;&gt;"", $A$14&amp;" meses de café", "")</f>
        <v/>
      </c>
      <c r="CZ12" s="108" t="str">
        <f t="shared" ref="CZ12" ca="1" si="525">IF(AND(NOT(ISBLANK(CY$1)), MOD(CY$1,$A$14)=0), -$A$2*SUM(OFFSET(CY4,0,0,1,$A$14*4)), "")</f>
        <v/>
      </c>
      <c r="DA12" s="120" t="str">
        <f t="shared" ref="DA12" ca="1" si="526">IF(DB12&lt;&gt;"", $A$14&amp;" meses de café", "")</f>
        <v/>
      </c>
      <c r="DB12" s="108" t="str">
        <f t="shared" ref="DB12" ca="1" si="527">IF(AND(NOT(ISBLANK(DA$1)), MOD(DA$1,$A$14)=0), -$A$2*SUM(OFFSET(DA4,0,0,1,$A$14*4)), "")</f>
        <v/>
      </c>
      <c r="DC12" s="120" t="str">
        <f t="shared" ref="DC12" ca="1" si="528">IF(DD12&lt;&gt;"", $A$14&amp;" meses de café", "")</f>
        <v/>
      </c>
      <c r="DD12" s="108" t="str">
        <f t="shared" ref="DD12" ca="1" si="529">IF(AND(NOT(ISBLANK(DC$1)), MOD(DC$1,$A$14)=0), -$A$2*SUM(OFFSET(DC4,0,0,1,$A$14*4)), "")</f>
        <v/>
      </c>
      <c r="DE12" s="120" t="str">
        <f t="shared" ref="DE12" ca="1" si="530">IF(DF12&lt;&gt;"", $A$14&amp;" meses de café", "")</f>
        <v/>
      </c>
      <c r="DF12" s="108" t="str">
        <f t="shared" ref="DF12" ca="1" si="531">IF(AND(NOT(ISBLANK(DE$1)), MOD(DE$1,$A$14)=0), -$A$2*SUM(OFFSET(DE4,0,0,1,$A$14*4)), "")</f>
        <v/>
      </c>
      <c r="DG12" s="120" t="str">
        <f t="shared" ref="DG12" ca="1" si="532">IF(DH12&lt;&gt;"", $A$14&amp;" meses de café", "")</f>
        <v>3 meses de café</v>
      </c>
      <c r="DH12" s="108">
        <f t="shared" ref="DH12" ca="1" si="533">IF(AND(NOT(ISBLANK(DG$1)), MOD(DG$1,$A$14)=0), -$A$2*SUM(OFFSET(DG4,0,0,1,$A$14*4)), "")</f>
        <v>-65100</v>
      </c>
      <c r="DI12" s="120" t="str">
        <f t="shared" ref="DI12" ca="1" si="534">IF(DJ12&lt;&gt;"", $A$14&amp;" meses de café", "")</f>
        <v/>
      </c>
      <c r="DJ12" s="108" t="str">
        <f t="shared" ref="DJ12" ca="1" si="535">IF(AND(NOT(ISBLANK(DI$1)), MOD(DI$1,$A$14)=0), -$A$2*SUM(OFFSET(DI4,0,0,1,$A$14*4)), "")</f>
        <v/>
      </c>
      <c r="DK12" s="120" t="str">
        <f t="shared" ref="DK12" ca="1" si="536">IF(DL12&lt;&gt;"", $A$14&amp;" meses de café", "")</f>
        <v/>
      </c>
      <c r="DL12" s="108" t="str">
        <f t="shared" ref="DL12" ca="1" si="537">IF(AND(NOT(ISBLANK(DK$1)), MOD(DK$1,$A$14)=0), -$A$2*SUM(OFFSET(DK4,0,0,1,$A$14*4)), "")</f>
        <v/>
      </c>
      <c r="DM12" s="120" t="str">
        <f t="shared" ref="DM12" ca="1" si="538">IF(DN12&lt;&gt;"", $A$14&amp;" meses de café", "")</f>
        <v/>
      </c>
      <c r="DN12" s="108" t="str">
        <f t="shared" ref="DN12" ca="1" si="539">IF(AND(NOT(ISBLANK(DM$1)), MOD(DM$1,$A$14)=0), -$A$2*SUM(OFFSET(DM4,0,0,1,$A$14*4)), "")</f>
        <v/>
      </c>
      <c r="DO12" s="120" t="str">
        <f t="shared" ref="DO12" ca="1" si="540">IF(DP12&lt;&gt;"", $A$14&amp;" meses de café", "")</f>
        <v/>
      </c>
      <c r="DP12" s="108" t="str">
        <f t="shared" ref="DP12" ca="1" si="541">IF(AND(NOT(ISBLANK(DO$1)), MOD(DO$1,$A$14)=0), -$A$2*SUM(OFFSET(DO4,0,0,1,$A$14*4)), "")</f>
        <v/>
      </c>
      <c r="DQ12" s="120" t="str">
        <f t="shared" ref="DQ12" ca="1" si="542">IF(DR12&lt;&gt;"", $A$14&amp;" meses de café", "")</f>
        <v/>
      </c>
      <c r="DR12" s="108" t="str">
        <f t="shared" ref="DR12" ca="1" si="543">IF(AND(NOT(ISBLANK(DQ$1)), MOD(DQ$1,$A$14)=0), -$A$2*SUM(OFFSET(DQ4,0,0,1,$A$14*4)), "")</f>
        <v/>
      </c>
      <c r="DS12" s="120" t="str">
        <f t="shared" ref="DS12" ca="1" si="544">IF(DT12&lt;&gt;"", $A$14&amp;" meses de café", "")</f>
        <v>3 meses de café</v>
      </c>
      <c r="DT12" s="108">
        <f t="shared" ref="DT12" ca="1" si="545">IF(AND(NOT(ISBLANK(DS$1)), MOD(DS$1,$A$14)=0), -$A$2*SUM(OFFSET(DS4,0,0,1,$A$14*4)), "")</f>
        <v>-65100</v>
      </c>
      <c r="DU12" s="120" t="str">
        <f t="shared" ref="DU12" ca="1" si="546">IF(DV12&lt;&gt;"", $A$14&amp;" meses de café", "")</f>
        <v/>
      </c>
      <c r="DV12" s="108" t="str">
        <f t="shared" ref="DV12" ca="1" si="547">IF(AND(NOT(ISBLANK(DU$1)), MOD(DU$1,$A$14)=0), -$A$2*SUM(OFFSET(DU4,0,0,1,$A$14*4)), "")</f>
        <v/>
      </c>
      <c r="DW12" s="120" t="str">
        <f t="shared" ref="DW12" ca="1" si="548">IF(DX12&lt;&gt;"", $A$14&amp;" meses de café", "")</f>
        <v/>
      </c>
      <c r="DX12" s="108" t="str">
        <f t="shared" ref="DX12" ca="1" si="549">IF(AND(NOT(ISBLANK(DW$1)), MOD(DW$1,$A$14)=0), -$A$2*SUM(OFFSET(DW4,0,0,1,$A$14*4)), "")</f>
        <v/>
      </c>
      <c r="DY12" s="120" t="str">
        <f t="shared" ref="DY12" ca="1" si="550">IF(DZ12&lt;&gt;"", $A$14&amp;" meses de café", "")</f>
        <v/>
      </c>
      <c r="DZ12" s="108" t="str">
        <f t="shared" ref="DZ12" ca="1" si="551">IF(AND(NOT(ISBLANK(DY$1)), MOD(DY$1,$A$14)=0), -$A$2*SUM(OFFSET(DY4,0,0,1,$A$14*4)), "")</f>
        <v/>
      </c>
      <c r="EA12" s="120" t="str">
        <f t="shared" ref="EA12" ca="1" si="552">IF(EB12&lt;&gt;"", $A$14&amp;" meses de café", "")</f>
        <v/>
      </c>
      <c r="EB12" s="108" t="str">
        <f t="shared" ref="EB12" ca="1" si="553">IF(AND(NOT(ISBLANK(EA$1)), MOD(EA$1,$A$14)=0), -$A$2*SUM(OFFSET(EA4,0,0,1,$A$14*4)), "")</f>
        <v/>
      </c>
      <c r="EC12" s="120" t="str">
        <f t="shared" ref="EC12" ca="1" si="554">IF(ED12&lt;&gt;"", $A$14&amp;" meses de café", "")</f>
        <v/>
      </c>
      <c r="ED12" s="108" t="str">
        <f t="shared" ref="ED12" ca="1" si="555">IF(AND(NOT(ISBLANK(EC$1)), MOD(EC$1,$A$14)=0), -$A$2*SUM(OFFSET(EC4,0,0,1,$A$14*4)), "")</f>
        <v/>
      </c>
      <c r="EE12" s="120" t="str">
        <f t="shared" ref="EE12" ca="1" si="556">IF(EF12&lt;&gt;"", $A$14&amp;" meses de café", "")</f>
        <v>3 meses de café</v>
      </c>
      <c r="EF12" s="108">
        <f t="shared" ref="EF12" ca="1" si="557">IF(AND(NOT(ISBLANK(EE$1)), MOD(EE$1,$A$14)=0), -$A$2*SUM(OFFSET(EE4,0,0,1,$A$14*4)), "")</f>
        <v>-71300</v>
      </c>
      <c r="EG12" s="120" t="str">
        <f t="shared" ref="EG12" ca="1" si="558">IF(EH12&lt;&gt;"", $A$14&amp;" meses de café", "")</f>
        <v/>
      </c>
      <c r="EH12" s="108" t="str">
        <f t="shared" ref="EH12" ca="1" si="559">IF(AND(NOT(ISBLANK(EG$1)), MOD(EG$1,$A$14)=0), -$A$2*SUM(OFFSET(EG4,0,0,1,$A$14*4)), "")</f>
        <v/>
      </c>
      <c r="EI12" s="120" t="str">
        <f t="shared" ref="EI12" ca="1" si="560">IF(EJ12&lt;&gt;"", $A$14&amp;" meses de café", "")</f>
        <v/>
      </c>
      <c r="EJ12" s="108" t="str">
        <f t="shared" ref="EJ12" ca="1" si="561">IF(AND(NOT(ISBLANK(EI$1)), MOD(EI$1,$A$14)=0), -$A$2*SUM(OFFSET(EI4,0,0,1,$A$14*4)), "")</f>
        <v/>
      </c>
      <c r="EK12" s="120" t="str">
        <f t="shared" ref="EK12" ca="1" si="562">IF(EL12&lt;&gt;"", $A$14&amp;" meses de café", "")</f>
        <v/>
      </c>
      <c r="EL12" s="108" t="str">
        <f t="shared" ref="EL12" ca="1" si="563">IF(AND(NOT(ISBLANK(EK$1)), MOD(EK$1,$A$14)=0), -$A$2*SUM(OFFSET(EK4,0,0,1,$A$14*4)), "")</f>
        <v/>
      </c>
      <c r="EM12" s="120" t="str">
        <f t="shared" ref="EM12" ca="1" si="564">IF(EN12&lt;&gt;"", $A$14&amp;" meses de café", "")</f>
        <v/>
      </c>
      <c r="EN12" s="108" t="str">
        <f t="shared" ref="EN12" ca="1" si="565">IF(AND(NOT(ISBLANK(EM$1)), MOD(EM$1,$A$14)=0), -$A$2*SUM(OFFSET(EM4,0,0,1,$A$14*4)), "")</f>
        <v/>
      </c>
      <c r="EO12" s="120" t="str">
        <f t="shared" ref="EO12" ca="1" si="566">IF(EP12&lt;&gt;"", $A$14&amp;" meses de café", "")</f>
        <v/>
      </c>
      <c r="EP12" s="108" t="str">
        <f t="shared" ref="EP12" ca="1" si="567">IF(AND(NOT(ISBLANK(EO$1)), MOD(EO$1,$A$14)=0), -$A$2*SUM(OFFSET(EO4,0,0,1,$A$14*4)), "")</f>
        <v/>
      </c>
      <c r="EQ12" s="120" t="str">
        <f t="shared" ref="EQ12" ca="1" si="568">IF(ER12&lt;&gt;"", $A$14&amp;" meses de café", "")</f>
        <v>3 meses de café</v>
      </c>
      <c r="ER12" s="108">
        <f t="shared" ref="ER12" ca="1" si="569">IF(AND(NOT(ISBLANK(EQ$1)), MOD(EQ$1,$A$14)=0), -$A$2*SUM(OFFSET(EQ4,0,0,1,$A$14*4)), "")</f>
        <v>-74400</v>
      </c>
      <c r="ES12" s="120" t="str">
        <f t="shared" ref="ES12" ca="1" si="570">IF(ET12&lt;&gt;"", $A$14&amp;" meses de café", "")</f>
        <v/>
      </c>
      <c r="ET12" s="108" t="str">
        <f t="shared" ref="ET12" ca="1" si="571">IF(AND(NOT(ISBLANK(ES$1)), MOD(ES$1,$A$14)=0), -$A$2*SUM(OFFSET(ES4,0,0,1,$A$14*4)), "")</f>
        <v/>
      </c>
      <c r="EU12" s="120" t="str">
        <f t="shared" ref="EU12" ca="1" si="572">IF(EV12&lt;&gt;"", $A$14&amp;" meses de café", "")</f>
        <v/>
      </c>
      <c r="EV12" s="108" t="str">
        <f t="shared" ref="EV12" ca="1" si="573">IF(AND(NOT(ISBLANK(EU$1)), MOD(EU$1,$A$14)=0), -$A$2*SUM(OFFSET(EU4,0,0,1,$A$14*4)), "")</f>
        <v/>
      </c>
      <c r="EW12" s="120" t="str">
        <f t="shared" ref="EW12" ca="1" si="574">IF(EX12&lt;&gt;"", $A$14&amp;" meses de café", "")</f>
        <v/>
      </c>
      <c r="EX12" s="108" t="str">
        <f t="shared" ref="EX12" ca="1" si="575">IF(AND(NOT(ISBLANK(EW$1)), MOD(EW$1,$A$14)=0), -$A$2*SUM(OFFSET(EW4,0,0,1,$A$14*4)), "")</f>
        <v/>
      </c>
      <c r="EY12" s="120" t="str">
        <f t="shared" ref="EY12" ca="1" si="576">IF(EZ12&lt;&gt;"", $A$14&amp;" meses de café", "")</f>
        <v/>
      </c>
      <c r="EZ12" s="108" t="str">
        <f t="shared" ref="EZ12" ca="1" si="577">IF(AND(NOT(ISBLANK(EY$1)), MOD(EY$1,$A$14)=0), -$A$2*SUM(OFFSET(EY4,0,0,1,$A$14*4)), "")</f>
        <v/>
      </c>
      <c r="FA12" s="120" t="str">
        <f t="shared" ref="FA12" ca="1" si="578">IF(FB12&lt;&gt;"", $A$14&amp;" meses de café", "")</f>
        <v/>
      </c>
      <c r="FB12" s="108" t="str">
        <f t="shared" ref="FB12" ca="1" si="579">IF(AND(NOT(ISBLANK(FA$1)), MOD(FA$1,$A$14)=0), -$A$2*SUM(OFFSET(FA4,0,0,1,$A$14*4)), "")</f>
        <v/>
      </c>
      <c r="FC12" s="120" t="str">
        <f t="shared" ref="FC12" ca="1" si="580">IF(FD12&lt;&gt;"", $A$14&amp;" meses de café", "")</f>
        <v>3 meses de café</v>
      </c>
      <c r="FD12" s="108">
        <f t="shared" ref="FD12" ca="1" si="581">IF(AND(NOT(ISBLANK(FC$1)), MOD(FC$1,$A$14)=0), -$A$2*SUM(OFFSET(FC4,0,0,1,$A$14*4)), "")</f>
        <v>-80600</v>
      </c>
      <c r="FE12" s="120" t="str">
        <f t="shared" ref="FE12" ca="1" si="582">IF(FF12&lt;&gt;"", $A$14&amp;" meses de café", "")</f>
        <v/>
      </c>
      <c r="FF12" s="108" t="str">
        <f t="shared" ref="FF12" ca="1" si="583">IF(AND(NOT(ISBLANK(FE$1)), MOD(FE$1,$A$14)=0), -$A$2*SUM(OFFSET(FE4,0,0,1,$A$14*4)), "")</f>
        <v/>
      </c>
      <c r="FG12" s="120" t="str">
        <f t="shared" ref="FG12" ca="1" si="584">IF(FH12&lt;&gt;"", $A$14&amp;" meses de café", "")</f>
        <v/>
      </c>
      <c r="FH12" s="108" t="str">
        <f t="shared" ref="FH12" ca="1" si="585">IF(AND(NOT(ISBLANK(FG$1)), MOD(FG$1,$A$14)=0), -$A$2*SUM(OFFSET(FG4,0,0,1,$A$14*4)), "")</f>
        <v/>
      </c>
      <c r="FI12" s="120" t="str">
        <f t="shared" ref="FI12" ca="1" si="586">IF(FJ12&lt;&gt;"", $A$14&amp;" meses de café", "")</f>
        <v/>
      </c>
      <c r="FJ12" s="108" t="str">
        <f t="shared" ref="FJ12" ca="1" si="587">IF(AND(NOT(ISBLANK(FI$1)), MOD(FI$1,$A$14)=0), -$A$2*SUM(OFFSET(FI4,0,0,1,$A$14*4)), "")</f>
        <v/>
      </c>
      <c r="FK12" s="120" t="str">
        <f t="shared" ref="FK12" ca="1" si="588">IF(FL12&lt;&gt;"", $A$14&amp;" meses de café", "")</f>
        <v/>
      </c>
      <c r="FL12" s="108" t="str">
        <f t="shared" ref="FL12" ca="1" si="589">IF(AND(NOT(ISBLANK(FK$1)), MOD(FK$1,$A$14)=0), -$A$2*SUM(OFFSET(FK4,0,0,1,$A$14*4)), "")</f>
        <v/>
      </c>
      <c r="FM12" s="120" t="str">
        <f t="shared" ref="FM12" ca="1" si="590">IF(FN12&lt;&gt;"", $A$14&amp;" meses de café", "")</f>
        <v/>
      </c>
      <c r="FN12" s="108" t="str">
        <f t="shared" ref="FN12" ca="1" si="591">IF(AND(NOT(ISBLANK(FM$1)), MOD(FM$1,$A$14)=0), -$A$2*SUM(OFFSET(FM4,0,0,1,$A$14*4)), "")</f>
        <v/>
      </c>
      <c r="FO12" s="120" t="str">
        <f t="shared" ref="FO12" ca="1" si="592">IF(FP12&lt;&gt;"", $A$14&amp;" meses de café", "")</f>
        <v>3 meses de café</v>
      </c>
      <c r="FP12" s="108">
        <f t="shared" ref="FP12" ca="1" si="593">IF(AND(NOT(ISBLANK(FO$1)), MOD(FO$1,$A$14)=0), -$A$2*SUM(OFFSET(FO4,0,0,1,$A$14*4)), "")</f>
        <v>-83700</v>
      </c>
      <c r="FQ12" s="120" t="str">
        <f t="shared" ref="FQ12" ca="1" si="594">IF(FR12&lt;&gt;"", $A$14&amp;" meses de café", "")</f>
        <v/>
      </c>
      <c r="FR12" s="108" t="str">
        <f t="shared" ref="FR12" ca="1" si="595">IF(AND(NOT(ISBLANK(FQ$1)), MOD(FQ$1,$A$14)=0), -$A$2*SUM(OFFSET(FQ4,0,0,1,$A$14*4)), "")</f>
        <v/>
      </c>
      <c r="FS12" s="120" t="str">
        <f t="shared" ref="FS12" ca="1" si="596">IF(FT12&lt;&gt;"", $A$14&amp;" meses de café", "")</f>
        <v/>
      </c>
      <c r="FT12" s="108" t="str">
        <f t="shared" ref="FT12" ca="1" si="597">IF(AND(NOT(ISBLANK(FS$1)), MOD(FS$1,$A$14)=0), -$A$2*SUM(OFFSET(FS4,0,0,1,$A$14*4)), "")</f>
        <v/>
      </c>
      <c r="FU12" s="120" t="str">
        <f t="shared" ref="FU12" ca="1" si="598">IF(FV12&lt;&gt;"", $A$14&amp;" meses de café", "")</f>
        <v/>
      </c>
      <c r="FV12" s="108" t="str">
        <f t="shared" ref="FV12" ca="1" si="599">IF(AND(NOT(ISBLANK(FU$1)), MOD(FU$1,$A$14)=0), -$A$2*SUM(OFFSET(FU4,0,0,1,$A$14*4)), "")</f>
        <v/>
      </c>
      <c r="FW12" s="120" t="str">
        <f t="shared" ref="FW12" ca="1" si="600">IF(FX12&lt;&gt;"", $A$14&amp;" meses de café", "")</f>
        <v/>
      </c>
      <c r="FX12" s="108" t="str">
        <f t="shared" ref="FX12" ca="1" si="601">IF(AND(NOT(ISBLANK(FW$1)), MOD(FW$1,$A$14)=0), -$A$2*SUM(OFFSET(FW4,0,0,1,$A$14*4)), "")</f>
        <v/>
      </c>
      <c r="FY12" s="120" t="str">
        <f t="shared" ref="FY12" ca="1" si="602">IF(FZ12&lt;&gt;"", $A$14&amp;" meses de café", "")</f>
        <v/>
      </c>
      <c r="FZ12" s="108" t="str">
        <f t="shared" ref="FZ12" ca="1" si="603">IF(AND(NOT(ISBLANK(FY$1)), MOD(FY$1,$A$14)=0), -$A$2*SUM(OFFSET(FY4,0,0,1,$A$14*4)), "")</f>
        <v/>
      </c>
      <c r="GA12" s="120" t="str">
        <f t="shared" ref="GA12" ca="1" si="604">IF(GB12&lt;&gt;"", $A$14&amp;" meses de café", "")</f>
        <v>3 meses de café</v>
      </c>
      <c r="GB12" s="108">
        <f t="shared" ref="GB12" ca="1" si="605">IF(AND(NOT(ISBLANK(GA$1)), MOD(GA$1,$A$14)=0), -$A$2*SUM(OFFSET(GA4,0,0,1,$A$14*4)), "")</f>
        <v>-86800</v>
      </c>
      <c r="GC12" s="120" t="str">
        <f t="shared" ref="GC12" ca="1" si="606">IF(GD12&lt;&gt;"", $A$14&amp;" meses de café", "")</f>
        <v/>
      </c>
      <c r="GD12" s="108" t="str">
        <f t="shared" ref="GD12" ca="1" si="607">IF(AND(NOT(ISBLANK(GC$1)), MOD(GC$1,$A$14)=0), -$A$2*SUM(OFFSET(GC4,0,0,1,$A$14*4)), "")</f>
        <v/>
      </c>
      <c r="GE12" s="120" t="str">
        <f t="shared" ref="GE12" ca="1" si="608">IF(GF12&lt;&gt;"", $A$14&amp;" meses de café", "")</f>
        <v/>
      </c>
      <c r="GF12" s="108" t="str">
        <f t="shared" ref="GF12" ca="1" si="609">IF(AND(NOT(ISBLANK(GE$1)), MOD(GE$1,$A$14)=0), -$A$2*SUM(OFFSET(GE4,0,0,1,$A$14*4)), "")</f>
        <v/>
      </c>
      <c r="GG12" s="120" t="str">
        <f t="shared" ref="GG12" ca="1" si="610">IF(GH12&lt;&gt;"", $A$14&amp;" meses de café", "")</f>
        <v/>
      </c>
      <c r="GH12" s="108" t="str">
        <f t="shared" ref="GH12" ca="1" si="611">IF(AND(NOT(ISBLANK(GG$1)), MOD(GG$1,$A$14)=0), -$A$2*SUM(OFFSET(GG4,0,0,1,$A$14*4)), "")</f>
        <v/>
      </c>
      <c r="GI12" s="120" t="str">
        <f t="shared" ref="GI12" ca="1" si="612">IF(GJ12&lt;&gt;"", $A$14&amp;" meses de café", "")</f>
        <v/>
      </c>
      <c r="GJ12" s="108" t="str">
        <f t="shared" ref="GJ12" ca="1" si="613">IF(AND(NOT(ISBLANK(GI$1)), MOD(GI$1,$A$14)=0), -$A$2*SUM(OFFSET(GI4,0,0,1,$A$14*4)), "")</f>
        <v/>
      </c>
      <c r="GK12" s="120" t="str">
        <f t="shared" ref="GK12" ca="1" si="614">IF(GL12&lt;&gt;"", $A$14&amp;" meses de café", "")</f>
        <v/>
      </c>
      <c r="GL12" s="108" t="str">
        <f t="shared" ref="GL12" ca="1" si="615">IF(AND(NOT(ISBLANK(GK$1)), MOD(GK$1,$A$14)=0), -$A$2*SUM(OFFSET(GK4,0,0,1,$A$14*4)), "")</f>
        <v/>
      </c>
      <c r="GM12" s="120" t="str">
        <f t="shared" ref="GM12" ca="1" si="616">IF(GN12&lt;&gt;"", $A$14&amp;" meses de café", "")</f>
        <v>3 meses de café</v>
      </c>
      <c r="GN12" s="108">
        <f t="shared" ref="GN12" ca="1" si="617">IF(AND(NOT(ISBLANK(GM$1)), MOD(GM$1,$A$14)=0), -$A$2*SUM(OFFSET(GM4,0,0,1,$A$14*4)), "")</f>
        <v>-93000</v>
      </c>
      <c r="GO12" s="120" t="str">
        <f t="shared" ref="GO12" ca="1" si="618">IF(GP12&lt;&gt;"", $A$14&amp;" meses de café", "")</f>
        <v/>
      </c>
      <c r="GP12" s="108" t="str">
        <f t="shared" ref="GP12" ca="1" si="619">IF(AND(NOT(ISBLANK(GO$1)), MOD(GO$1,$A$14)=0), -$A$2*SUM(OFFSET(GO4,0,0,1,$A$14*4)), "")</f>
        <v/>
      </c>
      <c r="GQ12" s="120" t="str">
        <f t="shared" ref="GQ12" ca="1" si="620">IF(GR12&lt;&gt;"", $A$14&amp;" meses de café", "")</f>
        <v/>
      </c>
      <c r="GR12" s="108" t="str">
        <f t="shared" ref="GR12" ca="1" si="621">IF(AND(NOT(ISBLANK(GQ$1)), MOD(GQ$1,$A$14)=0), -$A$2*SUM(OFFSET(GQ4,0,0,1,$A$14*4)), "")</f>
        <v/>
      </c>
      <c r="GS12" s="120" t="str">
        <f t="shared" ref="GS12" ca="1" si="622">IF(GT12&lt;&gt;"", $A$14&amp;" meses de café", "")</f>
        <v/>
      </c>
      <c r="GT12" s="108" t="str">
        <f t="shared" ref="GT12" ca="1" si="623">IF(AND(NOT(ISBLANK(GS$1)), MOD(GS$1,$A$14)=0), -$A$2*SUM(OFFSET(GS4,0,0,1,$A$14*4)), "")</f>
        <v/>
      </c>
      <c r="GU12" s="120" t="str">
        <f t="shared" ref="GU12" ca="1" si="624">IF(GV12&lt;&gt;"", $A$14&amp;" meses de café", "")</f>
        <v/>
      </c>
      <c r="GV12" s="108" t="str">
        <f t="shared" ref="GV12" ca="1" si="625">IF(AND(NOT(ISBLANK(GU$1)), MOD(GU$1,$A$14)=0), -$A$2*SUM(OFFSET(GU4,0,0,1,$A$14*4)), "")</f>
        <v/>
      </c>
      <c r="GW12" s="120" t="str">
        <f t="shared" ref="GW12" ca="1" si="626">IF(GX12&lt;&gt;"", $A$14&amp;" meses de café", "")</f>
        <v/>
      </c>
      <c r="GX12" s="108" t="str">
        <f t="shared" ref="GX12" ca="1" si="627">IF(AND(NOT(ISBLANK(GW$1)), MOD(GW$1,$A$14)=0), -$A$2*SUM(OFFSET(GW4,0,0,1,$A$14*4)), "")</f>
        <v/>
      </c>
      <c r="GY12" s="120" t="str">
        <f t="shared" ref="GY12" ca="1" si="628">IF(GZ12&lt;&gt;"", $A$14&amp;" meses de café", "")</f>
        <v>3 meses de café</v>
      </c>
      <c r="GZ12" s="108">
        <f t="shared" ref="GZ12" ca="1" si="629">IF(AND(NOT(ISBLANK(GY$1)), MOD(GY$1,$A$14)=0), -$A$2*SUM(OFFSET(GY4,0,0,1,$A$14*4)), "")</f>
        <v>-93000</v>
      </c>
      <c r="HA12" s="120" t="str">
        <f t="shared" ref="HA12" ca="1" si="630">IF(HB12&lt;&gt;"", $A$14&amp;" meses de café", "")</f>
        <v/>
      </c>
      <c r="HB12" s="108" t="str">
        <f t="shared" ref="HB12" ca="1" si="631">IF(AND(NOT(ISBLANK(HA$1)), MOD(HA$1,$A$14)=0), -$A$2*SUM(OFFSET(HA4,0,0,1,$A$14*4)), "")</f>
        <v/>
      </c>
      <c r="HC12" s="120" t="str">
        <f t="shared" ref="HC12" ca="1" si="632">IF(HD12&lt;&gt;"", $A$14&amp;" meses de café", "")</f>
        <v/>
      </c>
      <c r="HD12" s="108" t="str">
        <f t="shared" ref="HD12" ca="1" si="633">IF(AND(NOT(ISBLANK(HC$1)), MOD(HC$1,$A$14)=0), -$A$2*SUM(OFFSET(HC4,0,0,1,$A$14*4)), "")</f>
        <v/>
      </c>
      <c r="HE12" s="120" t="str">
        <f t="shared" ref="HE12" ca="1" si="634">IF(HF12&lt;&gt;"", $A$14&amp;" meses de café", "")</f>
        <v/>
      </c>
      <c r="HF12" s="108" t="str">
        <f t="shared" ref="HF12" ca="1" si="635">IF(AND(NOT(ISBLANK(HE$1)), MOD(HE$1,$A$14)=0), -$A$2*SUM(OFFSET(HE4,0,0,1,$A$14*4)), "")</f>
        <v/>
      </c>
      <c r="HG12" s="120" t="str">
        <f t="shared" ref="HG12" ca="1" si="636">IF(HH12&lt;&gt;"", $A$14&amp;" meses de café", "")</f>
        <v/>
      </c>
      <c r="HH12" s="108" t="str">
        <f t="shared" ref="HH12" ca="1" si="637">IF(AND(NOT(ISBLANK(HG$1)), MOD(HG$1,$A$14)=0), -$A$2*SUM(OFFSET(HG4,0,0,1,$A$14*4)), "")</f>
        <v/>
      </c>
      <c r="HI12" s="120" t="str">
        <f t="shared" ref="HI12" ca="1" si="638">IF(HJ12&lt;&gt;"", $A$14&amp;" meses de café", "")</f>
        <v/>
      </c>
      <c r="HJ12" s="108" t="str">
        <f t="shared" ref="HJ12" ca="1" si="639">IF(AND(NOT(ISBLANK(HI$1)), MOD(HI$1,$A$14)=0), -$A$2*SUM(OFFSET(HI4,0,0,1,$A$14*4)), "")</f>
        <v/>
      </c>
      <c r="HK12" s="120" t="str">
        <f t="shared" ref="HK12" ca="1" si="640">IF(HL12&lt;&gt;"", $A$14&amp;" meses de café", "")</f>
        <v>3 meses de café</v>
      </c>
      <c r="HL12" s="108">
        <f t="shared" ref="HL12" ca="1" si="641">IF(AND(NOT(ISBLANK(HK$1)), MOD(HK$1,$A$14)=0), -$A$2*SUM(OFFSET(HK4,0,0,1,$A$14*4)), "")</f>
        <v>-102300</v>
      </c>
      <c r="HM12" s="120" t="str">
        <f t="shared" ref="HM12" ca="1" si="642">IF(HN12&lt;&gt;"", $A$14&amp;" meses de café", "")</f>
        <v/>
      </c>
      <c r="HN12" s="108" t="str">
        <f t="shared" ref="HN12" ca="1" si="643">IF(AND(NOT(ISBLANK(HM$1)), MOD(HM$1,$A$14)=0), -$A$2*SUM(OFFSET(HM4,0,0,1,$A$14*4)), "")</f>
        <v/>
      </c>
      <c r="HO12" s="120" t="str">
        <f t="shared" ref="HO12" ca="1" si="644">IF(HP12&lt;&gt;"", $A$14&amp;" meses de café", "")</f>
        <v/>
      </c>
      <c r="HP12" s="108" t="str">
        <f t="shared" ref="HP12" ca="1" si="645">IF(AND(NOT(ISBLANK(HO$1)), MOD(HO$1,$A$14)=0), -$A$2*SUM(OFFSET(HO4,0,0,1,$A$14*4)), "")</f>
        <v/>
      </c>
      <c r="HQ12" s="120" t="str">
        <f t="shared" ref="HQ12" ca="1" si="646">IF(HR12&lt;&gt;"", $A$14&amp;" meses de café", "")</f>
        <v/>
      </c>
      <c r="HR12" s="108" t="str">
        <f t="shared" ref="HR12" ca="1" si="647">IF(AND(NOT(ISBLANK(HQ$1)), MOD(HQ$1,$A$14)=0), -$A$2*SUM(OFFSET(HQ4,0,0,1,$A$14*4)), "")</f>
        <v/>
      </c>
      <c r="HS12" s="120" t="str">
        <f t="shared" ref="HS12" ca="1" si="648">IF(HT12&lt;&gt;"", $A$14&amp;" meses de café", "")</f>
        <v/>
      </c>
      <c r="HT12" s="108" t="str">
        <f t="shared" ref="HT12" ca="1" si="649">IF(AND(NOT(ISBLANK(HS$1)), MOD(HS$1,$A$14)=0), -$A$2*SUM(OFFSET(HS4,0,0,1,$A$14*4)), "")</f>
        <v/>
      </c>
      <c r="HU12" s="120" t="str">
        <f t="shared" ref="HU12" ca="1" si="650">IF(HV12&lt;&gt;"", $A$14&amp;" meses de café", "")</f>
        <v/>
      </c>
      <c r="HV12" s="108" t="str">
        <f t="shared" ref="HV12" ca="1" si="651">IF(AND(NOT(ISBLANK(HU$1)), MOD(HU$1,$A$14)=0), -$A$2*SUM(OFFSET(HU4,0,0,1,$A$14*4)), "")</f>
        <v/>
      </c>
      <c r="HW12" s="120" t="str">
        <f t="shared" ref="HW12" ca="1" si="652">IF(HX12&lt;&gt;"", $A$14&amp;" meses de café", "")</f>
        <v>3 meses de café</v>
      </c>
      <c r="HX12" s="108">
        <f t="shared" ref="HX12" ca="1" si="653">IF(AND(NOT(ISBLANK(HW$1)), MOD(HW$1,$A$14)=0), -$A$2*SUM(OFFSET(HW4,0,0,1,$A$14*4)), "")</f>
        <v>-102300</v>
      </c>
      <c r="HY12" s="120" t="str">
        <f t="shared" ref="HY12" ca="1" si="654">IF(HZ12&lt;&gt;"", $A$14&amp;" meses de café", "")</f>
        <v/>
      </c>
      <c r="HZ12" s="108" t="str">
        <f t="shared" ref="HZ12" ca="1" si="655">IF(AND(NOT(ISBLANK(HY$1)), MOD(HY$1,$A$14)=0), -$A$2*SUM(OFFSET(HY4,0,0,1,$A$14*4)), "")</f>
        <v/>
      </c>
      <c r="IA12" s="120" t="str">
        <f t="shared" ref="IA12" ca="1" si="656">IF(IB12&lt;&gt;"", $A$14&amp;" meses de café", "")</f>
        <v/>
      </c>
      <c r="IB12" s="108" t="str">
        <f t="shared" ref="IB12" ca="1" si="657">IF(AND(NOT(ISBLANK(IA$1)), MOD(IA$1,$A$14)=0), -$A$2*SUM(OFFSET(IA4,0,0,1,$A$14*4)), "")</f>
        <v/>
      </c>
      <c r="IC12" s="120" t="str">
        <f t="shared" ref="IC12" ca="1" si="658">IF(ID12&lt;&gt;"", $A$14&amp;" meses de café", "")</f>
        <v/>
      </c>
      <c r="ID12" s="108" t="str">
        <f t="shared" ref="ID12" ca="1" si="659">IF(AND(NOT(ISBLANK(IC$1)), MOD(IC$1,$A$14)=0), -$A$2*SUM(OFFSET(IC4,0,0,1,$A$14*4)), "")</f>
        <v/>
      </c>
      <c r="IE12" s="120" t="str">
        <f t="shared" ref="IE12" ca="1" si="660">IF(IF12&lt;&gt;"", $A$14&amp;" meses de café", "")</f>
        <v/>
      </c>
      <c r="IF12" s="108" t="str">
        <f t="shared" ref="IF12" ca="1" si="661">IF(AND(NOT(ISBLANK(IE$1)), MOD(IE$1,$A$14)=0), -$A$2*SUM(OFFSET(IE4,0,0,1,$A$14*4)), "")</f>
        <v/>
      </c>
      <c r="IG12" s="120" t="str">
        <f t="shared" ref="IG12" ca="1" si="662">IF(IH12&lt;&gt;"", $A$14&amp;" meses de café", "")</f>
        <v/>
      </c>
      <c r="IH12" s="108" t="str">
        <f t="shared" ref="IH12" ca="1" si="663">IF(AND(NOT(ISBLANK(IG$1)), MOD(IG$1,$A$14)=0), -$A$2*SUM(OFFSET(IG4,0,0,1,$A$14*4)), "")</f>
        <v/>
      </c>
      <c r="II12" s="120" t="str">
        <f t="shared" ref="II12" ca="1" si="664">IF(IJ12&lt;&gt;"", $A$14&amp;" meses de café", "")</f>
        <v>3 meses de café</v>
      </c>
      <c r="IJ12" s="108">
        <f t="shared" ref="IJ12" ca="1" si="665">IF(AND(NOT(ISBLANK(II$1)), MOD(II$1,$A$14)=0), -$A$2*SUM(OFFSET(II4,0,0,1,$A$14*4)), "")</f>
        <v>-111600</v>
      </c>
      <c r="IK12" s="120" t="str">
        <f t="shared" ref="IK12" ca="1" si="666">IF(IL12&lt;&gt;"", $A$14&amp;" meses de café", "")</f>
        <v/>
      </c>
      <c r="IL12" s="108" t="str">
        <f t="shared" ref="IL12" ca="1" si="667">IF(AND(NOT(ISBLANK(IK$1)), MOD(IK$1,$A$14)=0), -$A$2*SUM(OFFSET(IK4,0,0,1,$A$14*4)), "")</f>
        <v/>
      </c>
      <c r="IM12" s="120" t="str">
        <f t="shared" ref="IM12" ca="1" si="668">IF(IN12&lt;&gt;"", $A$14&amp;" meses de café", "")</f>
        <v/>
      </c>
      <c r="IN12" s="108" t="str">
        <f t="shared" ref="IN12" ca="1" si="669">IF(AND(NOT(ISBLANK(IM$1)), MOD(IM$1,$A$14)=0), -$A$2*SUM(OFFSET(IM4,0,0,1,$A$14*4)), "")</f>
        <v/>
      </c>
      <c r="IO12" s="120" t="str">
        <f t="shared" ref="IO12" ca="1" si="670">IF(IP12&lt;&gt;"", $A$14&amp;" meses de café", "")</f>
        <v/>
      </c>
      <c r="IP12" s="108" t="str">
        <f t="shared" ref="IP12" ca="1" si="671">IF(AND(NOT(ISBLANK(IO$1)), MOD(IO$1,$A$14)=0), -$A$2*SUM(OFFSET(IO4,0,0,1,$A$14*4)), "")</f>
        <v/>
      </c>
      <c r="IQ12" s="120" t="str">
        <f t="shared" ref="IQ12" ca="1" si="672">IF(IR12&lt;&gt;"", $A$14&amp;" meses de café", "")</f>
        <v/>
      </c>
      <c r="IR12" s="108" t="str">
        <f t="shared" ref="IR12" ca="1" si="673">IF(AND(NOT(ISBLANK(IQ$1)), MOD(IQ$1,$A$14)=0), -$A$2*SUM(OFFSET(IQ4,0,0,1,$A$14*4)), "")</f>
        <v/>
      </c>
      <c r="IS12" s="120" t="str">
        <f t="shared" ref="IS12" ca="1" si="674">IF(IT12&lt;&gt;"", $A$14&amp;" meses de café", "")</f>
        <v/>
      </c>
      <c r="IT12" s="108" t="str">
        <f t="shared" ref="IT12" ca="1" si="675">IF(AND(NOT(ISBLANK(IS$1)), MOD(IS$1,$A$14)=0), -$A$2*SUM(OFFSET(IS4,0,0,1,$A$14*4)), "")</f>
        <v/>
      </c>
      <c r="IU12" s="120" t="str">
        <f t="shared" ref="IU12" ca="1" si="676">IF(IV12&lt;&gt;"", $A$14&amp;" meses de café", "")</f>
        <v>3 meses de café</v>
      </c>
      <c r="IV12" s="108">
        <f t="shared" ref="IV12" ca="1" si="677">IF(AND(NOT(ISBLANK(IU$1)), MOD(IU$1,$A$14)=0), -$A$2*SUM(OFFSET(IU4,0,0,1,$A$14*4)), "")</f>
        <v>-111600</v>
      </c>
      <c r="IW12" s="120" t="str">
        <f t="shared" ref="IW12" ca="1" si="678">IF(IX12&lt;&gt;"", $A$14&amp;" meses de café", "")</f>
        <v/>
      </c>
      <c r="IX12" s="108" t="str">
        <f t="shared" ref="IX12" ca="1" si="679">IF(AND(NOT(ISBLANK(IW$1)), MOD(IW$1,$A$14)=0), -$A$2*SUM(OFFSET(IW4,0,0,1,$A$14*4)), "")</f>
        <v/>
      </c>
      <c r="IY12" s="120" t="str">
        <f t="shared" ref="IY12" ca="1" si="680">IF(IZ12&lt;&gt;"", $A$14&amp;" meses de café", "")</f>
        <v/>
      </c>
      <c r="IZ12" s="108" t="str">
        <f t="shared" ref="IZ12" ca="1" si="681">IF(AND(NOT(ISBLANK(IY$1)), MOD(IY$1,$A$14)=0), -$A$2*SUM(OFFSET(IY4,0,0,1,$A$14*4)), "")</f>
        <v/>
      </c>
      <c r="JA12" s="120" t="str">
        <f t="shared" ref="JA12" ca="1" si="682">IF(JB12&lt;&gt;"", $A$14&amp;" meses de café", "")</f>
        <v/>
      </c>
      <c r="JB12" s="108" t="str">
        <f t="shared" ref="JB12" ca="1" si="683">IF(AND(NOT(ISBLANK(JA$1)), MOD(JA$1,$A$14)=0), -$A$2*SUM(OFFSET(JA4,0,0,1,$A$14*4)), "")</f>
        <v/>
      </c>
      <c r="JC12" s="120" t="str">
        <f t="shared" ref="JC12" ca="1" si="684">IF(JD12&lt;&gt;"", $A$14&amp;" meses de café", "")</f>
        <v/>
      </c>
      <c r="JD12" s="108" t="str">
        <f t="shared" ref="JD12" ca="1" si="685">IF(AND(NOT(ISBLANK(JC$1)), MOD(JC$1,$A$14)=0), -$A$2*SUM(OFFSET(JC4,0,0,1,$A$14*4)), "")</f>
        <v/>
      </c>
      <c r="JE12" s="120" t="str">
        <f t="shared" ref="JE12" ca="1" si="686">IF(JF12&lt;&gt;"", $A$14&amp;" meses de café", "")</f>
        <v/>
      </c>
      <c r="JF12" s="108" t="str">
        <f t="shared" ref="JF12" ca="1" si="687">IF(AND(NOT(ISBLANK(JE$1)), MOD(JE$1,$A$14)=0), -$A$2*SUM(OFFSET(JE4,0,0,1,$A$14*4)), "")</f>
        <v/>
      </c>
      <c r="JG12" s="120" t="str">
        <f t="shared" ref="JG12" ca="1" si="688">IF(JH12&lt;&gt;"", $A$14&amp;" meses de café", "")</f>
        <v>3 meses de café</v>
      </c>
      <c r="JH12" s="108">
        <f t="shared" ref="JH12" ca="1" si="689">IF(AND(NOT(ISBLANK(JG$1)), MOD(JG$1,$A$14)=0), -$A$2*SUM(OFFSET(JG4,0,0,1,$A$14*4)), "")</f>
        <v>-117800</v>
      </c>
      <c r="JI12" s="120" t="str">
        <f t="shared" ref="JI12" ca="1" si="690">IF(JJ12&lt;&gt;"", $A$14&amp;" meses de café", "")</f>
        <v/>
      </c>
      <c r="JJ12" s="108" t="str">
        <f t="shared" ref="JJ12" ca="1" si="691">IF(AND(NOT(ISBLANK(JI$1)), MOD(JI$1,$A$14)=0), -$A$2*SUM(OFFSET(JI4,0,0,1,$A$14*4)), "")</f>
        <v/>
      </c>
      <c r="JK12" s="120" t="str">
        <f t="shared" ref="JK12" ca="1" si="692">IF(JL12&lt;&gt;"", $A$14&amp;" meses de café", "")</f>
        <v/>
      </c>
      <c r="JL12" s="108" t="str">
        <f t="shared" ref="JL12" ca="1" si="693">IF(AND(NOT(ISBLANK(JK$1)), MOD(JK$1,$A$14)=0), -$A$2*SUM(OFFSET(JK4,0,0,1,$A$14*4)), "")</f>
        <v/>
      </c>
      <c r="JM12" s="120" t="str">
        <f t="shared" ref="JM12" ca="1" si="694">IF(JN12&lt;&gt;"", $A$14&amp;" meses de café", "")</f>
        <v/>
      </c>
      <c r="JN12" s="108" t="str">
        <f t="shared" ref="JN12" ca="1" si="695">IF(AND(NOT(ISBLANK(JM$1)), MOD(JM$1,$A$14)=0), -$A$2*SUM(OFFSET(JM4,0,0,1,$A$14*4)), "")</f>
        <v/>
      </c>
      <c r="JO12" s="120" t="str">
        <f t="shared" ref="JO12" ca="1" si="696">IF(JP12&lt;&gt;"", $A$14&amp;" meses de café", "")</f>
        <v/>
      </c>
      <c r="JP12" s="108" t="str">
        <f t="shared" ref="JP12" ca="1" si="697">IF(AND(NOT(ISBLANK(JO$1)), MOD(JO$1,$A$14)=0), -$A$2*SUM(OFFSET(JO4,0,0,1,$A$14*4)), "")</f>
        <v/>
      </c>
      <c r="JQ12" s="120" t="str">
        <f t="shared" ref="JQ12" ca="1" si="698">IF(JR12&lt;&gt;"", $A$14&amp;" meses de café", "")</f>
        <v/>
      </c>
      <c r="JR12" s="108" t="str">
        <f t="shared" ref="JR12" ca="1" si="699">IF(AND(NOT(ISBLANK(JQ$1)), MOD(JQ$1,$A$14)=0), -$A$2*SUM(OFFSET(JQ4,0,0,1,$A$14*4)), "")</f>
        <v/>
      </c>
      <c r="JS12" s="120" t="str">
        <f t="shared" ref="JS12" ca="1" si="700">IF(JT12&lt;&gt;"", $A$14&amp;" meses de café", "")</f>
        <v>3 meses de café</v>
      </c>
      <c r="JT12" s="108">
        <f t="shared" ref="JT12" ca="1" si="701">IF(AND(NOT(ISBLANK(JS$1)), MOD(JS$1,$A$14)=0), -$A$2*SUM(OFFSET(JS4,0,0,1,$A$14*4)), "")</f>
        <v>-120900</v>
      </c>
      <c r="JU12" s="120" t="str">
        <f t="shared" ref="JU12" ca="1" si="702">IF(JV12&lt;&gt;"", $A$14&amp;" meses de café", "")</f>
        <v/>
      </c>
      <c r="JV12" s="108" t="str">
        <f t="shared" ref="JV12" ca="1" si="703">IF(AND(NOT(ISBLANK(JU$1)), MOD(JU$1,$A$14)=0), -$A$2*SUM(OFFSET(JU4,0,0,1,$A$14*4)), "")</f>
        <v/>
      </c>
      <c r="JW12" s="120" t="str">
        <f t="shared" ref="JW12" ca="1" si="704">IF(JX12&lt;&gt;"", $A$14&amp;" meses de café", "")</f>
        <v/>
      </c>
      <c r="JX12" s="108" t="str">
        <f t="shared" ref="JX12" ca="1" si="705">IF(AND(NOT(ISBLANK(JW$1)), MOD(JW$1,$A$14)=0), -$A$2*SUM(OFFSET(JW4,0,0,1,$A$14*4)), "")</f>
        <v/>
      </c>
      <c r="JY12" s="120" t="str">
        <f t="shared" ref="JY12" ca="1" si="706">IF(JZ12&lt;&gt;"", $A$14&amp;" meses de café", "")</f>
        <v/>
      </c>
      <c r="JZ12" s="108" t="str">
        <f t="shared" ref="JZ12" ca="1" si="707">IF(AND(NOT(ISBLANK(JY$1)), MOD(JY$1,$A$14)=0), -$A$2*SUM(OFFSET(JY4,0,0,1,$A$14*4)), "")</f>
        <v/>
      </c>
      <c r="KA12" s="120" t="str">
        <f t="shared" ref="KA12" ca="1" si="708">IF(KB12&lt;&gt;"", $A$14&amp;" meses de café", "")</f>
        <v/>
      </c>
      <c r="KB12" s="108" t="str">
        <f t="shared" ref="KB12" ca="1" si="709">IF(AND(NOT(ISBLANK(KA$1)), MOD(KA$1,$A$14)=0), -$A$2*SUM(OFFSET(KA4,0,0,1,$A$14*4)), "")</f>
        <v/>
      </c>
      <c r="KC12" s="120" t="str">
        <f t="shared" ref="KC12" ca="1" si="710">IF(KD12&lt;&gt;"", $A$14&amp;" meses de café", "")</f>
        <v/>
      </c>
      <c r="KD12" s="108" t="str">
        <f t="shared" ref="KD12" ca="1" si="711">IF(AND(NOT(ISBLANK(KC$1)), MOD(KC$1,$A$14)=0), -$A$2*SUM(OFFSET(KC4,0,0,1,$A$14*4)), "")</f>
        <v/>
      </c>
      <c r="KE12" s="120" t="str">
        <f t="shared" ref="KE12" ca="1" si="712">IF(KF12&lt;&gt;"", $A$14&amp;" meses de café", "")</f>
        <v>3 meses de café</v>
      </c>
      <c r="KF12" s="108">
        <f t="shared" ref="KF12" ca="1" si="713">IF(AND(NOT(ISBLANK(KE$1)), MOD(KE$1,$A$14)=0), -$A$2*SUM(OFFSET(KE4,0,0,1,$A$14*4)), "")</f>
        <v>-40300</v>
      </c>
      <c r="KG12" s="120" t="str">
        <f t="shared" ref="KG12" ca="1" si="714">IF(KH12&lt;&gt;"", $A$14&amp;" meses de café", "")</f>
        <v/>
      </c>
      <c r="KH12" s="108" t="str">
        <f t="shared" ref="KH12" ca="1" si="715">IF(AND(NOT(ISBLANK(KG$1)), MOD(KG$1,$A$14)=0), -$A$2*SUM(OFFSET(KG4,0,0,1,$A$14*4)), "")</f>
        <v/>
      </c>
    </row>
    <row r="13" spans="1:294" outlineLevel="1" x14ac:dyDescent="0.25">
      <c r="C13" s="100" t="s">
        <v>190</v>
      </c>
      <c r="D13" s="101">
        <f>-'Investimento Inicial'!$B$6</f>
        <v>-5000</v>
      </c>
      <c r="E13" s="63"/>
      <c r="F13" s="63"/>
      <c r="G13" s="100"/>
      <c r="H13" s="101"/>
      <c r="I13" s="63"/>
      <c r="J13" s="63"/>
      <c r="K13" s="100"/>
      <c r="L13" s="101"/>
      <c r="M13" s="63"/>
      <c r="N13" s="63"/>
      <c r="O13" s="100"/>
      <c r="P13" s="101"/>
      <c r="Q13" s="63"/>
      <c r="R13" s="63"/>
      <c r="S13" s="100"/>
      <c r="T13" s="101"/>
      <c r="U13" s="63"/>
      <c r="V13" s="63"/>
      <c r="W13" s="100"/>
      <c r="X13" s="101"/>
      <c r="Y13" s="63"/>
      <c r="Z13" s="63"/>
      <c r="AA13" s="100"/>
      <c r="AB13" s="101"/>
      <c r="AC13" s="63"/>
      <c r="AD13" s="63"/>
      <c r="AE13" s="100"/>
      <c r="AF13" s="101"/>
      <c r="AG13" s="63"/>
      <c r="AH13" s="63"/>
      <c r="AI13" s="100"/>
      <c r="AJ13" s="101"/>
      <c r="AK13" s="63"/>
      <c r="AL13" s="63"/>
      <c r="AM13" s="100"/>
      <c r="AN13" s="101"/>
      <c r="AO13" s="63"/>
      <c r="AP13" s="63"/>
      <c r="AQ13" s="100"/>
      <c r="AR13" s="101"/>
      <c r="AS13" s="63"/>
      <c r="AT13" s="63"/>
      <c r="AU13" s="100"/>
      <c r="AV13" s="101"/>
      <c r="AW13" s="63"/>
      <c r="AX13" s="63"/>
      <c r="AY13" s="100"/>
      <c r="AZ13" s="101"/>
      <c r="BA13" s="63"/>
      <c r="BB13" s="63"/>
      <c r="BC13" s="100"/>
      <c r="BD13" s="101"/>
      <c r="BE13" s="63"/>
      <c r="BF13" s="63"/>
      <c r="BG13" s="100"/>
      <c r="BH13" s="101"/>
      <c r="BI13" s="63"/>
      <c r="BJ13" s="63"/>
      <c r="BK13" s="100"/>
      <c r="BL13" s="101"/>
      <c r="BM13" s="63"/>
      <c r="BN13" s="63"/>
      <c r="BO13" s="100"/>
      <c r="BP13" s="101"/>
      <c r="BQ13" s="63"/>
      <c r="BR13" s="63"/>
      <c r="BS13" s="100"/>
      <c r="BT13" s="101"/>
      <c r="BU13" s="63"/>
      <c r="BV13" s="63"/>
      <c r="BW13" s="100"/>
      <c r="BX13" s="101"/>
      <c r="BY13" s="63"/>
      <c r="BZ13" s="63"/>
      <c r="CA13" s="100"/>
      <c r="CB13" s="101"/>
      <c r="CC13" s="63"/>
      <c r="CD13" s="63"/>
      <c r="CE13" s="100"/>
      <c r="CF13" s="101"/>
      <c r="CG13" s="63"/>
      <c r="CH13" s="63"/>
      <c r="CI13" s="100"/>
      <c r="CJ13" s="101"/>
      <c r="CK13" s="63"/>
      <c r="CL13" s="63"/>
      <c r="CM13" s="100"/>
      <c r="CN13" s="101"/>
      <c r="CO13" s="63"/>
      <c r="CP13" s="63"/>
      <c r="CQ13" s="100"/>
      <c r="CR13" s="101"/>
      <c r="CS13" s="63"/>
      <c r="CT13" s="63"/>
      <c r="CU13" s="100"/>
      <c r="CV13" s="101"/>
      <c r="CW13" s="63"/>
      <c r="CX13" s="63"/>
      <c r="CY13" s="100"/>
      <c r="CZ13" s="101"/>
      <c r="DA13" s="63"/>
      <c r="DB13" s="63"/>
      <c r="DC13" s="100"/>
      <c r="DD13" s="101"/>
      <c r="DE13" s="63"/>
      <c r="DF13" s="63"/>
      <c r="DG13" s="100"/>
      <c r="DH13" s="101"/>
      <c r="DI13" s="63"/>
      <c r="DJ13" s="63"/>
      <c r="DK13" s="100"/>
      <c r="DL13" s="101"/>
      <c r="DM13" s="63"/>
      <c r="DN13" s="63"/>
      <c r="DO13" s="100"/>
      <c r="DP13" s="101"/>
      <c r="DQ13" s="63"/>
      <c r="DR13" s="63"/>
      <c r="DS13" s="100"/>
      <c r="DT13" s="101"/>
      <c r="DU13" s="63"/>
      <c r="DV13" s="63"/>
      <c r="DW13" s="100"/>
      <c r="DX13" s="101"/>
      <c r="DY13" s="63"/>
      <c r="DZ13" s="63"/>
      <c r="EA13" s="100"/>
      <c r="EB13" s="101"/>
      <c r="EC13" s="63"/>
      <c r="ED13" s="63"/>
      <c r="EE13" s="100"/>
      <c r="EF13" s="101"/>
      <c r="EG13" s="63"/>
      <c r="EH13" s="63"/>
      <c r="EI13" s="100"/>
      <c r="EJ13" s="101"/>
      <c r="EK13" s="63"/>
      <c r="EL13" s="63"/>
      <c r="EM13" s="100"/>
      <c r="EN13" s="101"/>
      <c r="EO13" s="63"/>
      <c r="EP13" s="63"/>
      <c r="EQ13" s="100"/>
      <c r="ER13" s="101"/>
      <c r="ES13" s="63"/>
      <c r="ET13" s="63"/>
      <c r="EU13" s="100"/>
      <c r="EV13" s="101"/>
      <c r="EW13" s="63"/>
      <c r="EX13" s="63"/>
      <c r="EY13" s="100"/>
      <c r="EZ13" s="101"/>
      <c r="FA13" s="63"/>
      <c r="FB13" s="63"/>
      <c r="FC13" s="100"/>
      <c r="FD13" s="101"/>
      <c r="FE13" s="63"/>
      <c r="FF13" s="63"/>
      <c r="FG13" s="100"/>
      <c r="FH13" s="101"/>
      <c r="FI13" s="63"/>
      <c r="FJ13" s="63"/>
      <c r="FK13" s="100"/>
      <c r="FL13" s="101"/>
      <c r="FM13" s="63"/>
      <c r="FN13" s="63"/>
      <c r="FO13" s="100"/>
      <c r="FP13" s="101"/>
      <c r="FQ13" s="63"/>
      <c r="FR13" s="63"/>
      <c r="FS13" s="100"/>
      <c r="FT13" s="101"/>
      <c r="FU13" s="63"/>
      <c r="FV13" s="63"/>
      <c r="FW13" s="100"/>
      <c r="FX13" s="101"/>
      <c r="FY13" s="63"/>
      <c r="FZ13" s="63"/>
      <c r="GA13" s="100"/>
      <c r="GB13" s="101"/>
      <c r="GC13" s="63"/>
      <c r="GD13" s="63"/>
      <c r="GE13" s="100"/>
      <c r="GF13" s="101"/>
      <c r="GG13" s="63"/>
      <c r="GH13" s="63"/>
      <c r="GI13" s="100"/>
      <c r="GJ13" s="101"/>
      <c r="GK13" s="63"/>
      <c r="GL13" s="63"/>
      <c r="GM13" s="100"/>
      <c r="GN13" s="101"/>
      <c r="GO13" s="63"/>
      <c r="GP13" s="63"/>
      <c r="GQ13" s="100"/>
      <c r="GR13" s="101"/>
      <c r="GS13" s="63"/>
      <c r="GT13" s="63"/>
      <c r="GU13" s="100"/>
      <c r="GV13" s="101"/>
      <c r="GW13" s="63"/>
      <c r="GX13" s="63"/>
      <c r="GY13" s="100"/>
      <c r="GZ13" s="101"/>
      <c r="HA13" s="63"/>
      <c r="HB13" s="63"/>
      <c r="HC13" s="100"/>
      <c r="HD13" s="101"/>
      <c r="HE13" s="63"/>
      <c r="HF13" s="63"/>
      <c r="HG13" s="100"/>
      <c r="HH13" s="101"/>
      <c r="HI13" s="63"/>
      <c r="HJ13" s="63"/>
      <c r="HK13" s="100"/>
      <c r="HL13" s="101"/>
      <c r="HM13" s="63"/>
      <c r="HN13" s="63"/>
      <c r="HO13" s="100"/>
      <c r="HP13" s="101"/>
      <c r="HQ13" s="63"/>
      <c r="HR13" s="63"/>
      <c r="HS13" s="100"/>
      <c r="HT13" s="101"/>
      <c r="HU13" s="63"/>
      <c r="HV13" s="63"/>
      <c r="HW13" s="100"/>
      <c r="HX13" s="101"/>
      <c r="HY13" s="63"/>
      <c r="HZ13" s="63"/>
      <c r="IA13" s="100"/>
      <c r="IB13" s="101"/>
      <c r="IC13" s="63"/>
      <c r="ID13" s="63"/>
      <c r="IE13" s="100"/>
      <c r="IF13" s="101"/>
      <c r="IG13" s="63"/>
      <c r="IH13" s="63"/>
      <c r="II13" s="100"/>
      <c r="IJ13" s="101"/>
      <c r="IK13" s="63"/>
      <c r="IL13" s="63"/>
      <c r="IM13" s="100"/>
      <c r="IN13" s="101"/>
      <c r="IO13" s="63"/>
      <c r="IP13" s="63"/>
      <c r="IQ13" s="100"/>
      <c r="IR13" s="101"/>
      <c r="IS13" s="63"/>
      <c r="IT13" s="63"/>
      <c r="IU13" s="100"/>
      <c r="IV13" s="101"/>
      <c r="IW13" s="63"/>
      <c r="IX13" s="63"/>
      <c r="IY13" s="100"/>
      <c r="IZ13" s="101"/>
      <c r="JA13" s="63"/>
      <c r="JB13" s="63"/>
      <c r="JC13" s="100"/>
      <c r="JD13" s="101"/>
      <c r="JE13" s="63"/>
      <c r="JF13" s="63"/>
      <c r="JG13" s="100"/>
      <c r="JH13" s="101"/>
      <c r="JI13" s="63"/>
      <c r="JJ13" s="63"/>
      <c r="JK13" s="100"/>
      <c r="JL13" s="101"/>
      <c r="JM13" s="63"/>
      <c r="JN13" s="63"/>
      <c r="JO13" s="100"/>
      <c r="JP13" s="101"/>
      <c r="JQ13" s="63"/>
      <c r="JR13" s="63"/>
      <c r="JS13" s="100"/>
      <c r="JT13" s="101"/>
      <c r="JU13" s="63"/>
      <c r="JV13" s="63"/>
      <c r="JW13" s="100"/>
      <c r="JX13" s="101"/>
      <c r="JY13" s="63"/>
      <c r="JZ13" s="63"/>
      <c r="KA13" s="100"/>
      <c r="KB13" s="101"/>
      <c r="KC13" s="63"/>
      <c r="KD13" s="63"/>
      <c r="KE13" s="100"/>
      <c r="KF13" s="101"/>
      <c r="KG13" s="63"/>
      <c r="KH13" s="63"/>
    </row>
    <row r="14" spans="1:294" outlineLevel="1" x14ac:dyDescent="0.25">
      <c r="A14" s="118">
        <v>3</v>
      </c>
      <c r="C14" s="100" t="s">
        <v>192</v>
      </c>
      <c r="D14" s="101">
        <f>-'Investimento Inicial'!$B$8</f>
        <v>-4000</v>
      </c>
      <c r="E14" s="63"/>
      <c r="F14" s="63"/>
      <c r="G14" s="100"/>
      <c r="H14" s="101"/>
      <c r="I14" s="63"/>
      <c r="J14" s="63"/>
      <c r="K14" s="100"/>
      <c r="L14" s="101"/>
      <c r="M14" s="63"/>
      <c r="N14" s="63"/>
      <c r="O14" s="100"/>
      <c r="P14" s="101"/>
      <c r="Q14" s="63"/>
      <c r="R14" s="63"/>
      <c r="S14" s="100"/>
      <c r="T14" s="101"/>
      <c r="U14" s="63"/>
      <c r="V14" s="63"/>
      <c r="W14" s="100"/>
      <c r="X14" s="101"/>
      <c r="Y14" s="63"/>
      <c r="Z14" s="63"/>
      <c r="AA14" s="100"/>
      <c r="AB14" s="101"/>
      <c r="AC14" s="63"/>
      <c r="AD14" s="63"/>
      <c r="AE14" s="100"/>
      <c r="AF14" s="101"/>
      <c r="AG14" s="63"/>
      <c r="AH14" s="63"/>
      <c r="AI14" s="100"/>
      <c r="AJ14" s="101"/>
      <c r="AK14" s="63"/>
      <c r="AL14" s="63"/>
      <c r="AM14" s="100"/>
      <c r="AN14" s="101"/>
      <c r="AO14" s="63"/>
      <c r="AP14" s="63"/>
      <c r="AQ14" s="100"/>
      <c r="AR14" s="101"/>
      <c r="AS14" s="63"/>
      <c r="AT14" s="63"/>
      <c r="AU14" s="100"/>
      <c r="AV14" s="101"/>
      <c r="AW14" s="63"/>
      <c r="AX14" s="63"/>
      <c r="AY14" s="100"/>
      <c r="AZ14" s="101"/>
      <c r="BA14" s="63"/>
      <c r="BB14" s="63"/>
      <c r="BC14" s="100"/>
      <c r="BD14" s="101"/>
      <c r="BE14" s="63"/>
      <c r="BF14" s="63"/>
      <c r="BG14" s="100"/>
      <c r="BH14" s="101"/>
      <c r="BI14" s="63"/>
      <c r="BJ14" s="63"/>
      <c r="BK14" s="100"/>
      <c r="BL14" s="101"/>
      <c r="BM14" s="63"/>
      <c r="BN14" s="63"/>
      <c r="BO14" s="100"/>
      <c r="BP14" s="101"/>
      <c r="BQ14" s="63"/>
      <c r="BR14" s="63"/>
      <c r="BS14" s="100"/>
      <c r="BT14" s="101"/>
      <c r="BU14" s="63"/>
      <c r="BV14" s="63"/>
      <c r="BW14" s="100"/>
      <c r="BX14" s="101"/>
      <c r="BY14" s="63"/>
      <c r="BZ14" s="63"/>
      <c r="CA14" s="100"/>
      <c r="CB14" s="101"/>
      <c r="CC14" s="63"/>
      <c r="CD14" s="63"/>
      <c r="CE14" s="100"/>
      <c r="CF14" s="101"/>
      <c r="CG14" s="63"/>
      <c r="CH14" s="63"/>
      <c r="CI14" s="100"/>
      <c r="CJ14" s="101"/>
      <c r="CK14" s="63"/>
      <c r="CL14" s="63"/>
      <c r="CM14" s="100"/>
      <c r="CN14" s="101"/>
      <c r="CO14" s="63"/>
      <c r="CP14" s="63"/>
      <c r="CQ14" s="100"/>
      <c r="CR14" s="101"/>
      <c r="CS14" s="63"/>
      <c r="CT14" s="63"/>
      <c r="CU14" s="100"/>
      <c r="CV14" s="101"/>
      <c r="CW14" s="63"/>
      <c r="CX14" s="63"/>
      <c r="CY14" s="100"/>
      <c r="CZ14" s="101"/>
      <c r="DA14" s="63"/>
      <c r="DB14" s="63"/>
      <c r="DC14" s="100"/>
      <c r="DD14" s="101"/>
      <c r="DE14" s="63"/>
      <c r="DF14" s="63"/>
      <c r="DG14" s="100"/>
      <c r="DH14" s="101"/>
      <c r="DI14" s="63"/>
      <c r="DJ14" s="63"/>
      <c r="DK14" s="100"/>
      <c r="DL14" s="101"/>
      <c r="DM14" s="63"/>
      <c r="DN14" s="63"/>
      <c r="DO14" s="100"/>
      <c r="DP14" s="101"/>
      <c r="DQ14" s="63"/>
      <c r="DR14" s="63"/>
      <c r="DS14" s="100"/>
      <c r="DT14" s="101"/>
      <c r="DU14" s="63"/>
      <c r="DV14" s="63"/>
      <c r="DW14" s="100"/>
      <c r="DX14" s="101"/>
      <c r="DY14" s="63"/>
      <c r="DZ14" s="63"/>
      <c r="EA14" s="100"/>
      <c r="EB14" s="101"/>
      <c r="EC14" s="63"/>
      <c r="ED14" s="63"/>
      <c r="EE14" s="100"/>
      <c r="EF14" s="101"/>
      <c r="EG14" s="63"/>
      <c r="EH14" s="63"/>
      <c r="EI14" s="100"/>
      <c r="EJ14" s="101"/>
      <c r="EK14" s="63"/>
      <c r="EL14" s="63"/>
      <c r="EM14" s="100"/>
      <c r="EN14" s="101"/>
      <c r="EO14" s="63"/>
      <c r="EP14" s="63"/>
      <c r="EQ14" s="100"/>
      <c r="ER14" s="101"/>
      <c r="ES14" s="63"/>
      <c r="ET14" s="63"/>
      <c r="EU14" s="100"/>
      <c r="EV14" s="101"/>
      <c r="EW14" s="63"/>
      <c r="EX14" s="63"/>
      <c r="EY14" s="100"/>
      <c r="EZ14" s="101"/>
      <c r="FA14" s="63"/>
      <c r="FB14" s="63"/>
      <c r="FC14" s="100"/>
      <c r="FD14" s="101"/>
      <c r="FE14" s="63"/>
      <c r="FF14" s="63"/>
      <c r="FG14" s="100"/>
      <c r="FH14" s="101"/>
      <c r="FI14" s="63"/>
      <c r="FJ14" s="63"/>
      <c r="FK14" s="100"/>
      <c r="FL14" s="101"/>
      <c r="FM14" s="63"/>
      <c r="FN14" s="63"/>
      <c r="FO14" s="100"/>
      <c r="FP14" s="101"/>
      <c r="FQ14" s="63"/>
      <c r="FR14" s="63"/>
      <c r="FS14" s="100"/>
      <c r="FT14" s="101"/>
      <c r="FU14" s="63"/>
      <c r="FV14" s="63"/>
      <c r="FW14" s="100"/>
      <c r="FX14" s="101"/>
      <c r="FY14" s="63"/>
      <c r="FZ14" s="63"/>
      <c r="GA14" s="100"/>
      <c r="GB14" s="101"/>
      <c r="GC14" s="63"/>
      <c r="GD14" s="63"/>
      <c r="GE14" s="100"/>
      <c r="GF14" s="101"/>
      <c r="GG14" s="63"/>
      <c r="GH14" s="63"/>
      <c r="GI14" s="100"/>
      <c r="GJ14" s="101"/>
      <c r="GK14" s="63"/>
      <c r="GL14" s="63"/>
      <c r="GM14" s="100"/>
      <c r="GN14" s="101"/>
      <c r="GO14" s="63"/>
      <c r="GP14" s="63"/>
      <c r="GQ14" s="100"/>
      <c r="GR14" s="101"/>
      <c r="GS14" s="63"/>
      <c r="GT14" s="63"/>
      <c r="GU14" s="100"/>
      <c r="GV14" s="101"/>
      <c r="GW14" s="63"/>
      <c r="GX14" s="63"/>
      <c r="GY14" s="100"/>
      <c r="GZ14" s="101"/>
      <c r="HA14" s="63"/>
      <c r="HB14" s="63"/>
      <c r="HC14" s="100"/>
      <c r="HD14" s="101"/>
      <c r="HE14" s="63"/>
      <c r="HF14" s="63"/>
      <c r="HG14" s="100"/>
      <c r="HH14" s="101"/>
      <c r="HI14" s="63"/>
      <c r="HJ14" s="63"/>
      <c r="HK14" s="100"/>
      <c r="HL14" s="101"/>
      <c r="HM14" s="63"/>
      <c r="HN14" s="63"/>
      <c r="HO14" s="100"/>
      <c r="HP14" s="101"/>
      <c r="HQ14" s="63"/>
      <c r="HR14" s="63"/>
      <c r="HS14" s="100"/>
      <c r="HT14" s="101"/>
      <c r="HU14" s="63"/>
      <c r="HV14" s="63"/>
      <c r="HW14" s="100"/>
      <c r="HX14" s="101"/>
      <c r="HY14" s="63"/>
      <c r="HZ14" s="63"/>
      <c r="IA14" s="100"/>
      <c r="IB14" s="101"/>
      <c r="IC14" s="63"/>
      <c r="ID14" s="63"/>
      <c r="IE14" s="100"/>
      <c r="IF14" s="101"/>
      <c r="IG14" s="63"/>
      <c r="IH14" s="63"/>
      <c r="II14" s="100"/>
      <c r="IJ14" s="101"/>
      <c r="IK14" s="63"/>
      <c r="IL14" s="63"/>
      <c r="IM14" s="100"/>
      <c r="IN14" s="101"/>
      <c r="IO14" s="63"/>
      <c r="IP14" s="63"/>
      <c r="IQ14" s="100"/>
      <c r="IR14" s="101"/>
      <c r="IS14" s="63"/>
      <c r="IT14" s="63"/>
      <c r="IU14" s="100"/>
      <c r="IV14" s="101"/>
      <c r="IW14" s="63"/>
      <c r="IX14" s="63"/>
      <c r="IY14" s="100"/>
      <c r="IZ14" s="101"/>
      <c r="JA14" s="63"/>
      <c r="JB14" s="63"/>
      <c r="JC14" s="100"/>
      <c r="JD14" s="101"/>
      <c r="JE14" s="63"/>
      <c r="JF14" s="63"/>
      <c r="JG14" s="100"/>
      <c r="JH14" s="101"/>
      <c r="JI14" s="63"/>
      <c r="JJ14" s="63"/>
      <c r="JK14" s="100"/>
      <c r="JL14" s="101"/>
      <c r="JM14" s="63"/>
      <c r="JN14" s="63"/>
      <c r="JO14" s="100"/>
      <c r="JP14" s="101"/>
      <c r="JQ14" s="63"/>
      <c r="JR14" s="63"/>
      <c r="JS14" s="100"/>
      <c r="JT14" s="101"/>
      <c r="JU14" s="63"/>
      <c r="JV14" s="63"/>
      <c r="JW14" s="100"/>
      <c r="JX14" s="101"/>
      <c r="JY14" s="63"/>
      <c r="JZ14" s="63"/>
      <c r="KA14" s="100"/>
      <c r="KB14" s="101"/>
      <c r="KC14" s="63"/>
      <c r="KD14" s="63"/>
      <c r="KE14" s="100"/>
      <c r="KF14" s="101"/>
      <c r="KG14" s="63"/>
      <c r="KH14" s="63"/>
    </row>
    <row r="15" spans="1:294" outlineLevel="1" x14ac:dyDescent="0.25">
      <c r="A15" s="45"/>
      <c r="C15" s="100" t="s">
        <v>193</v>
      </c>
      <c r="D15" s="101">
        <f>-'Investimento Inicial'!$B$9</f>
        <v>-3000</v>
      </c>
      <c r="E15" s="63"/>
      <c r="F15" s="63"/>
      <c r="G15" s="100"/>
      <c r="H15" s="101"/>
      <c r="I15" s="63"/>
      <c r="J15" s="63"/>
      <c r="K15" s="100"/>
      <c r="L15" s="101"/>
      <c r="M15" s="63"/>
      <c r="N15" s="63"/>
      <c r="O15" s="100"/>
      <c r="P15" s="101"/>
      <c r="Q15" s="63"/>
      <c r="R15" s="63"/>
      <c r="S15" s="100"/>
      <c r="T15" s="101"/>
      <c r="U15" s="63"/>
      <c r="V15" s="63"/>
      <c r="W15" s="100"/>
      <c r="X15" s="101"/>
      <c r="Y15" s="63"/>
      <c r="Z15" s="63"/>
      <c r="AA15" s="100"/>
      <c r="AB15" s="101"/>
      <c r="AC15" s="63"/>
      <c r="AD15" s="63"/>
      <c r="AE15" s="100"/>
      <c r="AF15" s="101"/>
      <c r="AG15" s="63"/>
      <c r="AH15" s="63"/>
      <c r="AI15" s="100"/>
      <c r="AJ15" s="101"/>
      <c r="AK15" s="63"/>
      <c r="AL15" s="63"/>
      <c r="AM15" s="100"/>
      <c r="AN15" s="101"/>
      <c r="AO15" s="63"/>
      <c r="AP15" s="63"/>
      <c r="AQ15" s="100"/>
      <c r="AR15" s="101"/>
      <c r="AS15" s="63"/>
      <c r="AT15" s="63"/>
      <c r="AU15" s="100"/>
      <c r="AV15" s="101"/>
      <c r="AW15" s="63"/>
      <c r="AX15" s="63"/>
      <c r="AY15" s="100"/>
      <c r="AZ15" s="101"/>
      <c r="BA15" s="63"/>
      <c r="BB15" s="63"/>
      <c r="BC15" s="100"/>
      <c r="BD15" s="101"/>
      <c r="BE15" s="63"/>
      <c r="BF15" s="63"/>
      <c r="BG15" s="100"/>
      <c r="BH15" s="101"/>
      <c r="BI15" s="63"/>
      <c r="BJ15" s="63"/>
      <c r="BK15" s="100"/>
      <c r="BL15" s="101"/>
      <c r="BM15" s="63"/>
      <c r="BN15" s="63"/>
      <c r="BO15" s="100"/>
      <c r="BP15" s="101"/>
      <c r="BQ15" s="63"/>
      <c r="BR15" s="63"/>
      <c r="BS15" s="100"/>
      <c r="BT15" s="101"/>
      <c r="BU15" s="63"/>
      <c r="BV15" s="63"/>
      <c r="BW15" s="100"/>
      <c r="BX15" s="101"/>
      <c r="BY15" s="63"/>
      <c r="BZ15" s="63"/>
      <c r="CA15" s="100"/>
      <c r="CB15" s="101"/>
      <c r="CC15" s="63"/>
      <c r="CD15" s="63"/>
      <c r="CE15" s="100"/>
      <c r="CF15" s="101"/>
      <c r="CG15" s="63"/>
      <c r="CH15" s="63"/>
      <c r="CI15" s="100"/>
      <c r="CJ15" s="101"/>
      <c r="CK15" s="63"/>
      <c r="CL15" s="63"/>
      <c r="CM15" s="100"/>
      <c r="CN15" s="101"/>
      <c r="CO15" s="63"/>
      <c r="CP15" s="63"/>
      <c r="CQ15" s="100"/>
      <c r="CR15" s="101"/>
      <c r="CS15" s="63"/>
      <c r="CT15" s="63"/>
      <c r="CU15" s="100"/>
      <c r="CV15" s="101"/>
      <c r="CW15" s="63"/>
      <c r="CX15" s="63"/>
      <c r="CY15" s="100"/>
      <c r="CZ15" s="101"/>
      <c r="DA15" s="63"/>
      <c r="DB15" s="63"/>
      <c r="DC15" s="100"/>
      <c r="DD15" s="101"/>
      <c r="DE15" s="63"/>
      <c r="DF15" s="63"/>
      <c r="DG15" s="100"/>
      <c r="DH15" s="101"/>
      <c r="DI15" s="63"/>
      <c r="DJ15" s="63"/>
      <c r="DK15" s="100"/>
      <c r="DL15" s="101"/>
      <c r="DM15" s="63"/>
      <c r="DN15" s="63"/>
      <c r="DO15" s="100"/>
      <c r="DP15" s="101"/>
      <c r="DQ15" s="63"/>
      <c r="DR15" s="63"/>
      <c r="DS15" s="100"/>
      <c r="DT15" s="101"/>
      <c r="DU15" s="63"/>
      <c r="DV15" s="63"/>
      <c r="DW15" s="100"/>
      <c r="DX15" s="101"/>
      <c r="DY15" s="63"/>
      <c r="DZ15" s="63"/>
      <c r="EA15" s="100"/>
      <c r="EB15" s="101"/>
      <c r="EC15" s="63"/>
      <c r="ED15" s="63"/>
      <c r="EE15" s="100"/>
      <c r="EF15" s="101"/>
      <c r="EG15" s="63"/>
      <c r="EH15" s="63"/>
      <c r="EI15" s="100"/>
      <c r="EJ15" s="101"/>
      <c r="EK15" s="63"/>
      <c r="EL15" s="63"/>
      <c r="EM15" s="100"/>
      <c r="EN15" s="101"/>
      <c r="EO15" s="63"/>
      <c r="EP15" s="63"/>
      <c r="EQ15" s="100"/>
      <c r="ER15" s="101"/>
      <c r="ES15" s="63"/>
      <c r="ET15" s="63"/>
      <c r="EU15" s="100"/>
      <c r="EV15" s="101"/>
      <c r="EW15" s="63"/>
      <c r="EX15" s="63"/>
      <c r="EY15" s="100"/>
      <c r="EZ15" s="101"/>
      <c r="FA15" s="63"/>
      <c r="FB15" s="63"/>
      <c r="FC15" s="100"/>
      <c r="FD15" s="101"/>
      <c r="FE15" s="63"/>
      <c r="FF15" s="63"/>
      <c r="FG15" s="100"/>
      <c r="FH15" s="101"/>
      <c r="FI15" s="63"/>
      <c r="FJ15" s="63"/>
      <c r="FK15" s="100"/>
      <c r="FL15" s="101"/>
      <c r="FM15" s="63"/>
      <c r="FN15" s="63"/>
      <c r="FO15" s="100"/>
      <c r="FP15" s="101"/>
      <c r="FQ15" s="63"/>
      <c r="FR15" s="63"/>
      <c r="FS15" s="100"/>
      <c r="FT15" s="101"/>
      <c r="FU15" s="63"/>
      <c r="FV15" s="63"/>
      <c r="FW15" s="100"/>
      <c r="FX15" s="101"/>
      <c r="FY15" s="63"/>
      <c r="FZ15" s="63"/>
      <c r="GA15" s="100"/>
      <c r="GB15" s="101"/>
      <c r="GC15" s="63"/>
      <c r="GD15" s="63"/>
      <c r="GE15" s="100"/>
      <c r="GF15" s="101"/>
      <c r="GG15" s="63"/>
      <c r="GH15" s="63"/>
      <c r="GI15" s="100"/>
      <c r="GJ15" s="101"/>
      <c r="GK15" s="63"/>
      <c r="GL15" s="63"/>
      <c r="GM15" s="100"/>
      <c r="GN15" s="101"/>
      <c r="GO15" s="63"/>
      <c r="GP15" s="63"/>
      <c r="GQ15" s="100"/>
      <c r="GR15" s="101"/>
      <c r="GS15" s="63"/>
      <c r="GT15" s="63"/>
      <c r="GU15" s="100"/>
      <c r="GV15" s="101"/>
      <c r="GW15" s="63"/>
      <c r="GX15" s="63"/>
      <c r="GY15" s="100"/>
      <c r="GZ15" s="101"/>
      <c r="HA15" s="63"/>
      <c r="HB15" s="63"/>
      <c r="HC15" s="100"/>
      <c r="HD15" s="101"/>
      <c r="HE15" s="63"/>
      <c r="HF15" s="63"/>
      <c r="HG15" s="100"/>
      <c r="HH15" s="101"/>
      <c r="HI15" s="63"/>
      <c r="HJ15" s="63"/>
      <c r="HK15" s="100"/>
      <c r="HL15" s="101"/>
      <c r="HM15" s="63"/>
      <c r="HN15" s="63"/>
      <c r="HO15" s="100"/>
      <c r="HP15" s="101"/>
      <c r="HQ15" s="63"/>
      <c r="HR15" s="63"/>
      <c r="HS15" s="100"/>
      <c r="HT15" s="101"/>
      <c r="HU15" s="63"/>
      <c r="HV15" s="63"/>
      <c r="HW15" s="100"/>
      <c r="HX15" s="101"/>
      <c r="HY15" s="63"/>
      <c r="HZ15" s="63"/>
      <c r="IA15" s="100"/>
      <c r="IB15" s="101"/>
      <c r="IC15" s="63"/>
      <c r="ID15" s="63"/>
      <c r="IE15" s="100"/>
      <c r="IF15" s="101"/>
      <c r="IG15" s="63"/>
      <c r="IH15" s="63"/>
      <c r="II15" s="100"/>
      <c r="IJ15" s="101"/>
      <c r="IK15" s="63"/>
      <c r="IL15" s="63"/>
      <c r="IM15" s="100"/>
      <c r="IN15" s="101"/>
      <c r="IO15" s="63"/>
      <c r="IP15" s="63"/>
      <c r="IQ15" s="100"/>
      <c r="IR15" s="101"/>
      <c r="IS15" s="63"/>
      <c r="IT15" s="63"/>
      <c r="IU15" s="100"/>
      <c r="IV15" s="101"/>
      <c r="IW15" s="63"/>
      <c r="IX15" s="63"/>
      <c r="IY15" s="100"/>
      <c r="IZ15" s="101"/>
      <c r="JA15" s="63"/>
      <c r="JB15" s="63"/>
      <c r="JC15" s="100"/>
      <c r="JD15" s="101"/>
      <c r="JE15" s="63"/>
      <c r="JF15" s="63"/>
      <c r="JG15" s="100"/>
      <c r="JH15" s="101"/>
      <c r="JI15" s="63"/>
      <c r="JJ15" s="63"/>
      <c r="JK15" s="100"/>
      <c r="JL15" s="101"/>
      <c r="JM15" s="63"/>
      <c r="JN15" s="63"/>
      <c r="JO15" s="100"/>
      <c r="JP15" s="101"/>
      <c r="JQ15" s="63"/>
      <c r="JR15" s="63"/>
      <c r="JS15" s="100"/>
      <c r="JT15" s="101"/>
      <c r="JU15" s="63"/>
      <c r="JV15" s="63"/>
      <c r="JW15" s="100"/>
      <c r="JX15" s="101"/>
      <c r="JY15" s="63"/>
      <c r="JZ15" s="63"/>
      <c r="KA15" s="100"/>
      <c r="KB15" s="101"/>
      <c r="KC15" s="63"/>
      <c r="KD15" s="63"/>
      <c r="KE15" s="100"/>
      <c r="KF15" s="101"/>
      <c r="KG15" s="63"/>
      <c r="KH15" s="63"/>
    </row>
    <row r="16" spans="1:294" outlineLevel="1" x14ac:dyDescent="0.25">
      <c r="C16" s="102" t="str">
        <f ca="1">IF(C$12&lt;&gt;"", "Frete do café verde", "")</f>
        <v>Frete do café verde</v>
      </c>
      <c r="D16" s="101">
        <f ca="1">IF(D$12&lt;&gt;"", -1000,"")</f>
        <v>-1000</v>
      </c>
      <c r="E16" s="63"/>
      <c r="F16" s="63"/>
      <c r="G16" s="102" t="str">
        <f ca="1">IF(G$12&lt;&gt;"", "Frete do café verde", "")</f>
        <v/>
      </c>
      <c r="H16" s="101" t="str">
        <f ca="1">IF(H$12&lt;&gt;"", -1000,"")</f>
        <v/>
      </c>
      <c r="I16" s="63"/>
      <c r="J16" s="63"/>
      <c r="K16" s="102" t="str">
        <f t="shared" ref="K16" ca="1" si="716">IF(K$12&lt;&gt;"", "Frete do café verde", "")</f>
        <v/>
      </c>
      <c r="L16" s="101" t="str">
        <f t="shared" ref="L16" ca="1" si="717">IF(L$12&lt;&gt;"", -1000,"")</f>
        <v/>
      </c>
      <c r="M16" s="63"/>
      <c r="N16" s="63"/>
      <c r="O16" s="102" t="str">
        <f t="shared" ref="O16" ca="1" si="718">IF(O$12&lt;&gt;"", "Frete do café verde", "")</f>
        <v>Frete do café verde</v>
      </c>
      <c r="P16" s="101">
        <f t="shared" ref="P16" ca="1" si="719">IF(P$12&lt;&gt;"", -1000,"")</f>
        <v>-1000</v>
      </c>
      <c r="Q16" s="63"/>
      <c r="R16" s="63"/>
      <c r="S16" s="102" t="str">
        <f t="shared" ref="S16" ca="1" si="720">IF(S$12&lt;&gt;"", "Frete do café verde", "")</f>
        <v/>
      </c>
      <c r="T16" s="101" t="str">
        <f t="shared" ref="T16" ca="1" si="721">IF(T$12&lt;&gt;"", -1000,"")</f>
        <v/>
      </c>
      <c r="U16" s="63"/>
      <c r="V16" s="63"/>
      <c r="W16" s="102" t="str">
        <f t="shared" ref="W16" ca="1" si="722">IF(W$12&lt;&gt;"", "Frete do café verde", "")</f>
        <v/>
      </c>
      <c r="X16" s="101" t="str">
        <f t="shared" ref="X16" ca="1" si="723">IF(X$12&lt;&gt;"", -1000,"")</f>
        <v/>
      </c>
      <c r="Y16" s="63"/>
      <c r="Z16" s="63"/>
      <c r="AA16" s="102" t="str">
        <f t="shared" ref="AA16" ca="1" si="724">IF(AA$12&lt;&gt;"", "Frete do café verde", "")</f>
        <v>Frete do café verde</v>
      </c>
      <c r="AB16" s="101">
        <f t="shared" ref="AB16" ca="1" si="725">IF(AB$12&lt;&gt;"", -1000,"")</f>
        <v>-1000</v>
      </c>
      <c r="AC16" s="63"/>
      <c r="AD16" s="63"/>
      <c r="AE16" s="102" t="str">
        <f t="shared" ref="AE16" ca="1" si="726">IF(AE$12&lt;&gt;"", "Frete do café verde", "")</f>
        <v/>
      </c>
      <c r="AF16" s="101" t="str">
        <f t="shared" ref="AF16" ca="1" si="727">IF(AF$12&lt;&gt;"", -1000,"")</f>
        <v/>
      </c>
      <c r="AG16" s="63"/>
      <c r="AH16" s="63"/>
      <c r="AI16" s="102" t="str">
        <f t="shared" ref="AI16" ca="1" si="728">IF(AI$12&lt;&gt;"", "Frete do café verde", "")</f>
        <v/>
      </c>
      <c r="AJ16" s="101" t="str">
        <f t="shared" ref="AJ16" ca="1" si="729">IF(AJ$12&lt;&gt;"", -1000,"")</f>
        <v/>
      </c>
      <c r="AK16" s="63"/>
      <c r="AL16" s="63"/>
      <c r="AM16" s="102" t="str">
        <f t="shared" ref="AM16" ca="1" si="730">IF(AM$12&lt;&gt;"", "Frete do café verde", "")</f>
        <v>Frete do café verde</v>
      </c>
      <c r="AN16" s="101">
        <f t="shared" ref="AN16" ca="1" si="731">IF(AN$12&lt;&gt;"", -1000,"")</f>
        <v>-1000</v>
      </c>
      <c r="AO16" s="63"/>
      <c r="AP16" s="63"/>
      <c r="AQ16" s="102" t="str">
        <f t="shared" ref="AQ16" ca="1" si="732">IF(AQ$12&lt;&gt;"", "Frete do café verde", "")</f>
        <v/>
      </c>
      <c r="AR16" s="101" t="str">
        <f t="shared" ref="AR16" ca="1" si="733">IF(AR$12&lt;&gt;"", -1000,"")</f>
        <v/>
      </c>
      <c r="AS16" s="63"/>
      <c r="AT16" s="63"/>
      <c r="AU16" s="102" t="str">
        <f t="shared" ref="AU16" ca="1" si="734">IF(AU$12&lt;&gt;"", "Frete do café verde", "")</f>
        <v/>
      </c>
      <c r="AV16" s="101" t="str">
        <f t="shared" ref="AV16" ca="1" si="735">IF(AV$12&lt;&gt;"", -1000,"")</f>
        <v/>
      </c>
      <c r="AW16" s="63"/>
      <c r="AX16" s="63"/>
      <c r="AY16" s="102" t="str">
        <f t="shared" ref="AY16" ca="1" si="736">IF(AY$12&lt;&gt;"", "Frete do café verde", "")</f>
        <v>Frete do café verde</v>
      </c>
      <c r="AZ16" s="101">
        <f t="shared" ref="AZ16" ca="1" si="737">IF(AZ$12&lt;&gt;"", -1000,"")</f>
        <v>-1000</v>
      </c>
      <c r="BA16" s="63"/>
      <c r="BB16" s="63"/>
      <c r="BC16" s="102" t="str">
        <f t="shared" ref="BC16" ca="1" si="738">IF(BC$12&lt;&gt;"", "Frete do café verde", "")</f>
        <v/>
      </c>
      <c r="BD16" s="101" t="str">
        <f t="shared" ref="BD16" ca="1" si="739">IF(BD$12&lt;&gt;"", -1000,"")</f>
        <v/>
      </c>
      <c r="BE16" s="63"/>
      <c r="BF16" s="63"/>
      <c r="BG16" s="102" t="str">
        <f t="shared" ref="BG16" ca="1" si="740">IF(BG$12&lt;&gt;"", "Frete do café verde", "")</f>
        <v/>
      </c>
      <c r="BH16" s="101" t="str">
        <f t="shared" ref="BH16" ca="1" si="741">IF(BH$12&lt;&gt;"", -1000,"")</f>
        <v/>
      </c>
      <c r="BI16" s="63"/>
      <c r="BJ16" s="63"/>
      <c r="BK16" s="102" t="str">
        <f t="shared" ref="BK16" ca="1" si="742">IF(BK$12&lt;&gt;"", "Frete do café verde", "")</f>
        <v>Frete do café verde</v>
      </c>
      <c r="BL16" s="101">
        <f t="shared" ref="BL16" ca="1" si="743">IF(BL$12&lt;&gt;"", -1000,"")</f>
        <v>-1000</v>
      </c>
      <c r="BM16" s="63"/>
      <c r="BN16" s="63"/>
      <c r="BO16" s="102" t="str">
        <f t="shared" ref="BO16" ca="1" si="744">IF(BO$12&lt;&gt;"", "Frete do café verde", "")</f>
        <v/>
      </c>
      <c r="BP16" s="101" t="str">
        <f t="shared" ref="BP16" ca="1" si="745">IF(BP$12&lt;&gt;"", -1000,"")</f>
        <v/>
      </c>
      <c r="BQ16" s="63"/>
      <c r="BR16" s="63"/>
      <c r="BS16" s="102" t="str">
        <f t="shared" ref="BS16" ca="1" si="746">IF(BS$12&lt;&gt;"", "Frete do café verde", "")</f>
        <v/>
      </c>
      <c r="BT16" s="101" t="str">
        <f t="shared" ref="BT16" ca="1" si="747">IF(BT$12&lt;&gt;"", -1000,"")</f>
        <v/>
      </c>
      <c r="BU16" s="63"/>
      <c r="BV16" s="63"/>
      <c r="BW16" s="102" t="str">
        <f t="shared" ref="BW16" ca="1" si="748">IF(BW$12&lt;&gt;"", "Frete do café verde", "")</f>
        <v>Frete do café verde</v>
      </c>
      <c r="BX16" s="101">
        <f t="shared" ref="BX16" ca="1" si="749">IF(BX$12&lt;&gt;"", -1000,"")</f>
        <v>-1000</v>
      </c>
      <c r="BY16" s="63"/>
      <c r="BZ16" s="63"/>
      <c r="CA16" s="102" t="str">
        <f t="shared" ref="CA16" ca="1" si="750">IF(CA$12&lt;&gt;"", "Frete do café verde", "")</f>
        <v/>
      </c>
      <c r="CB16" s="101" t="str">
        <f t="shared" ref="CB16" ca="1" si="751">IF(CB$12&lt;&gt;"", -1000,"")</f>
        <v/>
      </c>
      <c r="CC16" s="63"/>
      <c r="CD16" s="63"/>
      <c r="CE16" s="102" t="str">
        <f t="shared" ref="CE16" ca="1" si="752">IF(CE$12&lt;&gt;"", "Frete do café verde", "")</f>
        <v/>
      </c>
      <c r="CF16" s="101" t="str">
        <f t="shared" ref="CF16" ca="1" si="753">IF(CF$12&lt;&gt;"", -1000,"")</f>
        <v/>
      </c>
      <c r="CG16" s="63"/>
      <c r="CH16" s="63"/>
      <c r="CI16" s="102" t="str">
        <f t="shared" ref="CI16" ca="1" si="754">IF(CI$12&lt;&gt;"", "Frete do café verde", "")</f>
        <v>Frete do café verde</v>
      </c>
      <c r="CJ16" s="101">
        <f t="shared" ref="CJ16" ca="1" si="755">IF(CJ$12&lt;&gt;"", -1000,"")</f>
        <v>-1000</v>
      </c>
      <c r="CK16" s="63"/>
      <c r="CL16" s="63"/>
      <c r="CM16" s="102" t="str">
        <f t="shared" ref="CM16" ca="1" si="756">IF(CM$12&lt;&gt;"", "Frete do café verde", "")</f>
        <v/>
      </c>
      <c r="CN16" s="101" t="str">
        <f t="shared" ref="CN16" ca="1" si="757">IF(CN$12&lt;&gt;"", -1000,"")</f>
        <v/>
      </c>
      <c r="CO16" s="63"/>
      <c r="CP16" s="63"/>
      <c r="CQ16" s="102" t="str">
        <f t="shared" ref="CQ16" ca="1" si="758">IF(CQ$12&lt;&gt;"", "Frete do café verde", "")</f>
        <v/>
      </c>
      <c r="CR16" s="101" t="str">
        <f t="shared" ref="CR16" ca="1" si="759">IF(CR$12&lt;&gt;"", -1000,"")</f>
        <v/>
      </c>
      <c r="CS16" s="63"/>
      <c r="CT16" s="63"/>
      <c r="CU16" s="102" t="str">
        <f t="shared" ref="CU16" ca="1" si="760">IF(CU$12&lt;&gt;"", "Frete do café verde", "")</f>
        <v>Frete do café verde</v>
      </c>
      <c r="CV16" s="101">
        <f t="shared" ref="CV16" ca="1" si="761">IF(CV$12&lt;&gt;"", -1000,"")</f>
        <v>-1000</v>
      </c>
      <c r="CW16" s="63"/>
      <c r="CX16" s="63"/>
      <c r="CY16" s="102" t="str">
        <f t="shared" ref="CY16" ca="1" si="762">IF(CY$12&lt;&gt;"", "Frete do café verde", "")</f>
        <v/>
      </c>
      <c r="CZ16" s="101" t="str">
        <f t="shared" ref="CZ16" ca="1" si="763">IF(CZ$12&lt;&gt;"", -1000,"")</f>
        <v/>
      </c>
      <c r="DA16" s="63"/>
      <c r="DB16" s="63"/>
      <c r="DC16" s="102" t="str">
        <f t="shared" ref="DC16" ca="1" si="764">IF(DC$12&lt;&gt;"", "Frete do café verde", "")</f>
        <v/>
      </c>
      <c r="DD16" s="101" t="str">
        <f t="shared" ref="DD16" ca="1" si="765">IF(DD$12&lt;&gt;"", -1000,"")</f>
        <v/>
      </c>
      <c r="DE16" s="63"/>
      <c r="DF16" s="63"/>
      <c r="DG16" s="102" t="str">
        <f t="shared" ref="DG16" ca="1" si="766">IF(DG$12&lt;&gt;"", "Frete do café verde", "")</f>
        <v>Frete do café verde</v>
      </c>
      <c r="DH16" s="101">
        <f t="shared" ref="DH16" ca="1" si="767">IF(DH$12&lt;&gt;"", -1000,"")</f>
        <v>-1000</v>
      </c>
      <c r="DI16" s="63"/>
      <c r="DJ16" s="63"/>
      <c r="DK16" s="102" t="str">
        <f t="shared" ref="DK16" ca="1" si="768">IF(DK$12&lt;&gt;"", "Frete do café verde", "")</f>
        <v/>
      </c>
      <c r="DL16" s="101" t="str">
        <f t="shared" ref="DL16" ca="1" si="769">IF(DL$12&lt;&gt;"", -1000,"")</f>
        <v/>
      </c>
      <c r="DM16" s="63"/>
      <c r="DN16" s="63"/>
      <c r="DO16" s="102" t="str">
        <f t="shared" ref="DO16" ca="1" si="770">IF(DO$12&lt;&gt;"", "Frete do café verde", "")</f>
        <v/>
      </c>
      <c r="DP16" s="101" t="str">
        <f t="shared" ref="DP16" ca="1" si="771">IF(DP$12&lt;&gt;"", -1000,"")</f>
        <v/>
      </c>
      <c r="DQ16" s="63"/>
      <c r="DR16" s="63"/>
      <c r="DS16" s="102" t="str">
        <f t="shared" ref="DS16" ca="1" si="772">IF(DS$12&lt;&gt;"", "Frete do café verde", "")</f>
        <v>Frete do café verde</v>
      </c>
      <c r="DT16" s="101">
        <f t="shared" ref="DT16" ca="1" si="773">IF(DT$12&lt;&gt;"", -1000,"")</f>
        <v>-1000</v>
      </c>
      <c r="DU16" s="63"/>
      <c r="DV16" s="63"/>
      <c r="DW16" s="102" t="str">
        <f t="shared" ref="DW16" ca="1" si="774">IF(DW$12&lt;&gt;"", "Frete do café verde", "")</f>
        <v/>
      </c>
      <c r="DX16" s="101" t="str">
        <f t="shared" ref="DX16" ca="1" si="775">IF(DX$12&lt;&gt;"", -1000,"")</f>
        <v/>
      </c>
      <c r="DY16" s="63"/>
      <c r="DZ16" s="63"/>
      <c r="EA16" s="102" t="str">
        <f t="shared" ref="EA16" ca="1" si="776">IF(EA$12&lt;&gt;"", "Frete do café verde", "")</f>
        <v/>
      </c>
      <c r="EB16" s="101" t="str">
        <f t="shared" ref="EB16" ca="1" si="777">IF(EB$12&lt;&gt;"", -1000,"")</f>
        <v/>
      </c>
      <c r="EC16" s="63"/>
      <c r="ED16" s="63"/>
      <c r="EE16" s="102" t="str">
        <f t="shared" ref="EE16" ca="1" si="778">IF(EE$12&lt;&gt;"", "Frete do café verde", "")</f>
        <v>Frete do café verde</v>
      </c>
      <c r="EF16" s="101">
        <f t="shared" ref="EF16" ca="1" si="779">IF(EF$12&lt;&gt;"", -1000,"")</f>
        <v>-1000</v>
      </c>
      <c r="EG16" s="63"/>
      <c r="EH16" s="63"/>
      <c r="EI16" s="102" t="str">
        <f t="shared" ref="EI16" ca="1" si="780">IF(EI$12&lt;&gt;"", "Frete do café verde", "")</f>
        <v/>
      </c>
      <c r="EJ16" s="101" t="str">
        <f t="shared" ref="EJ16" ca="1" si="781">IF(EJ$12&lt;&gt;"", -1000,"")</f>
        <v/>
      </c>
      <c r="EK16" s="63"/>
      <c r="EL16" s="63"/>
      <c r="EM16" s="102" t="str">
        <f t="shared" ref="EM16" ca="1" si="782">IF(EM$12&lt;&gt;"", "Frete do café verde", "")</f>
        <v/>
      </c>
      <c r="EN16" s="101" t="str">
        <f t="shared" ref="EN16" ca="1" si="783">IF(EN$12&lt;&gt;"", -1000,"")</f>
        <v/>
      </c>
      <c r="EO16" s="63"/>
      <c r="EP16" s="63"/>
      <c r="EQ16" s="102" t="str">
        <f t="shared" ref="EQ16" ca="1" si="784">IF(EQ$12&lt;&gt;"", "Frete do café verde", "")</f>
        <v>Frete do café verde</v>
      </c>
      <c r="ER16" s="101">
        <f t="shared" ref="ER16" ca="1" si="785">IF(ER$12&lt;&gt;"", -1000,"")</f>
        <v>-1000</v>
      </c>
      <c r="ES16" s="63"/>
      <c r="ET16" s="63"/>
      <c r="EU16" s="102" t="str">
        <f t="shared" ref="EU16" ca="1" si="786">IF(EU$12&lt;&gt;"", "Frete do café verde", "")</f>
        <v/>
      </c>
      <c r="EV16" s="101" t="str">
        <f t="shared" ref="EV16" ca="1" si="787">IF(EV$12&lt;&gt;"", -1000,"")</f>
        <v/>
      </c>
      <c r="EW16" s="63"/>
      <c r="EX16" s="63"/>
      <c r="EY16" s="102" t="str">
        <f t="shared" ref="EY16" ca="1" si="788">IF(EY$12&lt;&gt;"", "Frete do café verde", "")</f>
        <v/>
      </c>
      <c r="EZ16" s="101" t="str">
        <f t="shared" ref="EZ16" ca="1" si="789">IF(EZ$12&lt;&gt;"", -1000,"")</f>
        <v/>
      </c>
      <c r="FA16" s="63"/>
      <c r="FB16" s="63"/>
      <c r="FC16" s="102" t="str">
        <f t="shared" ref="FC16" ca="1" si="790">IF(FC$12&lt;&gt;"", "Frete do café verde", "")</f>
        <v>Frete do café verde</v>
      </c>
      <c r="FD16" s="101">
        <f t="shared" ref="FD16" ca="1" si="791">IF(FD$12&lt;&gt;"", -1000,"")</f>
        <v>-1000</v>
      </c>
      <c r="FE16" s="63"/>
      <c r="FF16" s="63"/>
      <c r="FG16" s="102" t="str">
        <f t="shared" ref="FG16" ca="1" si="792">IF(FG$12&lt;&gt;"", "Frete do café verde", "")</f>
        <v/>
      </c>
      <c r="FH16" s="101" t="str">
        <f t="shared" ref="FH16" ca="1" si="793">IF(FH$12&lt;&gt;"", -1000,"")</f>
        <v/>
      </c>
      <c r="FI16" s="63"/>
      <c r="FJ16" s="63"/>
      <c r="FK16" s="102" t="str">
        <f t="shared" ref="FK16" ca="1" si="794">IF(FK$12&lt;&gt;"", "Frete do café verde", "")</f>
        <v/>
      </c>
      <c r="FL16" s="101" t="str">
        <f t="shared" ref="FL16" ca="1" si="795">IF(FL$12&lt;&gt;"", -1000,"")</f>
        <v/>
      </c>
      <c r="FM16" s="63"/>
      <c r="FN16" s="63"/>
      <c r="FO16" s="102" t="str">
        <f t="shared" ref="FO16" ca="1" si="796">IF(FO$12&lt;&gt;"", "Frete do café verde", "")</f>
        <v>Frete do café verde</v>
      </c>
      <c r="FP16" s="101">
        <f t="shared" ref="FP16" ca="1" si="797">IF(FP$12&lt;&gt;"", -1000,"")</f>
        <v>-1000</v>
      </c>
      <c r="FQ16" s="63"/>
      <c r="FR16" s="63"/>
      <c r="FS16" s="102" t="str">
        <f t="shared" ref="FS16" ca="1" si="798">IF(FS$12&lt;&gt;"", "Frete do café verde", "")</f>
        <v/>
      </c>
      <c r="FT16" s="101" t="str">
        <f t="shared" ref="FT16" ca="1" si="799">IF(FT$12&lt;&gt;"", -1000,"")</f>
        <v/>
      </c>
      <c r="FU16" s="63"/>
      <c r="FV16" s="63"/>
      <c r="FW16" s="102" t="str">
        <f t="shared" ref="FW16" ca="1" si="800">IF(FW$12&lt;&gt;"", "Frete do café verde", "")</f>
        <v/>
      </c>
      <c r="FX16" s="101" t="str">
        <f t="shared" ref="FX16" ca="1" si="801">IF(FX$12&lt;&gt;"", -1000,"")</f>
        <v/>
      </c>
      <c r="FY16" s="63"/>
      <c r="FZ16" s="63"/>
      <c r="GA16" s="102" t="str">
        <f t="shared" ref="GA16" ca="1" si="802">IF(GA$12&lt;&gt;"", "Frete do café verde", "")</f>
        <v>Frete do café verde</v>
      </c>
      <c r="GB16" s="101">
        <f t="shared" ref="GB16" ca="1" si="803">IF(GB$12&lt;&gt;"", -1000,"")</f>
        <v>-1000</v>
      </c>
      <c r="GC16" s="63"/>
      <c r="GD16" s="63"/>
      <c r="GE16" s="102" t="str">
        <f t="shared" ref="GE16" ca="1" si="804">IF(GE$12&lt;&gt;"", "Frete do café verde", "")</f>
        <v/>
      </c>
      <c r="GF16" s="101" t="str">
        <f t="shared" ref="GF16" ca="1" si="805">IF(GF$12&lt;&gt;"", -1000,"")</f>
        <v/>
      </c>
      <c r="GG16" s="63"/>
      <c r="GH16" s="63"/>
      <c r="GI16" s="102" t="str">
        <f t="shared" ref="GI16" ca="1" si="806">IF(GI$12&lt;&gt;"", "Frete do café verde", "")</f>
        <v/>
      </c>
      <c r="GJ16" s="101" t="str">
        <f t="shared" ref="GJ16" ca="1" si="807">IF(GJ$12&lt;&gt;"", -1000,"")</f>
        <v/>
      </c>
      <c r="GK16" s="63"/>
      <c r="GL16" s="63"/>
      <c r="GM16" s="102" t="str">
        <f t="shared" ref="GM16" ca="1" si="808">IF(GM$12&lt;&gt;"", "Frete do café verde", "")</f>
        <v>Frete do café verde</v>
      </c>
      <c r="GN16" s="101">
        <f t="shared" ref="GN16" ca="1" si="809">IF(GN$12&lt;&gt;"", -1000,"")</f>
        <v>-1000</v>
      </c>
      <c r="GO16" s="63"/>
      <c r="GP16" s="63"/>
      <c r="GQ16" s="102" t="str">
        <f t="shared" ref="GQ16" ca="1" si="810">IF(GQ$12&lt;&gt;"", "Frete do café verde", "")</f>
        <v/>
      </c>
      <c r="GR16" s="101" t="str">
        <f t="shared" ref="GR16" ca="1" si="811">IF(GR$12&lt;&gt;"", -1000,"")</f>
        <v/>
      </c>
      <c r="GS16" s="63"/>
      <c r="GT16" s="63"/>
      <c r="GU16" s="102" t="str">
        <f t="shared" ref="GU16" ca="1" si="812">IF(GU$12&lt;&gt;"", "Frete do café verde", "")</f>
        <v/>
      </c>
      <c r="GV16" s="101" t="str">
        <f t="shared" ref="GV16" ca="1" si="813">IF(GV$12&lt;&gt;"", -1000,"")</f>
        <v/>
      </c>
      <c r="GW16" s="63"/>
      <c r="GX16" s="63"/>
      <c r="GY16" s="102" t="str">
        <f t="shared" ref="GY16" ca="1" si="814">IF(GY$12&lt;&gt;"", "Frete do café verde", "")</f>
        <v>Frete do café verde</v>
      </c>
      <c r="GZ16" s="101">
        <f t="shared" ref="GZ16" ca="1" si="815">IF(GZ$12&lt;&gt;"", -1000,"")</f>
        <v>-1000</v>
      </c>
      <c r="HA16" s="63"/>
      <c r="HB16" s="63"/>
      <c r="HC16" s="102" t="str">
        <f t="shared" ref="HC16" ca="1" si="816">IF(HC$12&lt;&gt;"", "Frete do café verde", "")</f>
        <v/>
      </c>
      <c r="HD16" s="101" t="str">
        <f t="shared" ref="HD16" ca="1" si="817">IF(HD$12&lt;&gt;"", -1000,"")</f>
        <v/>
      </c>
      <c r="HE16" s="63"/>
      <c r="HF16" s="63"/>
      <c r="HG16" s="102" t="str">
        <f t="shared" ref="HG16" ca="1" si="818">IF(HG$12&lt;&gt;"", "Frete do café verde", "")</f>
        <v/>
      </c>
      <c r="HH16" s="101" t="str">
        <f t="shared" ref="HH16" ca="1" si="819">IF(HH$12&lt;&gt;"", -1000,"")</f>
        <v/>
      </c>
      <c r="HI16" s="63"/>
      <c r="HJ16" s="63"/>
      <c r="HK16" s="102" t="str">
        <f t="shared" ref="HK16" ca="1" si="820">IF(HK$12&lt;&gt;"", "Frete do café verde", "")</f>
        <v>Frete do café verde</v>
      </c>
      <c r="HL16" s="101">
        <f t="shared" ref="HL16" ca="1" si="821">IF(HL$12&lt;&gt;"", -1000,"")</f>
        <v>-1000</v>
      </c>
      <c r="HM16" s="63"/>
      <c r="HN16" s="63"/>
      <c r="HO16" s="102" t="str">
        <f t="shared" ref="HO16" ca="1" si="822">IF(HO$12&lt;&gt;"", "Frete do café verde", "")</f>
        <v/>
      </c>
      <c r="HP16" s="101" t="str">
        <f t="shared" ref="HP16" ca="1" si="823">IF(HP$12&lt;&gt;"", -1000,"")</f>
        <v/>
      </c>
      <c r="HQ16" s="63"/>
      <c r="HR16" s="63"/>
      <c r="HS16" s="102" t="str">
        <f t="shared" ref="HS16" ca="1" si="824">IF(HS$12&lt;&gt;"", "Frete do café verde", "")</f>
        <v/>
      </c>
      <c r="HT16" s="101" t="str">
        <f t="shared" ref="HT16" ca="1" si="825">IF(HT$12&lt;&gt;"", -1000,"")</f>
        <v/>
      </c>
      <c r="HU16" s="63"/>
      <c r="HV16" s="63"/>
      <c r="HW16" s="102" t="str">
        <f t="shared" ref="HW16" ca="1" si="826">IF(HW$12&lt;&gt;"", "Frete do café verde", "")</f>
        <v>Frete do café verde</v>
      </c>
      <c r="HX16" s="101">
        <f t="shared" ref="HX16" ca="1" si="827">IF(HX$12&lt;&gt;"", -1000,"")</f>
        <v>-1000</v>
      </c>
      <c r="HY16" s="63"/>
      <c r="HZ16" s="63"/>
      <c r="IA16" s="102" t="str">
        <f t="shared" ref="IA16" ca="1" si="828">IF(IA$12&lt;&gt;"", "Frete do café verde", "")</f>
        <v/>
      </c>
      <c r="IB16" s="101" t="str">
        <f t="shared" ref="IB16" ca="1" si="829">IF(IB$12&lt;&gt;"", -1000,"")</f>
        <v/>
      </c>
      <c r="IC16" s="63"/>
      <c r="ID16" s="63"/>
      <c r="IE16" s="102" t="str">
        <f t="shared" ref="IE16" ca="1" si="830">IF(IE$12&lt;&gt;"", "Frete do café verde", "")</f>
        <v/>
      </c>
      <c r="IF16" s="101" t="str">
        <f t="shared" ref="IF16" ca="1" si="831">IF(IF$12&lt;&gt;"", -1000,"")</f>
        <v/>
      </c>
      <c r="IG16" s="63"/>
      <c r="IH16" s="63"/>
      <c r="II16" s="102" t="str">
        <f t="shared" ref="II16" ca="1" si="832">IF(II$12&lt;&gt;"", "Frete do café verde", "")</f>
        <v>Frete do café verde</v>
      </c>
      <c r="IJ16" s="101">
        <f t="shared" ref="IJ16" ca="1" si="833">IF(IJ$12&lt;&gt;"", -1000,"")</f>
        <v>-1000</v>
      </c>
      <c r="IK16" s="63"/>
      <c r="IL16" s="63"/>
      <c r="IM16" s="102" t="str">
        <f t="shared" ref="IM16" ca="1" si="834">IF(IM$12&lt;&gt;"", "Frete do café verde", "")</f>
        <v/>
      </c>
      <c r="IN16" s="101" t="str">
        <f t="shared" ref="IN16" ca="1" si="835">IF(IN$12&lt;&gt;"", -1000,"")</f>
        <v/>
      </c>
      <c r="IO16" s="63"/>
      <c r="IP16" s="63"/>
      <c r="IQ16" s="102" t="str">
        <f t="shared" ref="IQ16" ca="1" si="836">IF(IQ$12&lt;&gt;"", "Frete do café verde", "")</f>
        <v/>
      </c>
      <c r="IR16" s="101" t="str">
        <f t="shared" ref="IR16" ca="1" si="837">IF(IR$12&lt;&gt;"", -1000,"")</f>
        <v/>
      </c>
      <c r="IS16" s="63"/>
      <c r="IT16" s="63"/>
      <c r="IU16" s="102" t="str">
        <f t="shared" ref="IU16" ca="1" si="838">IF(IU$12&lt;&gt;"", "Frete do café verde", "")</f>
        <v>Frete do café verde</v>
      </c>
      <c r="IV16" s="101">
        <f t="shared" ref="IV16" ca="1" si="839">IF(IV$12&lt;&gt;"", -1000,"")</f>
        <v>-1000</v>
      </c>
      <c r="IW16" s="63"/>
      <c r="IX16" s="63"/>
      <c r="IY16" s="102" t="str">
        <f t="shared" ref="IY16" ca="1" si="840">IF(IY$12&lt;&gt;"", "Frete do café verde", "")</f>
        <v/>
      </c>
      <c r="IZ16" s="101" t="str">
        <f t="shared" ref="IZ16" ca="1" si="841">IF(IZ$12&lt;&gt;"", -1000,"")</f>
        <v/>
      </c>
      <c r="JA16" s="63"/>
      <c r="JB16" s="63"/>
      <c r="JC16" s="102" t="str">
        <f t="shared" ref="JC16" ca="1" si="842">IF(JC$12&lt;&gt;"", "Frete do café verde", "")</f>
        <v/>
      </c>
      <c r="JD16" s="101" t="str">
        <f t="shared" ref="JD16" ca="1" si="843">IF(JD$12&lt;&gt;"", -1000,"")</f>
        <v/>
      </c>
      <c r="JE16" s="63"/>
      <c r="JF16" s="63"/>
      <c r="JG16" s="102" t="str">
        <f t="shared" ref="JG16" ca="1" si="844">IF(JG$12&lt;&gt;"", "Frete do café verde", "")</f>
        <v>Frete do café verde</v>
      </c>
      <c r="JH16" s="101">
        <f t="shared" ref="JH16" ca="1" si="845">IF(JH$12&lt;&gt;"", -1000,"")</f>
        <v>-1000</v>
      </c>
      <c r="JI16" s="63"/>
      <c r="JJ16" s="63"/>
      <c r="JK16" s="102" t="str">
        <f t="shared" ref="JK16" ca="1" si="846">IF(JK$12&lt;&gt;"", "Frete do café verde", "")</f>
        <v/>
      </c>
      <c r="JL16" s="101" t="str">
        <f t="shared" ref="JL16" ca="1" si="847">IF(JL$12&lt;&gt;"", -1000,"")</f>
        <v/>
      </c>
      <c r="JM16" s="63"/>
      <c r="JN16" s="63"/>
      <c r="JO16" s="102" t="str">
        <f t="shared" ref="JO16" ca="1" si="848">IF(JO$12&lt;&gt;"", "Frete do café verde", "")</f>
        <v/>
      </c>
      <c r="JP16" s="101" t="str">
        <f t="shared" ref="JP16" ca="1" si="849">IF(JP$12&lt;&gt;"", -1000,"")</f>
        <v/>
      </c>
      <c r="JQ16" s="63"/>
      <c r="JR16" s="63"/>
      <c r="JS16" s="102" t="str">
        <f t="shared" ref="JS16" ca="1" si="850">IF(JS$12&lt;&gt;"", "Frete do café verde", "")</f>
        <v>Frete do café verde</v>
      </c>
      <c r="JT16" s="101">
        <f t="shared" ref="JT16" ca="1" si="851">IF(JT$12&lt;&gt;"", -1000,"")</f>
        <v>-1000</v>
      </c>
      <c r="JU16" s="63"/>
      <c r="JV16" s="63"/>
      <c r="JW16" s="102" t="str">
        <f t="shared" ref="JW16" ca="1" si="852">IF(JW$12&lt;&gt;"", "Frete do café verde", "")</f>
        <v/>
      </c>
      <c r="JX16" s="101" t="str">
        <f t="shared" ref="JX16" ca="1" si="853">IF(JX$12&lt;&gt;"", -1000,"")</f>
        <v/>
      </c>
      <c r="JY16" s="63"/>
      <c r="JZ16" s="63"/>
      <c r="KA16" s="102" t="str">
        <f t="shared" ref="KA16" ca="1" si="854">IF(KA$12&lt;&gt;"", "Frete do café verde", "")</f>
        <v/>
      </c>
      <c r="KB16" s="101" t="str">
        <f t="shared" ref="KB16" ca="1" si="855">IF(KB$12&lt;&gt;"", -1000,"")</f>
        <v/>
      </c>
      <c r="KC16" s="63"/>
      <c r="KD16" s="63"/>
      <c r="KE16" s="102" t="str">
        <f t="shared" ref="KE16" ca="1" si="856">IF(KE$12&lt;&gt;"", "Frete do café verde", "")</f>
        <v>Frete do café verde</v>
      </c>
      <c r="KF16" s="101">
        <f t="shared" ref="KF16" ca="1" si="857">IF(KF$12&lt;&gt;"", -1000,"")</f>
        <v>-1000</v>
      </c>
      <c r="KG16" s="63"/>
      <c r="KH16" s="63"/>
    </row>
    <row r="17" spans="1:294" x14ac:dyDescent="0.25">
      <c r="C17" s="104" t="s">
        <v>191</v>
      </c>
      <c r="D17" s="105">
        <f>-'Investimento Inicial'!$B$7</f>
        <v>-3000</v>
      </c>
      <c r="E17" s="63"/>
      <c r="F17" s="63"/>
      <c r="G17" s="104" t="s">
        <v>191</v>
      </c>
      <c r="H17" s="105">
        <f>-'Investimento Inicial'!$B$7</f>
        <v>-3000</v>
      </c>
      <c r="I17" s="63"/>
      <c r="J17" s="63"/>
      <c r="K17" s="104" t="s">
        <v>191</v>
      </c>
      <c r="L17" s="105">
        <f>-'Investimento Inicial'!$B$7</f>
        <v>-3000</v>
      </c>
      <c r="M17" s="63"/>
      <c r="N17" s="63"/>
      <c r="O17" s="104" t="s">
        <v>191</v>
      </c>
      <c r="P17" s="105">
        <f>-'Investimento Inicial'!$B$7</f>
        <v>-3000</v>
      </c>
      <c r="Q17" s="63"/>
      <c r="R17" s="63"/>
      <c r="S17" s="104" t="s">
        <v>191</v>
      </c>
      <c r="T17" s="105">
        <f>-'Investimento Inicial'!$B$7</f>
        <v>-3000</v>
      </c>
      <c r="U17" s="63"/>
      <c r="V17" s="63"/>
      <c r="W17" s="104" t="s">
        <v>191</v>
      </c>
      <c r="X17" s="105">
        <f>-'Investimento Inicial'!$B$7</f>
        <v>-3000</v>
      </c>
      <c r="Y17" s="63"/>
      <c r="Z17" s="63"/>
      <c r="AA17" s="104" t="s">
        <v>191</v>
      </c>
      <c r="AB17" s="105">
        <f>-'Investimento Inicial'!$B$7</f>
        <v>-3000</v>
      </c>
      <c r="AC17" s="63"/>
      <c r="AD17" s="63"/>
      <c r="AE17" s="104" t="s">
        <v>191</v>
      </c>
      <c r="AF17" s="105">
        <f>-'Investimento Inicial'!$B$7</f>
        <v>-3000</v>
      </c>
      <c r="AG17" s="63"/>
      <c r="AH17" s="63"/>
      <c r="AI17" s="104" t="s">
        <v>191</v>
      </c>
      <c r="AJ17" s="105">
        <f>-'Investimento Inicial'!$B$7</f>
        <v>-3000</v>
      </c>
      <c r="AK17" s="63"/>
      <c r="AL17" s="63"/>
      <c r="AM17" s="104" t="s">
        <v>191</v>
      </c>
      <c r="AN17" s="105">
        <f>-'Investimento Inicial'!$B$7</f>
        <v>-3000</v>
      </c>
      <c r="AO17" s="63"/>
      <c r="AP17" s="63"/>
      <c r="AQ17" s="104" t="s">
        <v>191</v>
      </c>
      <c r="AR17" s="105">
        <f>-'Investimento Inicial'!$B$7</f>
        <v>-3000</v>
      </c>
      <c r="AS17" s="63"/>
      <c r="AT17" s="63"/>
      <c r="AU17" s="104" t="s">
        <v>191</v>
      </c>
      <c r="AV17" s="105">
        <f>-'Investimento Inicial'!$B$7</f>
        <v>-3000</v>
      </c>
      <c r="AW17" s="63"/>
      <c r="AX17" s="63"/>
      <c r="AY17" s="104" t="s">
        <v>191</v>
      </c>
      <c r="AZ17" s="105">
        <f>-'Investimento Inicial'!$B$7</f>
        <v>-3000</v>
      </c>
      <c r="BA17" s="63"/>
      <c r="BB17" s="63"/>
      <c r="BC17" s="104" t="s">
        <v>191</v>
      </c>
      <c r="BD17" s="105">
        <f>-'Investimento Inicial'!$B$7</f>
        <v>-3000</v>
      </c>
      <c r="BE17" s="63"/>
      <c r="BF17" s="63"/>
      <c r="BG17" s="104" t="s">
        <v>191</v>
      </c>
      <c r="BH17" s="105">
        <f>-'Investimento Inicial'!$B$7</f>
        <v>-3000</v>
      </c>
      <c r="BI17" s="63"/>
      <c r="BJ17" s="63"/>
      <c r="BK17" s="104" t="s">
        <v>191</v>
      </c>
      <c r="BL17" s="105">
        <f>-'Investimento Inicial'!$B$7</f>
        <v>-3000</v>
      </c>
      <c r="BM17" s="63"/>
      <c r="BN17" s="63"/>
      <c r="BO17" s="104" t="s">
        <v>191</v>
      </c>
      <c r="BP17" s="105">
        <f>-'Investimento Inicial'!$B$7</f>
        <v>-3000</v>
      </c>
      <c r="BQ17" s="63"/>
      <c r="BR17" s="63"/>
      <c r="BS17" s="104" t="s">
        <v>191</v>
      </c>
      <c r="BT17" s="105">
        <f>-'Investimento Inicial'!$B$7</f>
        <v>-3000</v>
      </c>
      <c r="BU17" s="63"/>
      <c r="BV17" s="63"/>
      <c r="BW17" s="104" t="s">
        <v>191</v>
      </c>
      <c r="BX17" s="105">
        <f>-'Investimento Inicial'!$B$7</f>
        <v>-3000</v>
      </c>
      <c r="BY17" s="63"/>
      <c r="BZ17" s="63"/>
      <c r="CA17" s="104" t="s">
        <v>191</v>
      </c>
      <c r="CB17" s="105">
        <f>-'Investimento Inicial'!$B$7</f>
        <v>-3000</v>
      </c>
      <c r="CC17" s="63"/>
      <c r="CD17" s="63"/>
      <c r="CE17" s="104" t="s">
        <v>191</v>
      </c>
      <c r="CF17" s="105">
        <f>-'Investimento Inicial'!$B$7</f>
        <v>-3000</v>
      </c>
      <c r="CG17" s="63"/>
      <c r="CH17" s="63"/>
      <c r="CI17" s="104" t="s">
        <v>191</v>
      </c>
      <c r="CJ17" s="105">
        <f>-'Investimento Inicial'!$B$7</f>
        <v>-3000</v>
      </c>
      <c r="CK17" s="63"/>
      <c r="CL17" s="63"/>
      <c r="CM17" s="104" t="s">
        <v>191</v>
      </c>
      <c r="CN17" s="105">
        <f>-'Investimento Inicial'!$B$7</f>
        <v>-3000</v>
      </c>
      <c r="CO17" s="63"/>
      <c r="CP17" s="63"/>
      <c r="CQ17" s="104" t="s">
        <v>191</v>
      </c>
      <c r="CR17" s="105">
        <f>-'Investimento Inicial'!$B$7</f>
        <v>-3000</v>
      </c>
      <c r="CS17" s="63"/>
      <c r="CT17" s="63"/>
      <c r="CU17" s="104" t="s">
        <v>191</v>
      </c>
      <c r="CV17" s="105">
        <f>-'Investimento Inicial'!$B$7</f>
        <v>-3000</v>
      </c>
      <c r="CW17" s="63"/>
      <c r="CX17" s="63"/>
      <c r="CY17" s="104" t="s">
        <v>191</v>
      </c>
      <c r="CZ17" s="105">
        <f>-'Investimento Inicial'!$B$7</f>
        <v>-3000</v>
      </c>
      <c r="DA17" s="63"/>
      <c r="DB17" s="63"/>
      <c r="DC17" s="104" t="s">
        <v>191</v>
      </c>
      <c r="DD17" s="105">
        <f>-'Investimento Inicial'!$B$7</f>
        <v>-3000</v>
      </c>
      <c r="DE17" s="63"/>
      <c r="DF17" s="63"/>
      <c r="DG17" s="104" t="s">
        <v>191</v>
      </c>
      <c r="DH17" s="105">
        <f>-'Investimento Inicial'!$B$7</f>
        <v>-3000</v>
      </c>
      <c r="DI17" s="63"/>
      <c r="DJ17" s="63"/>
      <c r="DK17" s="104" t="s">
        <v>191</v>
      </c>
      <c r="DL17" s="105">
        <f>-'Investimento Inicial'!$B$7</f>
        <v>-3000</v>
      </c>
      <c r="DM17" s="63"/>
      <c r="DN17" s="63"/>
      <c r="DO17" s="104" t="s">
        <v>191</v>
      </c>
      <c r="DP17" s="105">
        <f>-'Investimento Inicial'!$B$7</f>
        <v>-3000</v>
      </c>
      <c r="DQ17" s="63"/>
      <c r="DR17" s="63"/>
      <c r="DS17" s="104" t="s">
        <v>191</v>
      </c>
      <c r="DT17" s="105">
        <f>-'Investimento Inicial'!$B$7</f>
        <v>-3000</v>
      </c>
      <c r="DU17" s="63"/>
      <c r="DV17" s="63"/>
      <c r="DW17" s="104" t="s">
        <v>191</v>
      </c>
      <c r="DX17" s="105">
        <f>-'Investimento Inicial'!$B$7</f>
        <v>-3000</v>
      </c>
      <c r="DY17" s="63"/>
      <c r="DZ17" s="63"/>
      <c r="EA17" s="104" t="s">
        <v>191</v>
      </c>
      <c r="EB17" s="105">
        <f>-'Investimento Inicial'!$B$7</f>
        <v>-3000</v>
      </c>
      <c r="EC17" s="63"/>
      <c r="ED17" s="63"/>
      <c r="EE17" s="104" t="s">
        <v>191</v>
      </c>
      <c r="EF17" s="105">
        <f>-'Investimento Inicial'!$B$7</f>
        <v>-3000</v>
      </c>
      <c r="EG17" s="63"/>
      <c r="EH17" s="63"/>
      <c r="EI17" s="104" t="s">
        <v>191</v>
      </c>
      <c r="EJ17" s="105">
        <f>-'Investimento Inicial'!$B$7</f>
        <v>-3000</v>
      </c>
      <c r="EK17" s="63"/>
      <c r="EL17" s="63"/>
      <c r="EM17" s="104" t="s">
        <v>191</v>
      </c>
      <c r="EN17" s="105">
        <f>-'Investimento Inicial'!$B$7</f>
        <v>-3000</v>
      </c>
      <c r="EO17" s="63"/>
      <c r="EP17" s="63"/>
      <c r="EQ17" s="104" t="s">
        <v>191</v>
      </c>
      <c r="ER17" s="105">
        <f>-'Investimento Inicial'!$B$7</f>
        <v>-3000</v>
      </c>
      <c r="ES17" s="63"/>
      <c r="ET17" s="63"/>
      <c r="EU17" s="104" t="s">
        <v>191</v>
      </c>
      <c r="EV17" s="105">
        <f>-'Investimento Inicial'!$B$7</f>
        <v>-3000</v>
      </c>
      <c r="EW17" s="63"/>
      <c r="EX17" s="63"/>
      <c r="EY17" s="104" t="s">
        <v>191</v>
      </c>
      <c r="EZ17" s="105">
        <f>-'Investimento Inicial'!$B$7</f>
        <v>-3000</v>
      </c>
      <c r="FA17" s="63"/>
      <c r="FB17" s="63"/>
      <c r="FC17" s="104" t="s">
        <v>191</v>
      </c>
      <c r="FD17" s="105">
        <f>-'Investimento Inicial'!$B$7</f>
        <v>-3000</v>
      </c>
      <c r="FE17" s="63"/>
      <c r="FF17" s="63"/>
      <c r="FG17" s="104" t="s">
        <v>191</v>
      </c>
      <c r="FH17" s="105">
        <f>-'Investimento Inicial'!$B$7</f>
        <v>-3000</v>
      </c>
      <c r="FI17" s="63"/>
      <c r="FJ17" s="63"/>
      <c r="FK17" s="104" t="s">
        <v>191</v>
      </c>
      <c r="FL17" s="105">
        <f>-'Investimento Inicial'!$B$7</f>
        <v>-3000</v>
      </c>
      <c r="FM17" s="63"/>
      <c r="FN17" s="63"/>
      <c r="FO17" s="104" t="s">
        <v>191</v>
      </c>
      <c r="FP17" s="105">
        <f>-'Investimento Inicial'!$B$7</f>
        <v>-3000</v>
      </c>
      <c r="FQ17" s="63"/>
      <c r="FR17" s="63"/>
      <c r="FS17" s="104" t="s">
        <v>191</v>
      </c>
      <c r="FT17" s="105">
        <f>-'Investimento Inicial'!$B$7</f>
        <v>-3000</v>
      </c>
      <c r="FU17" s="63"/>
      <c r="FV17" s="63"/>
      <c r="FW17" s="104" t="s">
        <v>191</v>
      </c>
      <c r="FX17" s="105">
        <f>-'Investimento Inicial'!$B$7</f>
        <v>-3000</v>
      </c>
      <c r="FY17" s="63"/>
      <c r="FZ17" s="63"/>
      <c r="GA17" s="104" t="s">
        <v>191</v>
      </c>
      <c r="GB17" s="105">
        <f>-'Investimento Inicial'!$B$7</f>
        <v>-3000</v>
      </c>
      <c r="GC17" s="63"/>
      <c r="GD17" s="63"/>
      <c r="GE17" s="104" t="s">
        <v>191</v>
      </c>
      <c r="GF17" s="105">
        <f>-'Investimento Inicial'!$B$7</f>
        <v>-3000</v>
      </c>
      <c r="GG17" s="63"/>
      <c r="GH17" s="63"/>
      <c r="GI17" s="104" t="s">
        <v>191</v>
      </c>
      <c r="GJ17" s="105">
        <f>-'Investimento Inicial'!$B$7</f>
        <v>-3000</v>
      </c>
      <c r="GK17" s="63"/>
      <c r="GL17" s="63"/>
      <c r="GM17" s="104" t="s">
        <v>191</v>
      </c>
      <c r="GN17" s="105">
        <f>-'Investimento Inicial'!$B$7</f>
        <v>-3000</v>
      </c>
      <c r="GO17" s="63"/>
      <c r="GP17" s="63"/>
      <c r="GQ17" s="104" t="s">
        <v>191</v>
      </c>
      <c r="GR17" s="105">
        <f>-'Investimento Inicial'!$B$7</f>
        <v>-3000</v>
      </c>
      <c r="GS17" s="63"/>
      <c r="GT17" s="63"/>
      <c r="GU17" s="104" t="s">
        <v>191</v>
      </c>
      <c r="GV17" s="105">
        <f>-'Investimento Inicial'!$B$7</f>
        <v>-3000</v>
      </c>
      <c r="GW17" s="63"/>
      <c r="GX17" s="63"/>
      <c r="GY17" s="104" t="s">
        <v>191</v>
      </c>
      <c r="GZ17" s="105">
        <f>-'Investimento Inicial'!$B$7</f>
        <v>-3000</v>
      </c>
      <c r="HA17" s="63"/>
      <c r="HB17" s="63"/>
      <c r="HC17" s="104" t="s">
        <v>191</v>
      </c>
      <c r="HD17" s="105">
        <f>-'Investimento Inicial'!$B$7</f>
        <v>-3000</v>
      </c>
      <c r="HE17" s="63"/>
      <c r="HF17" s="63"/>
      <c r="HG17" s="104" t="s">
        <v>191</v>
      </c>
      <c r="HH17" s="105">
        <f>-'Investimento Inicial'!$B$7</f>
        <v>-3000</v>
      </c>
      <c r="HI17" s="63"/>
      <c r="HJ17" s="63"/>
      <c r="HK17" s="104" t="s">
        <v>191</v>
      </c>
      <c r="HL17" s="105">
        <f>-'Investimento Inicial'!$B$7</f>
        <v>-3000</v>
      </c>
      <c r="HM17" s="63"/>
      <c r="HN17" s="63"/>
      <c r="HO17" s="104" t="s">
        <v>191</v>
      </c>
      <c r="HP17" s="105">
        <f>-'Investimento Inicial'!$B$7</f>
        <v>-3000</v>
      </c>
      <c r="HQ17" s="63"/>
      <c r="HR17" s="63"/>
      <c r="HS17" s="104" t="s">
        <v>191</v>
      </c>
      <c r="HT17" s="105">
        <f>-'Investimento Inicial'!$B$7</f>
        <v>-3000</v>
      </c>
      <c r="HU17" s="63"/>
      <c r="HV17" s="63"/>
      <c r="HW17" s="104" t="s">
        <v>191</v>
      </c>
      <c r="HX17" s="105">
        <f>-'Investimento Inicial'!$B$7</f>
        <v>-3000</v>
      </c>
      <c r="HY17" s="63"/>
      <c r="HZ17" s="63"/>
      <c r="IA17" s="104" t="s">
        <v>191</v>
      </c>
      <c r="IB17" s="105">
        <f>-'Investimento Inicial'!$B$7</f>
        <v>-3000</v>
      </c>
      <c r="IC17" s="63"/>
      <c r="ID17" s="63"/>
      <c r="IE17" s="104" t="s">
        <v>191</v>
      </c>
      <c r="IF17" s="105">
        <f>-'Investimento Inicial'!$B$7</f>
        <v>-3000</v>
      </c>
      <c r="IG17" s="63"/>
      <c r="IH17" s="63"/>
      <c r="II17" s="104" t="s">
        <v>191</v>
      </c>
      <c r="IJ17" s="105">
        <f>-'Investimento Inicial'!$B$7</f>
        <v>-3000</v>
      </c>
      <c r="IK17" s="63"/>
      <c r="IL17" s="63"/>
      <c r="IM17" s="104" t="s">
        <v>191</v>
      </c>
      <c r="IN17" s="105">
        <f>-'Investimento Inicial'!$B$7</f>
        <v>-3000</v>
      </c>
      <c r="IO17" s="63"/>
      <c r="IP17" s="63"/>
      <c r="IQ17" s="104" t="s">
        <v>191</v>
      </c>
      <c r="IR17" s="105">
        <f>-'Investimento Inicial'!$B$7</f>
        <v>-3000</v>
      </c>
      <c r="IS17" s="63"/>
      <c r="IT17" s="63"/>
      <c r="IU17" s="104" t="s">
        <v>191</v>
      </c>
      <c r="IV17" s="105">
        <f>-'Investimento Inicial'!$B$7</f>
        <v>-3000</v>
      </c>
      <c r="IW17" s="63"/>
      <c r="IX17" s="63"/>
      <c r="IY17" s="104" t="s">
        <v>191</v>
      </c>
      <c r="IZ17" s="105">
        <f>-'Investimento Inicial'!$B$7</f>
        <v>-3000</v>
      </c>
      <c r="JA17" s="63"/>
      <c r="JB17" s="63"/>
      <c r="JC17" s="104" t="s">
        <v>191</v>
      </c>
      <c r="JD17" s="105">
        <f>-'Investimento Inicial'!$B$7</f>
        <v>-3000</v>
      </c>
      <c r="JE17" s="63"/>
      <c r="JF17" s="63"/>
      <c r="JG17" s="104" t="s">
        <v>191</v>
      </c>
      <c r="JH17" s="105">
        <f>-'Investimento Inicial'!$B$7</f>
        <v>-3000</v>
      </c>
      <c r="JI17" s="63"/>
      <c r="JJ17" s="63"/>
      <c r="JK17" s="104" t="s">
        <v>191</v>
      </c>
      <c r="JL17" s="105">
        <f>-'Investimento Inicial'!$B$7</f>
        <v>-3000</v>
      </c>
      <c r="JM17" s="63"/>
      <c r="JN17" s="63"/>
      <c r="JO17" s="104" t="s">
        <v>191</v>
      </c>
      <c r="JP17" s="105">
        <f>-'Investimento Inicial'!$B$7</f>
        <v>-3000</v>
      </c>
      <c r="JQ17" s="63"/>
      <c r="JR17" s="63"/>
      <c r="JS17" s="104" t="s">
        <v>191</v>
      </c>
      <c r="JT17" s="105">
        <f>-'Investimento Inicial'!$B$7</f>
        <v>-3000</v>
      </c>
      <c r="JU17" s="63"/>
      <c r="JV17" s="63"/>
      <c r="JW17" s="104" t="s">
        <v>191</v>
      </c>
      <c r="JX17" s="105">
        <f>-'Investimento Inicial'!$B$7</f>
        <v>-3000</v>
      </c>
      <c r="JY17" s="63"/>
      <c r="JZ17" s="63"/>
      <c r="KA17" s="104" t="s">
        <v>191</v>
      </c>
      <c r="KB17" s="105">
        <f>-'Investimento Inicial'!$B$7</f>
        <v>-3000</v>
      </c>
      <c r="KC17" s="63"/>
      <c r="KD17" s="63"/>
      <c r="KE17" s="104" t="s">
        <v>191</v>
      </c>
      <c r="KF17" s="105">
        <f>-'Investimento Inicial'!$B$7</f>
        <v>-3000</v>
      </c>
      <c r="KG17" s="63"/>
      <c r="KH17" s="63"/>
    </row>
    <row r="18" spans="1:294" x14ac:dyDescent="0.25">
      <c r="A18" s="45"/>
      <c r="C18" s="104" t="s">
        <v>200</v>
      </c>
      <c r="D18" s="105">
        <f>-'Investimento Inicial'!$C$4</f>
        <v>-5000</v>
      </c>
      <c r="E18" s="63"/>
      <c r="F18" s="63"/>
      <c r="G18" s="104" t="s">
        <v>200</v>
      </c>
      <c r="H18" s="105">
        <f>-'Investimento Inicial'!$C$4</f>
        <v>-5000</v>
      </c>
      <c r="I18" s="63"/>
      <c r="J18" s="63"/>
      <c r="K18" s="104" t="s">
        <v>200</v>
      </c>
      <c r="L18" s="105">
        <f>-'Investimento Inicial'!$C$4</f>
        <v>-5000</v>
      </c>
      <c r="M18" s="63"/>
      <c r="N18" s="63"/>
      <c r="O18" s="104" t="s">
        <v>200</v>
      </c>
      <c r="P18" s="105">
        <f>-'Investimento Inicial'!$C$4</f>
        <v>-5000</v>
      </c>
      <c r="Q18" s="63"/>
      <c r="R18" s="63"/>
      <c r="S18" s="104" t="s">
        <v>200</v>
      </c>
      <c r="T18" s="105">
        <f>-'Investimento Inicial'!$C$4</f>
        <v>-5000</v>
      </c>
      <c r="U18" s="63"/>
      <c r="V18" s="63"/>
      <c r="W18" s="104" t="s">
        <v>200</v>
      </c>
      <c r="X18" s="105">
        <f>-'Investimento Inicial'!$C$4</f>
        <v>-5000</v>
      </c>
      <c r="Y18" s="63"/>
      <c r="Z18" s="63"/>
      <c r="AA18" s="104" t="s">
        <v>200</v>
      </c>
      <c r="AB18" s="105">
        <f>-'Investimento Inicial'!$C$4</f>
        <v>-5000</v>
      </c>
      <c r="AC18" s="63"/>
      <c r="AD18" s="63"/>
      <c r="AE18" s="104" t="s">
        <v>200</v>
      </c>
      <c r="AF18" s="105">
        <f>-'Investimento Inicial'!$C$4</f>
        <v>-5000</v>
      </c>
      <c r="AG18" s="63"/>
      <c r="AH18" s="63"/>
      <c r="AI18" s="104" t="s">
        <v>200</v>
      </c>
      <c r="AJ18" s="105">
        <f>-'Investimento Inicial'!$C$4</f>
        <v>-5000</v>
      </c>
      <c r="AK18" s="63"/>
      <c r="AL18" s="63"/>
      <c r="AM18" s="104" t="s">
        <v>200</v>
      </c>
      <c r="AN18" s="105">
        <f>-'Investimento Inicial'!$C$4</f>
        <v>-5000</v>
      </c>
      <c r="AO18" s="63"/>
      <c r="AP18" s="63"/>
      <c r="AQ18" s="104" t="s">
        <v>200</v>
      </c>
      <c r="AR18" s="105">
        <f>-'Investimento Inicial'!$C$4</f>
        <v>-5000</v>
      </c>
      <c r="AS18" s="63"/>
      <c r="AT18" s="63"/>
      <c r="AU18" s="104" t="s">
        <v>200</v>
      </c>
      <c r="AV18" s="105">
        <f>-'Investimento Inicial'!$C$4</f>
        <v>-5000</v>
      </c>
      <c r="AW18" s="63"/>
      <c r="AX18" s="63"/>
      <c r="AY18" s="104" t="s">
        <v>200</v>
      </c>
      <c r="AZ18" s="105">
        <f>-'Investimento Inicial'!$C$4</f>
        <v>-5000</v>
      </c>
      <c r="BA18" s="63"/>
      <c r="BB18" s="63"/>
      <c r="BC18" s="104" t="s">
        <v>200</v>
      </c>
      <c r="BD18" s="105">
        <f>-'Investimento Inicial'!$C$4</f>
        <v>-5000</v>
      </c>
      <c r="BE18" s="63"/>
      <c r="BF18" s="63"/>
      <c r="BG18" s="104" t="s">
        <v>200</v>
      </c>
      <c r="BH18" s="105">
        <f>-'Investimento Inicial'!$C$4</f>
        <v>-5000</v>
      </c>
      <c r="BI18" s="63"/>
      <c r="BJ18" s="63"/>
      <c r="BK18" s="104" t="s">
        <v>200</v>
      </c>
      <c r="BL18" s="105">
        <f>-'Investimento Inicial'!$C$4</f>
        <v>-5000</v>
      </c>
      <c r="BM18" s="63"/>
      <c r="BN18" s="63"/>
      <c r="BO18" s="104" t="s">
        <v>200</v>
      </c>
      <c r="BP18" s="105">
        <f>-'Investimento Inicial'!$C$4</f>
        <v>-5000</v>
      </c>
      <c r="BQ18" s="63"/>
      <c r="BR18" s="63"/>
      <c r="BS18" s="104" t="s">
        <v>200</v>
      </c>
      <c r="BT18" s="105">
        <f>-'Investimento Inicial'!$C$4</f>
        <v>-5000</v>
      </c>
      <c r="BU18" s="63"/>
      <c r="BV18" s="63"/>
      <c r="BW18" s="104" t="s">
        <v>200</v>
      </c>
      <c r="BX18" s="105">
        <f>-'Investimento Inicial'!$C$4</f>
        <v>-5000</v>
      </c>
      <c r="BY18" s="63"/>
      <c r="BZ18" s="63"/>
      <c r="CA18" s="104" t="s">
        <v>200</v>
      </c>
      <c r="CB18" s="105">
        <f>-'Investimento Inicial'!$C$4</f>
        <v>-5000</v>
      </c>
      <c r="CC18" s="63"/>
      <c r="CD18" s="63"/>
      <c r="CE18" s="104" t="s">
        <v>200</v>
      </c>
      <c r="CF18" s="105">
        <f>-'Investimento Inicial'!$C$4</f>
        <v>-5000</v>
      </c>
      <c r="CG18" s="63"/>
      <c r="CH18" s="63"/>
      <c r="CI18" s="104" t="s">
        <v>200</v>
      </c>
      <c r="CJ18" s="105">
        <f>-'Investimento Inicial'!$C$4</f>
        <v>-5000</v>
      </c>
      <c r="CK18" s="63"/>
      <c r="CL18" s="63"/>
      <c r="CM18" s="104" t="s">
        <v>200</v>
      </c>
      <c r="CN18" s="105">
        <f>-'Investimento Inicial'!$C$4</f>
        <v>-5000</v>
      </c>
      <c r="CO18" s="63"/>
      <c r="CP18" s="63"/>
      <c r="CQ18" s="104" t="s">
        <v>200</v>
      </c>
      <c r="CR18" s="105">
        <f>-'Investimento Inicial'!$C$4</f>
        <v>-5000</v>
      </c>
      <c r="CS18" s="63"/>
      <c r="CT18" s="63"/>
      <c r="CU18" s="104" t="s">
        <v>200</v>
      </c>
      <c r="CV18" s="105">
        <f>-'Investimento Inicial'!$C$4</f>
        <v>-5000</v>
      </c>
      <c r="CW18" s="63"/>
      <c r="CX18" s="63"/>
      <c r="CY18" s="104" t="s">
        <v>200</v>
      </c>
      <c r="CZ18" s="105">
        <f>-'Investimento Inicial'!$C$4</f>
        <v>-5000</v>
      </c>
      <c r="DA18" s="63"/>
      <c r="DB18" s="63"/>
      <c r="DC18" s="104" t="s">
        <v>200</v>
      </c>
      <c r="DD18" s="105">
        <f>-'Investimento Inicial'!$C$4</f>
        <v>-5000</v>
      </c>
      <c r="DE18" s="63"/>
      <c r="DF18" s="63"/>
      <c r="DG18" s="104" t="s">
        <v>200</v>
      </c>
      <c r="DH18" s="105">
        <f>-'Investimento Inicial'!$C$4</f>
        <v>-5000</v>
      </c>
      <c r="DI18" s="63"/>
      <c r="DJ18" s="63"/>
      <c r="DK18" s="104" t="s">
        <v>200</v>
      </c>
      <c r="DL18" s="105">
        <f>-'Investimento Inicial'!$C$4</f>
        <v>-5000</v>
      </c>
      <c r="DM18" s="63"/>
      <c r="DN18" s="63"/>
      <c r="DO18" s="104" t="s">
        <v>200</v>
      </c>
      <c r="DP18" s="105">
        <f>-'Investimento Inicial'!$C$4</f>
        <v>-5000</v>
      </c>
      <c r="DQ18" s="63"/>
      <c r="DR18" s="63"/>
      <c r="DS18" s="104" t="s">
        <v>200</v>
      </c>
      <c r="DT18" s="105">
        <f>-'Investimento Inicial'!$C$4</f>
        <v>-5000</v>
      </c>
      <c r="DU18" s="63"/>
      <c r="DV18" s="63"/>
      <c r="DW18" s="104" t="s">
        <v>200</v>
      </c>
      <c r="DX18" s="105">
        <f>-'Investimento Inicial'!$C$4</f>
        <v>-5000</v>
      </c>
      <c r="DY18" s="63"/>
      <c r="DZ18" s="63"/>
      <c r="EA18" s="104" t="s">
        <v>200</v>
      </c>
      <c r="EB18" s="105">
        <f>-'Investimento Inicial'!$C$4</f>
        <v>-5000</v>
      </c>
      <c r="EC18" s="63"/>
      <c r="ED18" s="63"/>
      <c r="EE18" s="104" t="s">
        <v>200</v>
      </c>
      <c r="EF18" s="105">
        <f>-'Investimento Inicial'!$C$4</f>
        <v>-5000</v>
      </c>
      <c r="EG18" s="63"/>
      <c r="EH18" s="63"/>
      <c r="EI18" s="104" t="s">
        <v>200</v>
      </c>
      <c r="EJ18" s="105">
        <f>-'Investimento Inicial'!$C$4</f>
        <v>-5000</v>
      </c>
      <c r="EK18" s="63"/>
      <c r="EL18" s="63"/>
      <c r="EM18" s="104" t="s">
        <v>200</v>
      </c>
      <c r="EN18" s="105">
        <f>-'Investimento Inicial'!$C$4</f>
        <v>-5000</v>
      </c>
      <c r="EO18" s="63"/>
      <c r="EP18" s="63"/>
      <c r="EQ18" s="104" t="s">
        <v>200</v>
      </c>
      <c r="ER18" s="105">
        <f>-'Investimento Inicial'!$C$4</f>
        <v>-5000</v>
      </c>
      <c r="ES18" s="63"/>
      <c r="ET18" s="63"/>
      <c r="EU18" s="104" t="s">
        <v>200</v>
      </c>
      <c r="EV18" s="105">
        <f>-'Investimento Inicial'!$C$4</f>
        <v>-5000</v>
      </c>
      <c r="EW18" s="63"/>
      <c r="EX18" s="63"/>
      <c r="EY18" s="104" t="s">
        <v>200</v>
      </c>
      <c r="EZ18" s="105">
        <f>-'Investimento Inicial'!$C$4</f>
        <v>-5000</v>
      </c>
      <c r="FA18" s="63"/>
      <c r="FB18" s="63"/>
      <c r="FC18" s="104" t="s">
        <v>200</v>
      </c>
      <c r="FD18" s="105">
        <f>-'Investimento Inicial'!$C$4</f>
        <v>-5000</v>
      </c>
      <c r="FE18" s="63"/>
      <c r="FF18" s="63"/>
      <c r="FG18" s="104" t="s">
        <v>200</v>
      </c>
      <c r="FH18" s="105">
        <f>-'Investimento Inicial'!$C$4</f>
        <v>-5000</v>
      </c>
      <c r="FI18" s="63"/>
      <c r="FJ18" s="63"/>
      <c r="FK18" s="104" t="s">
        <v>200</v>
      </c>
      <c r="FL18" s="105">
        <f>-'Investimento Inicial'!$C$4</f>
        <v>-5000</v>
      </c>
      <c r="FM18" s="63"/>
      <c r="FN18" s="63"/>
      <c r="FO18" s="104" t="s">
        <v>200</v>
      </c>
      <c r="FP18" s="105">
        <f>-'Investimento Inicial'!$C$4</f>
        <v>-5000</v>
      </c>
      <c r="FQ18" s="63"/>
      <c r="FR18" s="63"/>
      <c r="FS18" s="104" t="s">
        <v>200</v>
      </c>
      <c r="FT18" s="105">
        <f>-'Investimento Inicial'!$C$4</f>
        <v>-5000</v>
      </c>
      <c r="FU18" s="63"/>
      <c r="FV18" s="63"/>
      <c r="FW18" s="104" t="s">
        <v>200</v>
      </c>
      <c r="FX18" s="105">
        <f>-'Investimento Inicial'!$C$4</f>
        <v>-5000</v>
      </c>
      <c r="FY18" s="63"/>
      <c r="FZ18" s="63"/>
      <c r="GA18" s="104" t="s">
        <v>200</v>
      </c>
      <c r="GB18" s="105">
        <f>-'Investimento Inicial'!$C$4</f>
        <v>-5000</v>
      </c>
      <c r="GC18" s="63"/>
      <c r="GD18" s="63"/>
      <c r="GE18" s="104" t="s">
        <v>200</v>
      </c>
      <c r="GF18" s="105">
        <f>-'Investimento Inicial'!$C$4</f>
        <v>-5000</v>
      </c>
      <c r="GG18" s="63"/>
      <c r="GH18" s="63"/>
      <c r="GI18" s="104" t="s">
        <v>200</v>
      </c>
      <c r="GJ18" s="105">
        <f>-'Investimento Inicial'!$C$4</f>
        <v>-5000</v>
      </c>
      <c r="GK18" s="63"/>
      <c r="GL18" s="63"/>
      <c r="GM18" s="104" t="s">
        <v>200</v>
      </c>
      <c r="GN18" s="105">
        <f>-'Investimento Inicial'!$C$4</f>
        <v>-5000</v>
      </c>
      <c r="GO18" s="63"/>
      <c r="GP18" s="63"/>
      <c r="GQ18" s="104" t="s">
        <v>200</v>
      </c>
      <c r="GR18" s="105">
        <f>-'Investimento Inicial'!$C$4</f>
        <v>-5000</v>
      </c>
      <c r="GS18" s="63"/>
      <c r="GT18" s="63"/>
      <c r="GU18" s="104" t="s">
        <v>200</v>
      </c>
      <c r="GV18" s="105">
        <f>-'Investimento Inicial'!$C$4</f>
        <v>-5000</v>
      </c>
      <c r="GW18" s="63"/>
      <c r="GX18" s="63"/>
      <c r="GY18" s="104" t="s">
        <v>200</v>
      </c>
      <c r="GZ18" s="105">
        <f>-'Investimento Inicial'!$C$4</f>
        <v>-5000</v>
      </c>
      <c r="HA18" s="63"/>
      <c r="HB18" s="63"/>
      <c r="HC18" s="104" t="s">
        <v>200</v>
      </c>
      <c r="HD18" s="105">
        <f>-'Investimento Inicial'!$C$4</f>
        <v>-5000</v>
      </c>
      <c r="HE18" s="63"/>
      <c r="HF18" s="63"/>
      <c r="HG18" s="104" t="s">
        <v>200</v>
      </c>
      <c r="HH18" s="105">
        <f>-'Investimento Inicial'!$C$4</f>
        <v>-5000</v>
      </c>
      <c r="HI18" s="63"/>
      <c r="HJ18" s="63"/>
      <c r="HK18" s="104" t="s">
        <v>200</v>
      </c>
      <c r="HL18" s="105">
        <f>-'Investimento Inicial'!$C$4</f>
        <v>-5000</v>
      </c>
      <c r="HM18" s="63"/>
      <c r="HN18" s="63"/>
      <c r="HO18" s="104" t="s">
        <v>200</v>
      </c>
      <c r="HP18" s="105">
        <f>-'Investimento Inicial'!$C$4</f>
        <v>-5000</v>
      </c>
      <c r="HQ18" s="63"/>
      <c r="HR18" s="63"/>
      <c r="HS18" s="104" t="s">
        <v>200</v>
      </c>
      <c r="HT18" s="105">
        <f>-'Investimento Inicial'!$C$4</f>
        <v>-5000</v>
      </c>
      <c r="HU18" s="63"/>
      <c r="HV18" s="63"/>
      <c r="HW18" s="104" t="s">
        <v>200</v>
      </c>
      <c r="HX18" s="105">
        <f>-'Investimento Inicial'!$C$4</f>
        <v>-5000</v>
      </c>
      <c r="HY18" s="63"/>
      <c r="HZ18" s="63"/>
      <c r="IA18" s="104" t="s">
        <v>200</v>
      </c>
      <c r="IB18" s="105">
        <f>-'Investimento Inicial'!$C$4</f>
        <v>-5000</v>
      </c>
      <c r="IC18" s="63"/>
      <c r="ID18" s="63"/>
      <c r="IE18" s="104" t="s">
        <v>200</v>
      </c>
      <c r="IF18" s="105">
        <f>-'Investimento Inicial'!$C$4</f>
        <v>-5000</v>
      </c>
      <c r="IG18" s="63"/>
      <c r="IH18" s="63"/>
      <c r="II18" s="104" t="s">
        <v>200</v>
      </c>
      <c r="IJ18" s="105">
        <f>-'Investimento Inicial'!$C$4</f>
        <v>-5000</v>
      </c>
      <c r="IK18" s="63"/>
      <c r="IL18" s="63"/>
      <c r="IM18" s="104" t="s">
        <v>200</v>
      </c>
      <c r="IN18" s="105">
        <f>-'Investimento Inicial'!$C$4</f>
        <v>-5000</v>
      </c>
      <c r="IO18" s="63"/>
      <c r="IP18" s="63"/>
      <c r="IQ18" s="104" t="s">
        <v>200</v>
      </c>
      <c r="IR18" s="105">
        <f>-'Investimento Inicial'!$C$4</f>
        <v>-5000</v>
      </c>
      <c r="IS18" s="63"/>
      <c r="IT18" s="63"/>
      <c r="IU18" s="104" t="s">
        <v>200</v>
      </c>
      <c r="IV18" s="105">
        <f>-'Investimento Inicial'!$C$4</f>
        <v>-5000</v>
      </c>
      <c r="IW18" s="63"/>
      <c r="IX18" s="63"/>
      <c r="IY18" s="104" t="s">
        <v>200</v>
      </c>
      <c r="IZ18" s="105">
        <f>-'Investimento Inicial'!$C$4</f>
        <v>-5000</v>
      </c>
      <c r="JA18" s="63"/>
      <c r="JB18" s="63"/>
      <c r="JC18" s="104" t="s">
        <v>200</v>
      </c>
      <c r="JD18" s="105">
        <f>-'Investimento Inicial'!$C$4</f>
        <v>-5000</v>
      </c>
      <c r="JE18" s="63"/>
      <c r="JF18" s="63"/>
      <c r="JG18" s="104" t="s">
        <v>200</v>
      </c>
      <c r="JH18" s="105">
        <f>-'Investimento Inicial'!$C$4</f>
        <v>-5000</v>
      </c>
      <c r="JI18" s="63"/>
      <c r="JJ18" s="63"/>
      <c r="JK18" s="104" t="s">
        <v>200</v>
      </c>
      <c r="JL18" s="105">
        <f>-'Investimento Inicial'!$C$4</f>
        <v>-5000</v>
      </c>
      <c r="JM18" s="63"/>
      <c r="JN18" s="63"/>
      <c r="JO18" s="104" t="s">
        <v>200</v>
      </c>
      <c r="JP18" s="105">
        <f>-'Investimento Inicial'!$C$4</f>
        <v>-5000</v>
      </c>
      <c r="JQ18" s="63"/>
      <c r="JR18" s="63"/>
      <c r="JS18" s="104" t="s">
        <v>200</v>
      </c>
      <c r="JT18" s="105">
        <f>-'Investimento Inicial'!$C$4</f>
        <v>-5000</v>
      </c>
      <c r="JU18" s="63"/>
      <c r="JV18" s="63"/>
      <c r="JW18" s="104" t="s">
        <v>200</v>
      </c>
      <c r="JX18" s="105">
        <f>-'Investimento Inicial'!$C$4</f>
        <v>-5000</v>
      </c>
      <c r="JY18" s="63"/>
      <c r="JZ18" s="63"/>
      <c r="KA18" s="104" t="s">
        <v>200</v>
      </c>
      <c r="KB18" s="105">
        <f>-'Investimento Inicial'!$C$4</f>
        <v>-5000</v>
      </c>
      <c r="KC18" s="63"/>
      <c r="KD18" s="63"/>
      <c r="KE18" s="104" t="s">
        <v>200</v>
      </c>
      <c r="KF18" s="105">
        <f>-'Investimento Inicial'!$C$4</f>
        <v>-5000</v>
      </c>
      <c r="KG18" s="63"/>
      <c r="KH18" s="63"/>
    </row>
    <row r="19" spans="1:294" x14ac:dyDescent="0.25">
      <c r="A19" s="66"/>
      <c r="C19" s="104" t="s">
        <v>201</v>
      </c>
      <c r="D19" s="105">
        <f>-'Investimento Inicial'!$C$10</f>
        <v>-1000</v>
      </c>
      <c r="E19" s="63"/>
      <c r="F19" s="63"/>
      <c r="G19" s="104" t="s">
        <v>201</v>
      </c>
      <c r="H19" s="105">
        <f>-'Investimento Inicial'!$C$10</f>
        <v>-1000</v>
      </c>
      <c r="I19" s="63"/>
      <c r="J19" s="63"/>
      <c r="K19" s="104" t="s">
        <v>201</v>
      </c>
      <c r="L19" s="105">
        <f>-'Investimento Inicial'!$C$10</f>
        <v>-1000</v>
      </c>
      <c r="M19" s="63"/>
      <c r="N19" s="63"/>
      <c r="O19" s="104" t="s">
        <v>201</v>
      </c>
      <c r="P19" s="105">
        <f>-'Investimento Inicial'!$C$10</f>
        <v>-1000</v>
      </c>
      <c r="Q19" s="63"/>
      <c r="R19" s="63"/>
      <c r="S19" s="104" t="s">
        <v>201</v>
      </c>
      <c r="T19" s="105">
        <f>-'Investimento Inicial'!$C$10</f>
        <v>-1000</v>
      </c>
      <c r="U19" s="63"/>
      <c r="V19" s="63"/>
      <c r="W19" s="104" t="s">
        <v>201</v>
      </c>
      <c r="X19" s="105">
        <f>-'Investimento Inicial'!$C$10</f>
        <v>-1000</v>
      </c>
      <c r="Y19" s="63"/>
      <c r="Z19" s="63"/>
      <c r="AA19" s="104" t="s">
        <v>201</v>
      </c>
      <c r="AB19" s="105">
        <f>-'Investimento Inicial'!$C$10</f>
        <v>-1000</v>
      </c>
      <c r="AC19" s="63"/>
      <c r="AD19" s="63"/>
      <c r="AE19" s="104" t="s">
        <v>201</v>
      </c>
      <c r="AF19" s="105">
        <f>-'Investimento Inicial'!$C$10</f>
        <v>-1000</v>
      </c>
      <c r="AG19" s="63"/>
      <c r="AH19" s="63"/>
      <c r="AI19" s="104" t="s">
        <v>201</v>
      </c>
      <c r="AJ19" s="105">
        <f>-'Investimento Inicial'!$C$10</f>
        <v>-1000</v>
      </c>
      <c r="AK19" s="63"/>
      <c r="AL19" s="63"/>
      <c r="AM19" s="104" t="s">
        <v>201</v>
      </c>
      <c r="AN19" s="105">
        <f>-'Investimento Inicial'!$C$10</f>
        <v>-1000</v>
      </c>
      <c r="AO19" s="63"/>
      <c r="AP19" s="63"/>
      <c r="AQ19" s="104" t="s">
        <v>201</v>
      </c>
      <c r="AR19" s="105">
        <f>-'Investimento Inicial'!$C$10</f>
        <v>-1000</v>
      </c>
      <c r="AS19" s="63"/>
      <c r="AT19" s="63"/>
      <c r="AU19" s="104" t="s">
        <v>201</v>
      </c>
      <c r="AV19" s="105">
        <f>-'Investimento Inicial'!$C$10</f>
        <v>-1000</v>
      </c>
      <c r="AW19" s="63"/>
      <c r="AX19" s="63"/>
      <c r="AY19" s="104" t="s">
        <v>201</v>
      </c>
      <c r="AZ19" s="105">
        <f>-'Investimento Inicial'!$C$10</f>
        <v>-1000</v>
      </c>
      <c r="BA19" s="63"/>
      <c r="BB19" s="63"/>
      <c r="BC19" s="104" t="s">
        <v>201</v>
      </c>
      <c r="BD19" s="105">
        <f>-'Investimento Inicial'!$C$10</f>
        <v>-1000</v>
      </c>
      <c r="BE19" s="63"/>
      <c r="BF19" s="63"/>
      <c r="BG19" s="104" t="s">
        <v>201</v>
      </c>
      <c r="BH19" s="105">
        <f>-'Investimento Inicial'!$C$10</f>
        <v>-1000</v>
      </c>
      <c r="BI19" s="63"/>
      <c r="BJ19" s="63"/>
      <c r="BK19" s="104" t="s">
        <v>201</v>
      </c>
      <c r="BL19" s="105">
        <f>-'Investimento Inicial'!$C$10</f>
        <v>-1000</v>
      </c>
      <c r="BM19" s="63"/>
      <c r="BN19" s="63"/>
      <c r="BO19" s="104" t="s">
        <v>201</v>
      </c>
      <c r="BP19" s="105">
        <f>-'Investimento Inicial'!$C$10</f>
        <v>-1000</v>
      </c>
      <c r="BQ19" s="63"/>
      <c r="BR19" s="63"/>
      <c r="BS19" s="104" t="s">
        <v>201</v>
      </c>
      <c r="BT19" s="105">
        <f>-'Investimento Inicial'!$C$10</f>
        <v>-1000</v>
      </c>
      <c r="BU19" s="63"/>
      <c r="BV19" s="63"/>
      <c r="BW19" s="104" t="s">
        <v>201</v>
      </c>
      <c r="BX19" s="105">
        <f>-'Investimento Inicial'!$C$10</f>
        <v>-1000</v>
      </c>
      <c r="BY19" s="63"/>
      <c r="BZ19" s="63"/>
      <c r="CA19" s="104" t="s">
        <v>201</v>
      </c>
      <c r="CB19" s="105">
        <f>-'Investimento Inicial'!$C$10</f>
        <v>-1000</v>
      </c>
      <c r="CC19" s="63"/>
      <c r="CD19" s="63"/>
      <c r="CE19" s="104" t="s">
        <v>201</v>
      </c>
      <c r="CF19" s="105">
        <f>-'Investimento Inicial'!$C$10</f>
        <v>-1000</v>
      </c>
      <c r="CG19" s="63"/>
      <c r="CH19" s="63"/>
      <c r="CI19" s="104" t="s">
        <v>201</v>
      </c>
      <c r="CJ19" s="105">
        <f>-'Investimento Inicial'!$C$10</f>
        <v>-1000</v>
      </c>
      <c r="CK19" s="63"/>
      <c r="CL19" s="63"/>
      <c r="CM19" s="104" t="s">
        <v>201</v>
      </c>
      <c r="CN19" s="105">
        <f>-'Investimento Inicial'!$C$10</f>
        <v>-1000</v>
      </c>
      <c r="CO19" s="63"/>
      <c r="CP19" s="63"/>
      <c r="CQ19" s="104" t="s">
        <v>201</v>
      </c>
      <c r="CR19" s="105">
        <f>-'Investimento Inicial'!$C$10</f>
        <v>-1000</v>
      </c>
      <c r="CS19" s="63"/>
      <c r="CT19" s="63"/>
      <c r="CU19" s="104" t="s">
        <v>201</v>
      </c>
      <c r="CV19" s="105">
        <f>-'Investimento Inicial'!$C$10</f>
        <v>-1000</v>
      </c>
      <c r="CW19" s="63"/>
      <c r="CX19" s="63"/>
      <c r="CY19" s="104" t="s">
        <v>201</v>
      </c>
      <c r="CZ19" s="105">
        <f>-'Investimento Inicial'!$C$10</f>
        <v>-1000</v>
      </c>
      <c r="DA19" s="63"/>
      <c r="DB19" s="63"/>
      <c r="DC19" s="104" t="s">
        <v>201</v>
      </c>
      <c r="DD19" s="105">
        <f>-'Investimento Inicial'!$C$10</f>
        <v>-1000</v>
      </c>
      <c r="DE19" s="63"/>
      <c r="DF19" s="63"/>
      <c r="DG19" s="104" t="s">
        <v>201</v>
      </c>
      <c r="DH19" s="105">
        <f>-'Investimento Inicial'!$C$10</f>
        <v>-1000</v>
      </c>
      <c r="DI19" s="63"/>
      <c r="DJ19" s="63"/>
      <c r="DK19" s="104" t="s">
        <v>201</v>
      </c>
      <c r="DL19" s="105">
        <f>-'Investimento Inicial'!$C$10</f>
        <v>-1000</v>
      </c>
      <c r="DM19" s="63"/>
      <c r="DN19" s="63"/>
      <c r="DO19" s="104" t="s">
        <v>201</v>
      </c>
      <c r="DP19" s="105">
        <f>-'Investimento Inicial'!$C$10</f>
        <v>-1000</v>
      </c>
      <c r="DQ19" s="63"/>
      <c r="DR19" s="63"/>
      <c r="DS19" s="104" t="s">
        <v>201</v>
      </c>
      <c r="DT19" s="105">
        <f>-'Investimento Inicial'!$C$10</f>
        <v>-1000</v>
      </c>
      <c r="DU19" s="63"/>
      <c r="DV19" s="63"/>
      <c r="DW19" s="104" t="s">
        <v>201</v>
      </c>
      <c r="DX19" s="105">
        <f>-'Investimento Inicial'!$C$10</f>
        <v>-1000</v>
      </c>
      <c r="DY19" s="63"/>
      <c r="DZ19" s="63"/>
      <c r="EA19" s="104" t="s">
        <v>201</v>
      </c>
      <c r="EB19" s="105">
        <f>-'Investimento Inicial'!$C$10</f>
        <v>-1000</v>
      </c>
      <c r="EC19" s="63"/>
      <c r="ED19" s="63"/>
      <c r="EE19" s="104" t="s">
        <v>201</v>
      </c>
      <c r="EF19" s="105">
        <f>-'Investimento Inicial'!$C$10</f>
        <v>-1000</v>
      </c>
      <c r="EG19" s="63"/>
      <c r="EH19" s="63"/>
      <c r="EI19" s="104" t="s">
        <v>201</v>
      </c>
      <c r="EJ19" s="105">
        <f>-'Investimento Inicial'!$C$10</f>
        <v>-1000</v>
      </c>
      <c r="EK19" s="63"/>
      <c r="EL19" s="63"/>
      <c r="EM19" s="104" t="s">
        <v>201</v>
      </c>
      <c r="EN19" s="105">
        <f>-'Investimento Inicial'!$C$10</f>
        <v>-1000</v>
      </c>
      <c r="EO19" s="63"/>
      <c r="EP19" s="63"/>
      <c r="EQ19" s="104" t="s">
        <v>201</v>
      </c>
      <c r="ER19" s="105">
        <f>-'Investimento Inicial'!$C$10</f>
        <v>-1000</v>
      </c>
      <c r="ES19" s="63"/>
      <c r="ET19" s="63"/>
      <c r="EU19" s="104" t="s">
        <v>201</v>
      </c>
      <c r="EV19" s="105">
        <f>-'Investimento Inicial'!$C$10</f>
        <v>-1000</v>
      </c>
      <c r="EW19" s="63"/>
      <c r="EX19" s="63"/>
      <c r="EY19" s="104" t="s">
        <v>201</v>
      </c>
      <c r="EZ19" s="105">
        <f>-'Investimento Inicial'!$C$10</f>
        <v>-1000</v>
      </c>
      <c r="FA19" s="63"/>
      <c r="FB19" s="63"/>
      <c r="FC19" s="104" t="s">
        <v>201</v>
      </c>
      <c r="FD19" s="105">
        <f>-'Investimento Inicial'!$C$10</f>
        <v>-1000</v>
      </c>
      <c r="FE19" s="63"/>
      <c r="FF19" s="63"/>
      <c r="FG19" s="104" t="s">
        <v>201</v>
      </c>
      <c r="FH19" s="105">
        <f>-'Investimento Inicial'!$C$10</f>
        <v>-1000</v>
      </c>
      <c r="FI19" s="63"/>
      <c r="FJ19" s="63"/>
      <c r="FK19" s="104" t="s">
        <v>201</v>
      </c>
      <c r="FL19" s="105">
        <f>-'Investimento Inicial'!$C$10</f>
        <v>-1000</v>
      </c>
      <c r="FM19" s="63"/>
      <c r="FN19" s="63"/>
      <c r="FO19" s="104" t="s">
        <v>201</v>
      </c>
      <c r="FP19" s="105">
        <f>-'Investimento Inicial'!$C$10</f>
        <v>-1000</v>
      </c>
      <c r="FQ19" s="63"/>
      <c r="FR19" s="63"/>
      <c r="FS19" s="104" t="s">
        <v>201</v>
      </c>
      <c r="FT19" s="105">
        <f>-'Investimento Inicial'!$C$10</f>
        <v>-1000</v>
      </c>
      <c r="FU19" s="63"/>
      <c r="FV19" s="63"/>
      <c r="FW19" s="104" t="s">
        <v>201</v>
      </c>
      <c r="FX19" s="105">
        <f>-'Investimento Inicial'!$C$10</f>
        <v>-1000</v>
      </c>
      <c r="FY19" s="63"/>
      <c r="FZ19" s="63"/>
      <c r="GA19" s="104" t="s">
        <v>201</v>
      </c>
      <c r="GB19" s="105">
        <f>-'Investimento Inicial'!$C$10</f>
        <v>-1000</v>
      </c>
      <c r="GC19" s="63"/>
      <c r="GD19" s="63"/>
      <c r="GE19" s="104" t="s">
        <v>201</v>
      </c>
      <c r="GF19" s="105">
        <f>-'Investimento Inicial'!$C$10</f>
        <v>-1000</v>
      </c>
      <c r="GG19" s="63"/>
      <c r="GH19" s="63"/>
      <c r="GI19" s="104" t="s">
        <v>201</v>
      </c>
      <c r="GJ19" s="105">
        <f>-'Investimento Inicial'!$C$10</f>
        <v>-1000</v>
      </c>
      <c r="GK19" s="63"/>
      <c r="GL19" s="63"/>
      <c r="GM19" s="104" t="s">
        <v>201</v>
      </c>
      <c r="GN19" s="105">
        <f>-'Investimento Inicial'!$C$10</f>
        <v>-1000</v>
      </c>
      <c r="GO19" s="63"/>
      <c r="GP19" s="63"/>
      <c r="GQ19" s="104" t="s">
        <v>201</v>
      </c>
      <c r="GR19" s="105">
        <f>-'Investimento Inicial'!$C$10</f>
        <v>-1000</v>
      </c>
      <c r="GS19" s="63"/>
      <c r="GT19" s="63"/>
      <c r="GU19" s="104" t="s">
        <v>201</v>
      </c>
      <c r="GV19" s="105">
        <f>-'Investimento Inicial'!$C$10</f>
        <v>-1000</v>
      </c>
      <c r="GW19" s="63"/>
      <c r="GX19" s="63"/>
      <c r="GY19" s="104" t="s">
        <v>201</v>
      </c>
      <c r="GZ19" s="105">
        <f>-'Investimento Inicial'!$C$10</f>
        <v>-1000</v>
      </c>
      <c r="HA19" s="63"/>
      <c r="HB19" s="63"/>
      <c r="HC19" s="104" t="s">
        <v>201</v>
      </c>
      <c r="HD19" s="105">
        <f>-'Investimento Inicial'!$C$10</f>
        <v>-1000</v>
      </c>
      <c r="HE19" s="63"/>
      <c r="HF19" s="63"/>
      <c r="HG19" s="104" t="s">
        <v>201</v>
      </c>
      <c r="HH19" s="105">
        <f>-'Investimento Inicial'!$C$10</f>
        <v>-1000</v>
      </c>
      <c r="HI19" s="63"/>
      <c r="HJ19" s="63"/>
      <c r="HK19" s="104" t="s">
        <v>201</v>
      </c>
      <c r="HL19" s="105">
        <f>-'Investimento Inicial'!$C$10</f>
        <v>-1000</v>
      </c>
      <c r="HM19" s="63"/>
      <c r="HN19" s="63"/>
      <c r="HO19" s="104" t="s">
        <v>201</v>
      </c>
      <c r="HP19" s="105">
        <f>-'Investimento Inicial'!$C$10</f>
        <v>-1000</v>
      </c>
      <c r="HQ19" s="63"/>
      <c r="HR19" s="63"/>
      <c r="HS19" s="104" t="s">
        <v>201</v>
      </c>
      <c r="HT19" s="105">
        <f>-'Investimento Inicial'!$C$10</f>
        <v>-1000</v>
      </c>
      <c r="HU19" s="63"/>
      <c r="HV19" s="63"/>
      <c r="HW19" s="104" t="s">
        <v>201</v>
      </c>
      <c r="HX19" s="105">
        <f>-'Investimento Inicial'!$C$10</f>
        <v>-1000</v>
      </c>
      <c r="HY19" s="63"/>
      <c r="HZ19" s="63"/>
      <c r="IA19" s="104" t="s">
        <v>201</v>
      </c>
      <c r="IB19" s="105">
        <f>-'Investimento Inicial'!$C$10</f>
        <v>-1000</v>
      </c>
      <c r="IC19" s="63"/>
      <c r="ID19" s="63"/>
      <c r="IE19" s="104" t="s">
        <v>201</v>
      </c>
      <c r="IF19" s="105">
        <f>-'Investimento Inicial'!$C$10</f>
        <v>-1000</v>
      </c>
      <c r="IG19" s="63"/>
      <c r="IH19" s="63"/>
      <c r="II19" s="104" t="s">
        <v>201</v>
      </c>
      <c r="IJ19" s="105">
        <f>-'Investimento Inicial'!$C$10</f>
        <v>-1000</v>
      </c>
      <c r="IK19" s="63"/>
      <c r="IL19" s="63"/>
      <c r="IM19" s="104" t="s">
        <v>201</v>
      </c>
      <c r="IN19" s="105">
        <f>-'Investimento Inicial'!$C$10</f>
        <v>-1000</v>
      </c>
      <c r="IO19" s="63"/>
      <c r="IP19" s="63"/>
      <c r="IQ19" s="104" t="s">
        <v>201</v>
      </c>
      <c r="IR19" s="105">
        <f>-'Investimento Inicial'!$C$10</f>
        <v>-1000</v>
      </c>
      <c r="IS19" s="63"/>
      <c r="IT19" s="63"/>
      <c r="IU19" s="104" t="s">
        <v>201</v>
      </c>
      <c r="IV19" s="105">
        <f>-'Investimento Inicial'!$C$10</f>
        <v>-1000</v>
      </c>
      <c r="IW19" s="63"/>
      <c r="IX19" s="63"/>
      <c r="IY19" s="104" t="s">
        <v>201</v>
      </c>
      <c r="IZ19" s="105">
        <f>-'Investimento Inicial'!$C$10</f>
        <v>-1000</v>
      </c>
      <c r="JA19" s="63"/>
      <c r="JB19" s="63"/>
      <c r="JC19" s="104" t="s">
        <v>201</v>
      </c>
      <c r="JD19" s="105">
        <f>-'Investimento Inicial'!$C$10</f>
        <v>-1000</v>
      </c>
      <c r="JE19" s="63"/>
      <c r="JF19" s="63"/>
      <c r="JG19" s="104" t="s">
        <v>201</v>
      </c>
      <c r="JH19" s="105">
        <f>-'Investimento Inicial'!$C$10</f>
        <v>-1000</v>
      </c>
      <c r="JI19" s="63"/>
      <c r="JJ19" s="63"/>
      <c r="JK19" s="104" t="s">
        <v>201</v>
      </c>
      <c r="JL19" s="105">
        <f>-'Investimento Inicial'!$C$10</f>
        <v>-1000</v>
      </c>
      <c r="JM19" s="63"/>
      <c r="JN19" s="63"/>
      <c r="JO19" s="104" t="s">
        <v>201</v>
      </c>
      <c r="JP19" s="105">
        <f>-'Investimento Inicial'!$C$10</f>
        <v>-1000</v>
      </c>
      <c r="JQ19" s="63"/>
      <c r="JR19" s="63"/>
      <c r="JS19" s="104" t="s">
        <v>201</v>
      </c>
      <c r="JT19" s="105">
        <f>-'Investimento Inicial'!$C$10</f>
        <v>-1000</v>
      </c>
      <c r="JU19" s="63"/>
      <c r="JV19" s="63"/>
      <c r="JW19" s="104" t="s">
        <v>201</v>
      </c>
      <c r="JX19" s="105">
        <f>-'Investimento Inicial'!$C$10</f>
        <v>-1000</v>
      </c>
      <c r="JY19" s="63"/>
      <c r="JZ19" s="63"/>
      <c r="KA19" s="104" t="s">
        <v>201</v>
      </c>
      <c r="KB19" s="105">
        <f>-'Investimento Inicial'!$C$10</f>
        <v>-1000</v>
      </c>
      <c r="KC19" s="63"/>
      <c r="KD19" s="63"/>
      <c r="KE19" s="104" t="s">
        <v>201</v>
      </c>
      <c r="KF19" s="105">
        <f>-'Investimento Inicial'!$C$10</f>
        <v>-1000</v>
      </c>
      <c r="KG19" s="63"/>
      <c r="KH19" s="63"/>
    </row>
    <row r="20" spans="1:294" x14ac:dyDescent="0.25">
      <c r="C20" s="104" t="s">
        <v>216</v>
      </c>
      <c r="D20" s="105">
        <v>-300</v>
      </c>
      <c r="F20" s="63"/>
      <c r="G20" s="104" t="s">
        <v>216</v>
      </c>
      <c r="H20" s="105">
        <v>-300</v>
      </c>
      <c r="I20" s="44"/>
      <c r="J20" s="63"/>
      <c r="K20" s="104" t="s">
        <v>216</v>
      </c>
      <c r="L20" s="105">
        <v>-300</v>
      </c>
      <c r="M20" s="44"/>
      <c r="N20" s="63"/>
      <c r="O20" s="104" t="s">
        <v>216</v>
      </c>
      <c r="P20" s="105">
        <v>-300</v>
      </c>
      <c r="Q20" s="44"/>
      <c r="R20" s="63"/>
      <c r="S20" s="104" t="s">
        <v>216</v>
      </c>
      <c r="T20" s="105">
        <v>-300</v>
      </c>
      <c r="U20" s="44"/>
      <c r="V20" s="63"/>
      <c r="W20" s="104" t="s">
        <v>216</v>
      </c>
      <c r="X20" s="105">
        <v>-300</v>
      </c>
      <c r="Y20" s="44"/>
      <c r="Z20" s="63"/>
      <c r="AA20" s="104" t="s">
        <v>216</v>
      </c>
      <c r="AB20" s="105">
        <v>-300</v>
      </c>
      <c r="AC20" s="44"/>
      <c r="AD20" s="63"/>
      <c r="AE20" s="104" t="s">
        <v>216</v>
      </c>
      <c r="AF20" s="105">
        <v>-300</v>
      </c>
      <c r="AG20" s="44"/>
      <c r="AH20" s="63"/>
      <c r="AI20" s="104" t="s">
        <v>216</v>
      </c>
      <c r="AJ20" s="105">
        <v>-300</v>
      </c>
      <c r="AK20" s="44"/>
      <c r="AL20" s="63"/>
      <c r="AM20" s="104" t="s">
        <v>216</v>
      </c>
      <c r="AN20" s="105">
        <v>-300</v>
      </c>
      <c r="AO20" s="44"/>
      <c r="AP20" s="63"/>
      <c r="AQ20" s="104" t="s">
        <v>216</v>
      </c>
      <c r="AR20" s="105">
        <v>-300</v>
      </c>
      <c r="AS20" s="44"/>
      <c r="AT20" s="63"/>
      <c r="AU20" s="104" t="s">
        <v>216</v>
      </c>
      <c r="AV20" s="105">
        <v>-300</v>
      </c>
      <c r="AW20" s="44"/>
      <c r="AX20" s="63"/>
      <c r="AY20" s="104" t="s">
        <v>216</v>
      </c>
      <c r="AZ20" s="105">
        <v>-300</v>
      </c>
      <c r="BA20" s="44"/>
      <c r="BB20" s="63"/>
      <c r="BC20" s="104" t="s">
        <v>216</v>
      </c>
      <c r="BD20" s="105">
        <v>-300</v>
      </c>
      <c r="BE20" s="44"/>
      <c r="BF20" s="63"/>
      <c r="BG20" s="104" t="s">
        <v>216</v>
      </c>
      <c r="BH20" s="105">
        <v>-300</v>
      </c>
      <c r="BI20" s="44"/>
      <c r="BJ20" s="63"/>
      <c r="BK20" s="104" t="s">
        <v>216</v>
      </c>
      <c r="BL20" s="105">
        <v>-300</v>
      </c>
      <c r="BM20" s="44"/>
      <c r="BN20" s="63"/>
      <c r="BO20" s="104" t="s">
        <v>216</v>
      </c>
      <c r="BP20" s="105">
        <v>-300</v>
      </c>
      <c r="BQ20" s="44"/>
      <c r="BR20" s="63"/>
      <c r="BS20" s="104" t="s">
        <v>216</v>
      </c>
      <c r="BT20" s="105">
        <v>-300</v>
      </c>
      <c r="BU20" s="44"/>
      <c r="BV20" s="63"/>
      <c r="BW20" s="104" t="s">
        <v>216</v>
      </c>
      <c r="BX20" s="105">
        <v>-300</v>
      </c>
      <c r="BY20" s="44"/>
      <c r="BZ20" s="63"/>
      <c r="CA20" s="104" t="s">
        <v>216</v>
      </c>
      <c r="CB20" s="105">
        <v>-300</v>
      </c>
      <c r="CC20" s="44"/>
      <c r="CD20" s="63"/>
      <c r="CE20" s="104" t="s">
        <v>216</v>
      </c>
      <c r="CF20" s="105">
        <v>-300</v>
      </c>
      <c r="CG20" s="44"/>
      <c r="CH20" s="63"/>
      <c r="CI20" s="104" t="s">
        <v>216</v>
      </c>
      <c r="CJ20" s="105">
        <v>-300</v>
      </c>
      <c r="CK20" s="44"/>
      <c r="CL20" s="63"/>
      <c r="CM20" s="104" t="s">
        <v>216</v>
      </c>
      <c r="CN20" s="105">
        <v>-300</v>
      </c>
      <c r="CO20" s="44"/>
      <c r="CP20" s="63"/>
      <c r="CQ20" s="104" t="s">
        <v>216</v>
      </c>
      <c r="CR20" s="105">
        <v>-300</v>
      </c>
      <c r="CS20" s="44"/>
      <c r="CT20" s="63"/>
      <c r="CU20" s="104" t="s">
        <v>216</v>
      </c>
      <c r="CV20" s="105">
        <v>-300</v>
      </c>
      <c r="CW20" s="44"/>
      <c r="CX20" s="63"/>
      <c r="CY20" s="104" t="s">
        <v>216</v>
      </c>
      <c r="CZ20" s="105">
        <v>-300</v>
      </c>
      <c r="DA20" s="44"/>
      <c r="DB20" s="63"/>
      <c r="DC20" s="104" t="s">
        <v>216</v>
      </c>
      <c r="DD20" s="105">
        <v>-300</v>
      </c>
      <c r="DE20" s="44"/>
      <c r="DF20" s="63"/>
      <c r="DG20" s="104" t="s">
        <v>216</v>
      </c>
      <c r="DH20" s="105">
        <v>-300</v>
      </c>
      <c r="DI20" s="44"/>
      <c r="DJ20" s="63"/>
      <c r="DK20" s="104" t="s">
        <v>216</v>
      </c>
      <c r="DL20" s="105">
        <v>-300</v>
      </c>
      <c r="DM20" s="44"/>
      <c r="DN20" s="63"/>
      <c r="DO20" s="104" t="s">
        <v>216</v>
      </c>
      <c r="DP20" s="105">
        <v>-300</v>
      </c>
      <c r="DQ20" s="44"/>
      <c r="DR20" s="63"/>
      <c r="DS20" s="104" t="s">
        <v>216</v>
      </c>
      <c r="DT20" s="105">
        <v>-300</v>
      </c>
      <c r="DU20" s="44"/>
      <c r="DV20" s="63"/>
      <c r="DW20" s="104" t="s">
        <v>216</v>
      </c>
      <c r="DX20" s="105">
        <v>-300</v>
      </c>
      <c r="DY20" s="44"/>
      <c r="DZ20" s="63"/>
      <c r="EA20" s="104" t="s">
        <v>216</v>
      </c>
      <c r="EB20" s="105">
        <v>-300</v>
      </c>
      <c r="EC20" s="44"/>
      <c r="ED20" s="63"/>
      <c r="EE20" s="104" t="s">
        <v>216</v>
      </c>
      <c r="EF20" s="105">
        <v>-300</v>
      </c>
      <c r="EG20" s="44"/>
      <c r="EH20" s="63"/>
      <c r="EI20" s="104" t="s">
        <v>216</v>
      </c>
      <c r="EJ20" s="105">
        <v>-300</v>
      </c>
      <c r="EK20" s="44"/>
      <c r="EL20" s="63"/>
      <c r="EM20" s="104" t="s">
        <v>216</v>
      </c>
      <c r="EN20" s="105">
        <v>-300</v>
      </c>
      <c r="EO20" s="44"/>
      <c r="EP20" s="63"/>
      <c r="EQ20" s="104" t="s">
        <v>216</v>
      </c>
      <c r="ER20" s="105">
        <v>-300</v>
      </c>
      <c r="ES20" s="44"/>
      <c r="ET20" s="63"/>
      <c r="EU20" s="104" t="s">
        <v>216</v>
      </c>
      <c r="EV20" s="105">
        <v>-300</v>
      </c>
      <c r="EW20" s="44"/>
      <c r="EX20" s="63"/>
      <c r="EY20" s="104" t="s">
        <v>216</v>
      </c>
      <c r="EZ20" s="105">
        <v>-300</v>
      </c>
      <c r="FA20" s="44"/>
      <c r="FB20" s="63"/>
      <c r="FC20" s="104" t="s">
        <v>216</v>
      </c>
      <c r="FD20" s="105">
        <v>-300</v>
      </c>
      <c r="FE20" s="44"/>
      <c r="FF20" s="63"/>
      <c r="FG20" s="104" t="s">
        <v>216</v>
      </c>
      <c r="FH20" s="105">
        <v>-300</v>
      </c>
      <c r="FI20" s="44"/>
      <c r="FJ20" s="63"/>
      <c r="FK20" s="104" t="s">
        <v>216</v>
      </c>
      <c r="FL20" s="105">
        <v>-300</v>
      </c>
      <c r="FM20" s="44"/>
      <c r="FN20" s="63"/>
      <c r="FO20" s="104" t="s">
        <v>216</v>
      </c>
      <c r="FP20" s="105">
        <v>-300</v>
      </c>
      <c r="FQ20" s="44"/>
      <c r="FR20" s="63"/>
      <c r="FS20" s="104" t="s">
        <v>216</v>
      </c>
      <c r="FT20" s="105">
        <v>-300</v>
      </c>
      <c r="FU20" s="44"/>
      <c r="FV20" s="63"/>
      <c r="FW20" s="104" t="s">
        <v>216</v>
      </c>
      <c r="FX20" s="105">
        <v>-300</v>
      </c>
      <c r="FY20" s="44"/>
      <c r="FZ20" s="63"/>
      <c r="GA20" s="104" t="s">
        <v>216</v>
      </c>
      <c r="GB20" s="105">
        <v>-300</v>
      </c>
      <c r="GC20" s="44"/>
      <c r="GD20" s="63"/>
      <c r="GE20" s="104" t="s">
        <v>216</v>
      </c>
      <c r="GF20" s="105">
        <v>-300</v>
      </c>
      <c r="GG20" s="44"/>
      <c r="GH20" s="63"/>
      <c r="GI20" s="104" t="s">
        <v>216</v>
      </c>
      <c r="GJ20" s="105">
        <v>-300</v>
      </c>
      <c r="GK20" s="44"/>
      <c r="GL20" s="63"/>
      <c r="GM20" s="104" t="s">
        <v>216</v>
      </c>
      <c r="GN20" s="105">
        <v>-300</v>
      </c>
      <c r="GO20" s="44"/>
      <c r="GP20" s="63"/>
      <c r="GQ20" s="104" t="s">
        <v>216</v>
      </c>
      <c r="GR20" s="105">
        <v>-300</v>
      </c>
      <c r="GS20" s="44"/>
      <c r="GT20" s="63"/>
      <c r="GU20" s="104" t="s">
        <v>216</v>
      </c>
      <c r="GV20" s="105">
        <v>-300</v>
      </c>
      <c r="GW20" s="44"/>
      <c r="GX20" s="63"/>
      <c r="GY20" s="104" t="s">
        <v>216</v>
      </c>
      <c r="GZ20" s="105">
        <v>-300</v>
      </c>
      <c r="HA20" s="44"/>
      <c r="HB20" s="63"/>
      <c r="HC20" s="104" t="s">
        <v>216</v>
      </c>
      <c r="HD20" s="105">
        <v>-300</v>
      </c>
      <c r="HE20" s="44"/>
      <c r="HF20" s="63"/>
      <c r="HG20" s="104" t="s">
        <v>216</v>
      </c>
      <c r="HH20" s="105">
        <v>-300</v>
      </c>
      <c r="HI20" s="44"/>
      <c r="HJ20" s="63"/>
      <c r="HK20" s="104" t="s">
        <v>216</v>
      </c>
      <c r="HL20" s="105">
        <v>-300</v>
      </c>
      <c r="HM20" s="44"/>
      <c r="HN20" s="63"/>
      <c r="HO20" s="104" t="s">
        <v>216</v>
      </c>
      <c r="HP20" s="105">
        <v>-300</v>
      </c>
      <c r="HQ20" s="44"/>
      <c r="HR20" s="63"/>
      <c r="HS20" s="104" t="s">
        <v>216</v>
      </c>
      <c r="HT20" s="105">
        <v>-300</v>
      </c>
      <c r="HU20" s="44"/>
      <c r="HV20" s="63"/>
      <c r="HW20" s="104" t="s">
        <v>216</v>
      </c>
      <c r="HX20" s="105">
        <v>-300</v>
      </c>
      <c r="HY20" s="44"/>
      <c r="HZ20" s="63"/>
      <c r="IA20" s="104" t="s">
        <v>216</v>
      </c>
      <c r="IB20" s="105">
        <v>-300</v>
      </c>
      <c r="IC20" s="44"/>
      <c r="ID20" s="63"/>
      <c r="IE20" s="104" t="s">
        <v>216</v>
      </c>
      <c r="IF20" s="105">
        <v>-300</v>
      </c>
      <c r="IG20" s="44"/>
      <c r="IH20" s="63"/>
      <c r="II20" s="104" t="s">
        <v>216</v>
      </c>
      <c r="IJ20" s="105">
        <v>-300</v>
      </c>
      <c r="IK20" s="44"/>
      <c r="IL20" s="63"/>
      <c r="IM20" s="104" t="s">
        <v>216</v>
      </c>
      <c r="IN20" s="105">
        <v>-300</v>
      </c>
      <c r="IO20" s="44"/>
      <c r="IP20" s="63"/>
      <c r="IQ20" s="104" t="s">
        <v>216</v>
      </c>
      <c r="IR20" s="105">
        <v>-300</v>
      </c>
      <c r="IS20" s="44"/>
      <c r="IT20" s="63"/>
      <c r="IU20" s="104" t="s">
        <v>216</v>
      </c>
      <c r="IV20" s="105">
        <v>-300</v>
      </c>
      <c r="IW20" s="44"/>
      <c r="IX20" s="63"/>
      <c r="IY20" s="104" t="s">
        <v>216</v>
      </c>
      <c r="IZ20" s="105">
        <v>-300</v>
      </c>
      <c r="JA20" s="44"/>
      <c r="JB20" s="63"/>
      <c r="JC20" s="104" t="s">
        <v>216</v>
      </c>
      <c r="JD20" s="105">
        <v>-300</v>
      </c>
      <c r="JE20" s="44"/>
      <c r="JF20" s="63"/>
      <c r="JG20" s="104" t="s">
        <v>216</v>
      </c>
      <c r="JH20" s="105">
        <v>-300</v>
      </c>
      <c r="JI20" s="44"/>
      <c r="JJ20" s="63"/>
      <c r="JK20" s="104" t="s">
        <v>216</v>
      </c>
      <c r="JL20" s="105">
        <v>-300</v>
      </c>
      <c r="JM20" s="44"/>
      <c r="JN20" s="63"/>
      <c r="JO20" s="104" t="s">
        <v>216</v>
      </c>
      <c r="JP20" s="105">
        <v>-300</v>
      </c>
      <c r="JQ20" s="44"/>
      <c r="JR20" s="63"/>
      <c r="JS20" s="104" t="s">
        <v>216</v>
      </c>
      <c r="JT20" s="105">
        <v>-300</v>
      </c>
      <c r="JU20" s="44"/>
      <c r="JV20" s="63"/>
      <c r="JW20" s="104" t="s">
        <v>216</v>
      </c>
      <c r="JX20" s="105">
        <v>-300</v>
      </c>
      <c r="JY20" s="44"/>
      <c r="JZ20" s="63"/>
      <c r="KA20" s="104" t="s">
        <v>216</v>
      </c>
      <c r="KB20" s="105">
        <v>-300</v>
      </c>
      <c r="KC20" s="44"/>
      <c r="KD20" s="63"/>
      <c r="KE20" s="104" t="s">
        <v>216</v>
      </c>
      <c r="KF20" s="105">
        <v>-300</v>
      </c>
      <c r="KG20" s="44"/>
      <c r="KH20" s="63"/>
    </row>
    <row r="21" spans="1:294" x14ac:dyDescent="0.25">
      <c r="C21" s="107" t="s">
        <v>93</v>
      </c>
      <c r="D21" s="108">
        <f>-AVERAGE('Simulação Empréstimo'!$K$6:$K$11)/12</f>
        <v>-1714.1957365239887</v>
      </c>
      <c r="E21" s="35"/>
      <c r="G21" s="107" t="s">
        <v>93</v>
      </c>
      <c r="H21" s="108">
        <f>-AVERAGE('Simulação Empréstimo'!$K$6:$K$11)/12</f>
        <v>-1714.1957365239887</v>
      </c>
      <c r="K21" s="107" t="s">
        <v>93</v>
      </c>
      <c r="L21" s="108">
        <f>-AVERAGE('Simulação Empréstimo'!$K$6:$K$11)/12</f>
        <v>-1714.1957365239887</v>
      </c>
      <c r="N21" s="44"/>
      <c r="O21" s="107" t="s">
        <v>93</v>
      </c>
      <c r="P21" s="108">
        <f>-AVERAGE('Simulação Empréstimo'!$K$6:$K$11)/12</f>
        <v>-1714.1957365239887</v>
      </c>
      <c r="R21" s="44"/>
      <c r="S21" s="107" t="s">
        <v>93</v>
      </c>
      <c r="T21" s="108">
        <f>-AVERAGE('Simulação Empréstimo'!$K$6:$K$11)/12</f>
        <v>-1714.1957365239887</v>
      </c>
      <c r="V21" s="44"/>
      <c r="W21" s="107" t="s">
        <v>93</v>
      </c>
      <c r="X21" s="108">
        <f>-AVERAGE('Simulação Empréstimo'!$K$6:$K$11)/12</f>
        <v>-1714.1957365239887</v>
      </c>
      <c r="Z21" s="44"/>
      <c r="AA21" s="107" t="s">
        <v>93</v>
      </c>
      <c r="AB21" s="108">
        <f>-AVERAGE('Simulação Empréstimo'!$K$6:$K$11)/12</f>
        <v>-1714.1957365239887</v>
      </c>
      <c r="AD21" s="44"/>
      <c r="AE21" s="107" t="s">
        <v>93</v>
      </c>
      <c r="AF21" s="108">
        <f>-AVERAGE('Simulação Empréstimo'!$K$6:$K$11)/12</f>
        <v>-1714.1957365239887</v>
      </c>
      <c r="AH21" s="44"/>
      <c r="AI21" s="107" t="s">
        <v>93</v>
      </c>
      <c r="AJ21" s="108">
        <f>-AVERAGE('Simulação Empréstimo'!$K$6:$K$11)/12</f>
        <v>-1714.1957365239887</v>
      </c>
      <c r="AL21" s="44"/>
      <c r="AM21" s="107" t="s">
        <v>93</v>
      </c>
      <c r="AN21" s="108">
        <f>-AVERAGE('Simulação Empréstimo'!$K$6:$K$11)/12</f>
        <v>-1714.1957365239887</v>
      </c>
      <c r="AP21" s="44"/>
      <c r="AQ21" s="107" t="s">
        <v>93</v>
      </c>
      <c r="AR21" s="108">
        <f>-AVERAGE('Simulação Empréstimo'!$K$6:$K$11)/12</f>
        <v>-1714.1957365239887</v>
      </c>
      <c r="AT21" s="44"/>
      <c r="AU21" s="107" t="s">
        <v>93</v>
      </c>
      <c r="AV21" s="108">
        <f>-AVERAGE('Simulação Empréstimo'!$K$6:$K$11)/12</f>
        <v>-1714.1957365239887</v>
      </c>
      <c r="AX21" s="44"/>
      <c r="AY21" s="107" t="s">
        <v>93</v>
      </c>
      <c r="AZ21" s="108">
        <f>-AVERAGE('Simulação Empréstimo'!$K$6:$K$11)/12</f>
        <v>-1714.1957365239887</v>
      </c>
      <c r="BB21" s="44"/>
      <c r="BC21" s="107" t="s">
        <v>93</v>
      </c>
      <c r="BD21" s="108">
        <f>-AVERAGE('Simulação Empréstimo'!$K$6:$K$11)/12</f>
        <v>-1714.1957365239887</v>
      </c>
      <c r="BF21" s="44"/>
      <c r="BG21" s="107" t="s">
        <v>93</v>
      </c>
      <c r="BH21" s="108">
        <f>-AVERAGE('Simulação Empréstimo'!$K$6:$K$11)/12</f>
        <v>-1714.1957365239887</v>
      </c>
      <c r="BJ21" s="44"/>
      <c r="BK21" s="107" t="s">
        <v>93</v>
      </c>
      <c r="BL21" s="108">
        <f>-AVERAGE('Simulação Empréstimo'!$K$6:$K$11)/12</f>
        <v>-1714.1957365239887</v>
      </c>
      <c r="BN21" s="44"/>
      <c r="BO21" s="107" t="s">
        <v>93</v>
      </c>
      <c r="BP21" s="108">
        <f>-AVERAGE('Simulação Empréstimo'!$K$6:$K$11)/12</f>
        <v>-1714.1957365239887</v>
      </c>
      <c r="BR21" s="44"/>
      <c r="BS21" s="107" t="s">
        <v>93</v>
      </c>
      <c r="BT21" s="108">
        <f>-AVERAGE('Simulação Empréstimo'!$K$6:$K$11)/12</f>
        <v>-1714.1957365239887</v>
      </c>
      <c r="BV21" s="44"/>
      <c r="BW21" s="107" t="s">
        <v>93</v>
      </c>
      <c r="BX21" s="108">
        <f>-AVERAGE('Simulação Empréstimo'!$K$6:$K$11)/12</f>
        <v>-1714.1957365239887</v>
      </c>
      <c r="BZ21" s="44"/>
      <c r="CA21" s="107" t="s">
        <v>93</v>
      </c>
      <c r="CB21" s="108">
        <f>-AVERAGE('Simulação Empréstimo'!$K$6:$K$11)/12</f>
        <v>-1714.1957365239887</v>
      </c>
      <c r="CD21" s="44"/>
      <c r="CE21" s="107" t="s">
        <v>93</v>
      </c>
      <c r="CF21" s="108">
        <f>-AVERAGE('Simulação Empréstimo'!$K$6:$K$11)/12</f>
        <v>-1714.1957365239887</v>
      </c>
      <c r="CH21" s="44"/>
      <c r="CI21" s="107" t="s">
        <v>93</v>
      </c>
      <c r="CJ21" s="108">
        <f>-AVERAGE('Simulação Empréstimo'!$K$6:$K$11)/12</f>
        <v>-1714.1957365239887</v>
      </c>
      <c r="CL21" s="44"/>
      <c r="CM21" s="107" t="s">
        <v>93</v>
      </c>
      <c r="CN21" s="108">
        <f>-AVERAGE('Simulação Empréstimo'!$K$6:$K$11)/12</f>
        <v>-1714.1957365239887</v>
      </c>
      <c r="CP21" s="44"/>
      <c r="CQ21" s="107" t="s">
        <v>93</v>
      </c>
      <c r="CR21" s="108">
        <f>-AVERAGE('Simulação Empréstimo'!$K$6:$K$11)/12</f>
        <v>-1714.1957365239887</v>
      </c>
      <c r="CT21" s="44"/>
      <c r="CU21" s="107" t="s">
        <v>93</v>
      </c>
      <c r="CV21" s="108">
        <f>-AVERAGE('Simulação Empréstimo'!$K$6:$K$11)/12</f>
        <v>-1714.1957365239887</v>
      </c>
      <c r="CX21" s="44"/>
      <c r="CY21" s="107" t="s">
        <v>93</v>
      </c>
      <c r="CZ21" s="108">
        <f>-AVERAGE('Simulação Empréstimo'!$K$6:$K$11)/12</f>
        <v>-1714.1957365239887</v>
      </c>
      <c r="DB21" s="44"/>
      <c r="DC21" s="107" t="s">
        <v>93</v>
      </c>
      <c r="DD21" s="108">
        <f>-AVERAGE('Simulação Empréstimo'!$K$6:$K$11)/12</f>
        <v>-1714.1957365239887</v>
      </c>
      <c r="DF21" s="44"/>
      <c r="DG21" s="107" t="s">
        <v>93</v>
      </c>
      <c r="DH21" s="108">
        <f>-AVERAGE('Simulação Empréstimo'!$K$6:$K$11)/12</f>
        <v>-1714.1957365239887</v>
      </c>
      <c r="DJ21" s="44"/>
      <c r="DK21" s="107" t="s">
        <v>93</v>
      </c>
      <c r="DL21" s="108">
        <f>-AVERAGE('Simulação Empréstimo'!$K$6:$K$11)/12</f>
        <v>-1714.1957365239887</v>
      </c>
      <c r="DN21" s="44"/>
      <c r="DO21" s="107" t="s">
        <v>93</v>
      </c>
      <c r="DP21" s="108">
        <f>-AVERAGE('Simulação Empréstimo'!$K$6:$K$11)/12</f>
        <v>-1714.1957365239887</v>
      </c>
      <c r="DR21" s="44"/>
      <c r="DS21" s="107" t="s">
        <v>93</v>
      </c>
      <c r="DT21" s="108">
        <f>-AVERAGE('Simulação Empréstimo'!$K$6:$K$11)/12</f>
        <v>-1714.1957365239887</v>
      </c>
      <c r="DV21" s="44"/>
      <c r="DW21" s="107" t="s">
        <v>93</v>
      </c>
      <c r="DX21" s="108">
        <f>-AVERAGE('Simulação Empréstimo'!$K$6:$K$11)/12</f>
        <v>-1714.1957365239887</v>
      </c>
      <c r="DZ21" s="44"/>
      <c r="EA21" s="107" t="s">
        <v>93</v>
      </c>
      <c r="EB21" s="108">
        <f>-AVERAGE('Simulação Empréstimo'!$K$6:$K$11)/12</f>
        <v>-1714.1957365239887</v>
      </c>
      <c r="ED21" s="44"/>
      <c r="EE21" s="107" t="s">
        <v>93</v>
      </c>
      <c r="EF21" s="108">
        <f>-AVERAGE('Simulação Empréstimo'!$K$6:$K$11)/12</f>
        <v>-1714.1957365239887</v>
      </c>
      <c r="EH21" s="44"/>
      <c r="EI21" s="107" t="s">
        <v>93</v>
      </c>
      <c r="EJ21" s="108">
        <f>-AVERAGE('Simulação Empréstimo'!$K$6:$K$11)/12</f>
        <v>-1714.1957365239887</v>
      </c>
      <c r="EL21" s="44"/>
      <c r="EM21" s="107" t="s">
        <v>93</v>
      </c>
      <c r="EN21" s="108">
        <f>-AVERAGE('Simulação Empréstimo'!$K$6:$K$11)/12</f>
        <v>-1714.1957365239887</v>
      </c>
      <c r="EP21" s="44"/>
      <c r="EQ21" s="107" t="s">
        <v>93</v>
      </c>
      <c r="ER21" s="108">
        <f>-AVERAGE('Simulação Empréstimo'!$K$6:$K$11)/12</f>
        <v>-1714.1957365239887</v>
      </c>
      <c r="ET21" s="44"/>
      <c r="EU21" s="107" t="s">
        <v>93</v>
      </c>
      <c r="EV21" s="108">
        <f>-AVERAGE('Simulação Empréstimo'!$K$6:$K$11)/12</f>
        <v>-1714.1957365239887</v>
      </c>
      <c r="EX21" s="44"/>
      <c r="EY21" s="107" t="s">
        <v>93</v>
      </c>
      <c r="EZ21" s="108">
        <f>-AVERAGE('Simulação Empréstimo'!$K$6:$K$11)/12</f>
        <v>-1714.1957365239887</v>
      </c>
      <c r="FB21" s="44"/>
      <c r="FC21" s="107" t="s">
        <v>93</v>
      </c>
      <c r="FD21" s="108">
        <f>-AVERAGE('Simulação Empréstimo'!$K$6:$K$11)/12</f>
        <v>-1714.1957365239887</v>
      </c>
      <c r="FF21" s="44"/>
      <c r="FG21" s="107" t="s">
        <v>93</v>
      </c>
      <c r="FH21" s="108">
        <f>-AVERAGE('Simulação Empréstimo'!$K$6:$K$11)/12</f>
        <v>-1714.1957365239887</v>
      </c>
      <c r="FJ21" s="44"/>
      <c r="FK21" s="107" t="s">
        <v>93</v>
      </c>
      <c r="FL21" s="108">
        <f>-AVERAGE('Simulação Empréstimo'!$K$6:$K$11)/12</f>
        <v>-1714.1957365239887</v>
      </c>
      <c r="FN21" s="44"/>
      <c r="FO21" s="107" t="s">
        <v>93</v>
      </c>
      <c r="FP21" s="108">
        <f>-AVERAGE('Simulação Empréstimo'!$K$6:$K$11)/12</f>
        <v>-1714.1957365239887</v>
      </c>
      <c r="FR21" s="44"/>
      <c r="FS21" s="107" t="s">
        <v>93</v>
      </c>
      <c r="FT21" s="108">
        <f>-AVERAGE('Simulação Empréstimo'!$K$6:$K$11)/12</f>
        <v>-1714.1957365239887</v>
      </c>
      <c r="FV21" s="44"/>
      <c r="FW21" s="107" t="s">
        <v>93</v>
      </c>
      <c r="FX21" s="108">
        <f>-AVERAGE('Simulação Empréstimo'!$K$6:$K$11)/12</f>
        <v>-1714.1957365239887</v>
      </c>
      <c r="FZ21" s="44"/>
      <c r="GA21" s="107" t="s">
        <v>93</v>
      </c>
      <c r="GB21" s="108">
        <f>-AVERAGE('Simulação Empréstimo'!$K$6:$K$11)/12</f>
        <v>-1714.1957365239887</v>
      </c>
      <c r="GD21" s="44"/>
      <c r="GE21" s="107" t="s">
        <v>93</v>
      </c>
      <c r="GF21" s="108">
        <f>-AVERAGE('Simulação Empréstimo'!$K$6:$K$11)/12</f>
        <v>-1714.1957365239887</v>
      </c>
      <c r="GH21" s="44"/>
      <c r="GI21" s="107" t="s">
        <v>93</v>
      </c>
      <c r="GJ21" s="108">
        <f>-AVERAGE('Simulação Empréstimo'!$K$6:$K$11)/12</f>
        <v>-1714.1957365239887</v>
      </c>
      <c r="GL21" s="44"/>
      <c r="GM21" s="107" t="s">
        <v>93</v>
      </c>
      <c r="GN21" s="108">
        <f>-AVERAGE('Simulação Empréstimo'!$K$6:$K$11)/12</f>
        <v>-1714.1957365239887</v>
      </c>
      <c r="GP21" s="44"/>
      <c r="GQ21" s="107" t="s">
        <v>93</v>
      </c>
      <c r="GR21" s="108">
        <f>-AVERAGE('Simulação Empréstimo'!$K$6:$K$11)/12</f>
        <v>-1714.1957365239887</v>
      </c>
      <c r="GT21" s="44"/>
      <c r="GU21" s="107" t="s">
        <v>93</v>
      </c>
      <c r="GV21" s="108">
        <f>-AVERAGE('Simulação Empréstimo'!$K$6:$K$11)/12</f>
        <v>-1714.1957365239887</v>
      </c>
      <c r="GX21" s="44"/>
      <c r="GY21" s="107" t="s">
        <v>93</v>
      </c>
      <c r="GZ21" s="108">
        <f>-AVERAGE('Simulação Empréstimo'!$K$6:$K$11)/12</f>
        <v>-1714.1957365239887</v>
      </c>
      <c r="HB21" s="44"/>
      <c r="HC21" s="107" t="s">
        <v>93</v>
      </c>
      <c r="HD21" s="108">
        <f>-AVERAGE('Simulação Empréstimo'!$K$6:$K$11)/12</f>
        <v>-1714.1957365239887</v>
      </c>
      <c r="HF21" s="44"/>
      <c r="HG21" s="107" t="s">
        <v>93</v>
      </c>
      <c r="HH21" s="108">
        <f>-AVERAGE('Simulação Empréstimo'!$K$6:$K$11)/12</f>
        <v>-1714.1957365239887</v>
      </c>
      <c r="HJ21" s="44"/>
      <c r="HK21" s="107" t="s">
        <v>93</v>
      </c>
      <c r="HL21" s="108">
        <f>-AVERAGE('Simulação Empréstimo'!$K$6:$K$11)/12</f>
        <v>-1714.1957365239887</v>
      </c>
      <c r="HN21" s="44"/>
      <c r="HO21" s="107" t="s">
        <v>93</v>
      </c>
      <c r="HP21" s="108">
        <f>-AVERAGE('Simulação Empréstimo'!$K$6:$K$11)/12</f>
        <v>-1714.1957365239887</v>
      </c>
      <c r="HR21" s="44"/>
      <c r="HS21" s="107" t="s">
        <v>93</v>
      </c>
      <c r="HT21" s="108">
        <f>-AVERAGE('Simulação Empréstimo'!$K$6:$K$11)/12</f>
        <v>-1714.1957365239887</v>
      </c>
      <c r="HV21" s="44"/>
      <c r="HW21" s="107" t="s">
        <v>93</v>
      </c>
      <c r="HX21" s="108">
        <f>-AVERAGE('Simulação Empréstimo'!$K$6:$K$11)/12</f>
        <v>-1714.1957365239887</v>
      </c>
      <c r="HZ21" s="44"/>
      <c r="IA21" s="107" t="s">
        <v>93</v>
      </c>
      <c r="IB21" s="108">
        <f>-AVERAGE('Simulação Empréstimo'!$K$6:$K$11)/12</f>
        <v>-1714.1957365239887</v>
      </c>
      <c r="ID21" s="44"/>
      <c r="IE21" s="107" t="s">
        <v>93</v>
      </c>
      <c r="IF21" s="108">
        <f>-AVERAGE('Simulação Empréstimo'!$K$6:$K$11)/12</f>
        <v>-1714.1957365239887</v>
      </c>
      <c r="IH21" s="44"/>
      <c r="II21" s="107" t="s">
        <v>93</v>
      </c>
      <c r="IJ21" s="108">
        <f>-AVERAGE('Simulação Empréstimo'!$K$6:$K$11)/12</f>
        <v>-1714.1957365239887</v>
      </c>
      <c r="IL21" s="44"/>
      <c r="IM21" s="107" t="s">
        <v>93</v>
      </c>
      <c r="IN21" s="108">
        <f>-AVERAGE('Simulação Empréstimo'!$K$6:$K$11)/12</f>
        <v>-1714.1957365239887</v>
      </c>
      <c r="IP21" s="44"/>
      <c r="IQ21" s="107" t="s">
        <v>93</v>
      </c>
      <c r="IR21" s="108">
        <f>-AVERAGE('Simulação Empréstimo'!$K$6:$K$11)/12</f>
        <v>-1714.1957365239887</v>
      </c>
      <c r="IT21" s="44"/>
      <c r="IU21" s="107" t="s">
        <v>93</v>
      </c>
      <c r="IV21" s="108">
        <f>-AVERAGE('Simulação Empréstimo'!$K$6:$K$11)/12</f>
        <v>-1714.1957365239887</v>
      </c>
      <c r="IX21" s="44"/>
      <c r="IY21" s="107" t="s">
        <v>93</v>
      </c>
      <c r="IZ21" s="108">
        <f>-AVERAGE('Simulação Empréstimo'!$K$6:$K$11)/12</f>
        <v>-1714.1957365239887</v>
      </c>
      <c r="JB21" s="44"/>
      <c r="JC21" s="107" t="s">
        <v>93</v>
      </c>
      <c r="JD21" s="108">
        <f>-AVERAGE('Simulação Empréstimo'!$K$6:$K$11)/12</f>
        <v>-1714.1957365239887</v>
      </c>
      <c r="JF21" s="44"/>
      <c r="JG21" s="107" t="s">
        <v>93</v>
      </c>
      <c r="JH21" s="108">
        <f>-AVERAGE('Simulação Empréstimo'!$K$6:$K$11)/12</f>
        <v>-1714.1957365239887</v>
      </c>
      <c r="JJ21" s="44"/>
      <c r="JK21" s="107" t="s">
        <v>93</v>
      </c>
      <c r="JL21" s="108">
        <f>-AVERAGE('Simulação Empréstimo'!$K$6:$K$11)/12</f>
        <v>-1714.1957365239887</v>
      </c>
      <c r="JN21" s="44"/>
      <c r="JO21" s="107" t="s">
        <v>93</v>
      </c>
      <c r="JP21" s="108">
        <f>-AVERAGE('Simulação Empréstimo'!$K$6:$K$11)/12</f>
        <v>-1714.1957365239887</v>
      </c>
      <c r="JR21" s="44"/>
      <c r="JS21" s="107" t="s">
        <v>93</v>
      </c>
      <c r="JT21" s="108">
        <f>-AVERAGE('Simulação Empréstimo'!$K$6:$K$11)/12</f>
        <v>-1714.1957365239887</v>
      </c>
      <c r="JV21" s="44"/>
      <c r="JW21" s="107" t="s">
        <v>93</v>
      </c>
      <c r="JX21" s="108">
        <f>-AVERAGE('Simulação Empréstimo'!$K$6:$K$11)/12</f>
        <v>-1714.1957365239887</v>
      </c>
      <c r="JZ21" s="44"/>
      <c r="KA21" s="107" t="s">
        <v>93</v>
      </c>
      <c r="KB21" s="108">
        <f>-AVERAGE('Simulação Empréstimo'!$K$6:$K$11)/12</f>
        <v>-1714.1957365239887</v>
      </c>
      <c r="KD21" s="44"/>
      <c r="KE21" s="107" t="s">
        <v>93</v>
      </c>
      <c r="KF21" s="108">
        <f>-AVERAGE('Simulação Empréstimo'!$K$6:$K$11)/12</f>
        <v>-1714.1957365239887</v>
      </c>
      <c r="KH21" s="44"/>
    </row>
    <row r="22" spans="1:294" x14ac:dyDescent="0.25">
      <c r="C22" s="107" t="s">
        <v>206</v>
      </c>
      <c r="D22" s="108">
        <f ca="1">-E22*D$3</f>
        <v>-1296</v>
      </c>
      <c r="E22" s="109">
        <f ca="1">VLOOKUP(SUM(OFFSET(D7, 0, -(MIN(12*4-1, COLUMN(D7)-1)), 1, MIN(12*4, COLUMN(D7)))), 'Tabela Simples'!$B$2:$C$7, 2, TRUE)</f>
        <v>4.4999999999999998E-2</v>
      </c>
      <c r="F22" s="19"/>
      <c r="G22" s="107" t="s">
        <v>206</v>
      </c>
      <c r="H22" s="108">
        <f ca="1">-I$22*H$3</f>
        <v>-1296</v>
      </c>
      <c r="I22" s="109">
        <f ca="1">VLOOKUP(SUM(OFFSET(H7, 0, -(MIN(12*4-1, COLUMN(H7)-1)), 1, MIN(12*4, COLUMN(H7)))), 'Tabela Simples'!$B$2:$C$7, 2, TRUE)</f>
        <v>4.4999999999999998E-2</v>
      </c>
      <c r="J22" s="19"/>
      <c r="K22" s="107" t="s">
        <v>206</v>
      </c>
      <c r="L22" s="108">
        <f t="shared" ref="L22" ca="1" si="858">-M$22*L$3</f>
        <v>-1296</v>
      </c>
      <c r="M22" s="109">
        <f ca="1">VLOOKUP(SUM(OFFSET(L7, 0, -(MIN(12*4-1, COLUMN(L7)-1)), 1, MIN(12*4, COLUMN(L7)))), 'Tabela Simples'!$B$2:$C$7, 2, TRUE)</f>
        <v>4.4999999999999998E-2</v>
      </c>
      <c r="N22" s="19"/>
      <c r="O22" s="107" t="s">
        <v>206</v>
      </c>
      <c r="P22" s="108">
        <f t="shared" ref="P22" ca="1" si="859">-Q$22*P$3</f>
        <v>-1296</v>
      </c>
      <c r="Q22" s="109">
        <f ca="1">VLOOKUP(SUM(OFFSET(P7, 0, -(MIN(12*4-1, COLUMN(P7)-1)), 1, MIN(12*4, COLUMN(P7)))), 'Tabela Simples'!$B$2:$C$7, 2, TRUE)</f>
        <v>4.4999999999999998E-2</v>
      </c>
      <c r="R22" s="19"/>
      <c r="S22" s="107" t="s">
        <v>206</v>
      </c>
      <c r="T22" s="108">
        <f t="shared" ref="T22" ca="1" si="860">-U$22*T$3</f>
        <v>-1296</v>
      </c>
      <c r="U22" s="109">
        <f ca="1">VLOOKUP(SUM(OFFSET(T7, 0, -(MIN(12*4-1, COLUMN(T7)-1)), 1, MIN(12*4, COLUMN(T7)))), 'Tabela Simples'!$B$2:$C$7, 2, TRUE)</f>
        <v>4.4999999999999998E-2</v>
      </c>
      <c r="V22" s="19"/>
      <c r="W22" s="107" t="s">
        <v>206</v>
      </c>
      <c r="X22" s="108">
        <f t="shared" ref="X22" ca="1" si="861">-Y$22*X$3</f>
        <v>-1296</v>
      </c>
      <c r="Y22" s="109">
        <f ca="1">VLOOKUP(SUM(OFFSET(X7, 0, -(MIN(12*4-1, COLUMN(X7)-1)), 1, MIN(12*4, COLUMN(X7)))), 'Tabela Simples'!$B$2:$C$7, 2, TRUE)</f>
        <v>4.4999999999999998E-2</v>
      </c>
      <c r="Z22" s="19"/>
      <c r="AA22" s="107" t="s">
        <v>206</v>
      </c>
      <c r="AB22" s="108">
        <f t="shared" ref="AB22" ca="1" si="862">-AC$22*AB$3</f>
        <v>-2246.4</v>
      </c>
      <c r="AC22" s="109">
        <f ca="1">VLOOKUP(SUM(OFFSET(AB7, 0, -(MIN(12*4-1, COLUMN(AB7)-1)), 1, MIN(12*4, COLUMN(AB7)))), 'Tabela Simples'!$B$2:$C$7, 2, TRUE)</f>
        <v>7.8E-2</v>
      </c>
      <c r="AD22" s="19"/>
      <c r="AE22" s="107" t="s">
        <v>206</v>
      </c>
      <c r="AF22" s="108">
        <f t="shared" ref="AF22" ca="1" si="863">-AG$22*AF$3</f>
        <v>-2995.2</v>
      </c>
      <c r="AG22" s="109">
        <f ca="1">VLOOKUP(SUM(OFFSET(AF7, 0, -(MIN(12*4-1, COLUMN(AF7)-1)), 1, MIN(12*4, COLUMN(AF7)))), 'Tabela Simples'!$B$2:$C$7, 2, TRUE)</f>
        <v>7.8E-2</v>
      </c>
      <c r="AH22" s="19"/>
      <c r="AI22" s="107" t="s">
        <v>206</v>
      </c>
      <c r="AJ22" s="108">
        <f t="shared" ref="AJ22" ca="1" si="864">-AK$22*AJ$3</f>
        <v>-2995.2</v>
      </c>
      <c r="AK22" s="109">
        <f ca="1">VLOOKUP(SUM(OFFSET(AJ7, 0, -(MIN(12*4-1, COLUMN(AJ7)-1)), 1, MIN(12*4, COLUMN(AJ7)))), 'Tabela Simples'!$B$2:$C$7, 2, TRUE)</f>
        <v>7.8E-2</v>
      </c>
      <c r="AL22" s="19"/>
      <c r="AM22" s="107" t="s">
        <v>206</v>
      </c>
      <c r="AN22" s="108">
        <f t="shared" ref="AN22" ca="1" si="865">-AO$22*AN$3</f>
        <v>-2995.2</v>
      </c>
      <c r="AO22" s="109">
        <f ca="1">VLOOKUP(SUM(OFFSET(AN7, 0, -(MIN(12*4-1, COLUMN(AN7)-1)), 1, MIN(12*4, COLUMN(AN7)))), 'Tabela Simples'!$B$2:$C$7, 2, TRUE)</f>
        <v>7.8E-2</v>
      </c>
      <c r="AP22" s="19"/>
      <c r="AQ22" s="107" t="s">
        <v>206</v>
      </c>
      <c r="AR22" s="108">
        <f t="shared" ref="AR22" ca="1" si="866">-AS$22*AR$3</f>
        <v>-2995.2</v>
      </c>
      <c r="AS22" s="109">
        <f ca="1">VLOOKUP(SUM(OFFSET(AR7, 0, -(MIN(12*4-1, COLUMN(AR7)-1)), 1, MIN(12*4, COLUMN(AR7)))), 'Tabela Simples'!$B$2:$C$7, 2, TRUE)</f>
        <v>7.8E-2</v>
      </c>
      <c r="AT22" s="19"/>
      <c r="AU22" s="107" t="s">
        <v>206</v>
      </c>
      <c r="AV22" s="108">
        <f t="shared" ref="AV22" ca="1" si="867">-AW$22*AV$3</f>
        <v>-3840</v>
      </c>
      <c r="AW22" s="109">
        <f ca="1">VLOOKUP(SUM(OFFSET(AV7, 0, -(MIN(12*4-1, COLUMN(AV7)-1)), 1, MIN(12*4, COLUMN(AV7)))), 'Tabela Simples'!$B$2:$C$7, 2, TRUE)</f>
        <v>0.1</v>
      </c>
      <c r="AX22" s="19"/>
      <c r="AY22" s="107" t="s">
        <v>206</v>
      </c>
      <c r="AZ22" s="108">
        <f t="shared" ref="AZ22" ca="1" si="868">-BA$22*AZ$3</f>
        <v>-3840</v>
      </c>
      <c r="BA22" s="109">
        <f ca="1">VLOOKUP(SUM(OFFSET(AZ7, 0, -(MIN(12*4-1, COLUMN(AZ7)-1)), 1, MIN(12*4, COLUMN(AZ7)))), 'Tabela Simples'!$B$2:$C$7, 2, TRUE)</f>
        <v>0.1</v>
      </c>
      <c r="BB22" s="19"/>
      <c r="BC22" s="107" t="s">
        <v>206</v>
      </c>
      <c r="BD22" s="108">
        <f t="shared" ref="BD22" ca="1" si="869">-BE$22*BD$3</f>
        <v>-3840</v>
      </c>
      <c r="BE22" s="109">
        <f ca="1">VLOOKUP(SUM(OFFSET(BD7, 0, -(MIN(12*4-1, COLUMN(BD7)-1)), 1, MIN(12*4, COLUMN(BD7)))), 'Tabela Simples'!$B$2:$C$7, 2, TRUE)</f>
        <v>0.1</v>
      </c>
      <c r="BF22" s="19"/>
      <c r="BG22" s="107" t="s">
        <v>206</v>
      </c>
      <c r="BH22" s="108">
        <f t="shared" ref="BH22" ca="1" si="870">-BI$22*BH$3</f>
        <v>-4800</v>
      </c>
      <c r="BI22" s="109">
        <f ca="1">VLOOKUP(SUM(OFFSET(BH7, 0, -(MIN(12*4-1, COLUMN(BH7)-1)), 1, MIN(12*4, COLUMN(BH7)))), 'Tabela Simples'!$B$2:$C$7, 2, TRUE)</f>
        <v>0.1</v>
      </c>
      <c r="BJ22" s="19"/>
      <c r="BK22" s="107" t="s">
        <v>206</v>
      </c>
      <c r="BL22" s="108">
        <f t="shared" ref="BL22" ca="1" si="871">-BM$22*BL$3</f>
        <v>-4800</v>
      </c>
      <c r="BM22" s="109">
        <f ca="1">VLOOKUP(SUM(OFFSET(BL7, 0, -(MIN(12*4-1, COLUMN(BL7)-1)), 1, MIN(12*4, COLUMN(BL7)))), 'Tabela Simples'!$B$2:$C$7, 2, TRUE)</f>
        <v>0.1</v>
      </c>
      <c r="BN22" s="19"/>
      <c r="BO22" s="107" t="s">
        <v>206</v>
      </c>
      <c r="BP22" s="108">
        <f t="shared" ref="BP22" ca="1" si="872">-BQ$22*BP$3</f>
        <v>-4800</v>
      </c>
      <c r="BQ22" s="109">
        <f ca="1">VLOOKUP(SUM(OFFSET(BP7, 0, -(MIN(12*4-1, COLUMN(BP7)-1)), 1, MIN(12*4, COLUMN(BP7)))), 'Tabela Simples'!$B$2:$C$7, 2, TRUE)</f>
        <v>0.1</v>
      </c>
      <c r="BR22" s="19"/>
      <c r="BS22" s="107" t="s">
        <v>206</v>
      </c>
      <c r="BT22" s="108">
        <f t="shared" ref="BT22" ca="1" si="873">-BU$22*BT$3</f>
        <v>-4800</v>
      </c>
      <c r="BU22" s="109">
        <f ca="1">VLOOKUP(SUM(OFFSET(BT7, 0, -(MIN(12*4-1, COLUMN(BT7)-1)), 1, MIN(12*4, COLUMN(BT7)))), 'Tabela Simples'!$B$2:$C$7, 2, TRUE)</f>
        <v>0.1</v>
      </c>
      <c r="BV22" s="19"/>
      <c r="BW22" s="107" t="s">
        <v>206</v>
      </c>
      <c r="BX22" s="108">
        <f t="shared" ref="BX22" ca="1" si="874">-BY$22*BX$3</f>
        <v>-4800</v>
      </c>
      <c r="BY22" s="109">
        <f ca="1">VLOOKUP(SUM(OFFSET(BX7, 0, -(MIN(12*4-1, COLUMN(BX7)-1)), 1, MIN(12*4, COLUMN(BX7)))), 'Tabela Simples'!$B$2:$C$7, 2, TRUE)</f>
        <v>0.1</v>
      </c>
      <c r="BZ22" s="19"/>
      <c r="CA22" s="107" t="s">
        <v>206</v>
      </c>
      <c r="CB22" s="108">
        <f t="shared" ref="CB22" ca="1" si="875">-CC$22*CB$3</f>
        <v>-4800</v>
      </c>
      <c r="CC22" s="109">
        <f ca="1">VLOOKUP(SUM(OFFSET(CB7, 0, -(MIN(12*4-1, COLUMN(CB7)-1)), 1, MIN(12*4, COLUMN(CB7)))), 'Tabela Simples'!$B$2:$C$7, 2, TRUE)</f>
        <v>0.1</v>
      </c>
      <c r="CD22" s="19"/>
      <c r="CE22" s="107" t="s">
        <v>206</v>
      </c>
      <c r="CF22" s="108">
        <f t="shared" ref="CF22" ca="1" si="876">-CG$22*CF$3</f>
        <v>-5760</v>
      </c>
      <c r="CG22" s="109">
        <f ca="1">VLOOKUP(SUM(OFFSET(CF7, 0, -(MIN(12*4-1, COLUMN(CF7)-1)), 1, MIN(12*4, COLUMN(CF7)))), 'Tabela Simples'!$B$2:$C$7, 2, TRUE)</f>
        <v>0.1</v>
      </c>
      <c r="CH22" s="19"/>
      <c r="CI22" s="107" t="s">
        <v>206</v>
      </c>
      <c r="CJ22" s="108">
        <f t="shared" ref="CJ22" ca="1" si="877">-CK$22*CJ$3</f>
        <v>-5760</v>
      </c>
      <c r="CK22" s="109">
        <f ca="1">VLOOKUP(SUM(OFFSET(CJ7, 0, -(MIN(12*4-1, COLUMN(CJ7)-1)), 1, MIN(12*4, COLUMN(CJ7)))), 'Tabela Simples'!$B$2:$C$7, 2, TRUE)</f>
        <v>0.1</v>
      </c>
      <c r="CL22" s="19"/>
      <c r="CM22" s="107" t="s">
        <v>206</v>
      </c>
      <c r="CN22" s="108">
        <f t="shared" ref="CN22" ca="1" si="878">-CO$22*CN$3</f>
        <v>-5760</v>
      </c>
      <c r="CO22" s="109">
        <f ca="1">VLOOKUP(SUM(OFFSET(CN7, 0, -(MIN(12*4-1, COLUMN(CN7)-1)), 1, MIN(12*4, COLUMN(CN7)))), 'Tabela Simples'!$B$2:$C$7, 2, TRUE)</f>
        <v>0.1</v>
      </c>
      <c r="CP22" s="19"/>
      <c r="CQ22" s="107" t="s">
        <v>206</v>
      </c>
      <c r="CR22" s="108">
        <f t="shared" ref="CR22" ca="1" si="879">-CS$22*CR$3</f>
        <v>-5760</v>
      </c>
      <c r="CS22" s="109">
        <f ca="1">VLOOKUP(SUM(OFFSET(CR7, 0, -(MIN(12*4-1, COLUMN(CR7)-1)), 1, MIN(12*4, COLUMN(CR7)))), 'Tabela Simples'!$B$2:$C$7, 2, TRUE)</f>
        <v>0.1</v>
      </c>
      <c r="CT22" s="19"/>
      <c r="CU22" s="107" t="s">
        <v>206</v>
      </c>
      <c r="CV22" s="108">
        <f t="shared" ref="CV22" ca="1" si="880">-CW$22*CV$3</f>
        <v>-5760</v>
      </c>
      <c r="CW22" s="109">
        <f ca="1">VLOOKUP(SUM(OFFSET(CV7, 0, -(MIN(12*4-1, COLUMN(CV7)-1)), 1, MIN(12*4, COLUMN(CV7)))), 'Tabela Simples'!$B$2:$C$7, 2, TRUE)</f>
        <v>0.1</v>
      </c>
      <c r="CX22" s="19"/>
      <c r="CY22" s="107" t="s">
        <v>206</v>
      </c>
      <c r="CZ22" s="108">
        <f t="shared" ref="CZ22" ca="1" si="881">-DA$22*CZ$3</f>
        <v>-5760</v>
      </c>
      <c r="DA22" s="109">
        <f ca="1">VLOOKUP(SUM(OFFSET(CZ7, 0, -(MIN(12*4-1, COLUMN(CZ7)-1)), 1, MIN(12*4, COLUMN(CZ7)))), 'Tabela Simples'!$B$2:$C$7, 2, TRUE)</f>
        <v>0.1</v>
      </c>
      <c r="DB22" s="19"/>
      <c r="DC22" s="107" t="s">
        <v>206</v>
      </c>
      <c r="DD22" s="108">
        <f t="shared" ref="DD22" ca="1" si="882">-DE$22*DD$3</f>
        <v>-5760</v>
      </c>
      <c r="DE22" s="109">
        <f ca="1">VLOOKUP(SUM(OFFSET(DD7, 0, -(MIN(12*4-1, COLUMN(DD7)-1)), 1, MIN(12*4, COLUMN(DD7)))), 'Tabela Simples'!$B$2:$C$7, 2, TRUE)</f>
        <v>0.1</v>
      </c>
      <c r="DF22" s="19"/>
      <c r="DG22" s="107" t="s">
        <v>206</v>
      </c>
      <c r="DH22" s="108">
        <f t="shared" ref="DH22" ca="1" si="883">-DI$22*DH$3</f>
        <v>-6720</v>
      </c>
      <c r="DI22" s="109">
        <f ca="1">VLOOKUP(SUM(OFFSET(DH7, 0, -(MIN(12*4-1, COLUMN(DH7)-1)), 1, MIN(12*4, COLUMN(DH7)))), 'Tabela Simples'!$B$2:$C$7, 2, TRUE)</f>
        <v>0.1</v>
      </c>
      <c r="DJ22" s="19"/>
      <c r="DK22" s="107" t="s">
        <v>206</v>
      </c>
      <c r="DL22" s="108">
        <f t="shared" ref="DL22" ca="1" si="884">-DM$22*DL$3</f>
        <v>-6720</v>
      </c>
      <c r="DM22" s="109">
        <f ca="1">VLOOKUP(SUM(OFFSET(DL7, 0, -(MIN(12*4-1, COLUMN(DL7)-1)), 1, MIN(12*4, COLUMN(DL7)))), 'Tabela Simples'!$B$2:$C$7, 2, TRUE)</f>
        <v>0.1</v>
      </c>
      <c r="DN22" s="19"/>
      <c r="DO22" s="107" t="s">
        <v>206</v>
      </c>
      <c r="DP22" s="108">
        <f t="shared" ref="DP22" ca="1" si="885">-DQ$22*DP$3</f>
        <v>-6720</v>
      </c>
      <c r="DQ22" s="109">
        <f ca="1">VLOOKUP(SUM(OFFSET(DP7, 0, -(MIN(12*4-1, COLUMN(DP7)-1)), 1, MIN(12*4, COLUMN(DP7)))), 'Tabela Simples'!$B$2:$C$7, 2, TRUE)</f>
        <v>0.1</v>
      </c>
      <c r="DR22" s="19"/>
      <c r="DS22" s="107" t="s">
        <v>206</v>
      </c>
      <c r="DT22" s="108">
        <f t="shared" ref="DT22" ca="1" si="886">-DU$22*DT$3</f>
        <v>-6720</v>
      </c>
      <c r="DU22" s="109">
        <f ca="1">VLOOKUP(SUM(OFFSET(DT7, 0, -(MIN(12*4-1, COLUMN(DT7)-1)), 1, MIN(12*4, COLUMN(DT7)))), 'Tabela Simples'!$B$2:$C$7, 2, TRUE)</f>
        <v>0.1</v>
      </c>
      <c r="DV22" s="19"/>
      <c r="DW22" s="107" t="s">
        <v>206</v>
      </c>
      <c r="DX22" s="108">
        <f t="shared" ref="DX22" ca="1" si="887">-DY$22*DX$3</f>
        <v>-7526.4000000000005</v>
      </c>
      <c r="DY22" s="109">
        <f ca="1">VLOOKUP(SUM(OFFSET(DX7, 0, -(MIN(12*4-1, COLUMN(DX7)-1)), 1, MIN(12*4, COLUMN(DX7)))), 'Tabela Simples'!$B$2:$C$7, 2, TRUE)</f>
        <v>0.112</v>
      </c>
      <c r="DZ22" s="19"/>
      <c r="EA22" s="107" t="s">
        <v>206</v>
      </c>
      <c r="EB22" s="108">
        <f t="shared" ref="EB22" ca="1" si="888">-EC$22*EB$3</f>
        <v>-7526.4000000000005</v>
      </c>
      <c r="EC22" s="109">
        <f ca="1">VLOOKUP(SUM(OFFSET(EB7, 0, -(MIN(12*4-1, COLUMN(EB7)-1)), 1, MIN(12*4, COLUMN(EB7)))), 'Tabela Simples'!$B$2:$C$7, 2, TRUE)</f>
        <v>0.112</v>
      </c>
      <c r="ED22" s="19"/>
      <c r="EE22" s="107" t="s">
        <v>206</v>
      </c>
      <c r="EF22" s="108">
        <f t="shared" ref="EF22" ca="1" si="889">-EG$22*EF$3</f>
        <v>-7526.4000000000005</v>
      </c>
      <c r="EG22" s="109">
        <f ca="1">VLOOKUP(SUM(OFFSET(EF7, 0, -(MIN(12*4-1, COLUMN(EF7)-1)), 1, MIN(12*4, COLUMN(EF7)))), 'Tabela Simples'!$B$2:$C$7, 2, TRUE)</f>
        <v>0.112</v>
      </c>
      <c r="EH22" s="19"/>
      <c r="EI22" s="107" t="s">
        <v>206</v>
      </c>
      <c r="EJ22" s="108">
        <f t="shared" ref="EJ22" ca="1" si="890">-EK$22*EJ$3</f>
        <v>-8601.6</v>
      </c>
      <c r="EK22" s="109">
        <f ca="1">VLOOKUP(SUM(OFFSET(EJ7, 0, -(MIN(12*4-1, COLUMN(EJ7)-1)), 1, MIN(12*4, COLUMN(EJ7)))), 'Tabela Simples'!$B$2:$C$7, 2, TRUE)</f>
        <v>0.112</v>
      </c>
      <c r="EL22" s="19"/>
      <c r="EM22" s="107" t="s">
        <v>206</v>
      </c>
      <c r="EN22" s="108">
        <f t="shared" ref="EN22" ca="1" si="891">-EO$22*EN$3</f>
        <v>-8601.6</v>
      </c>
      <c r="EO22" s="109">
        <f ca="1">VLOOKUP(SUM(OFFSET(EN7, 0, -(MIN(12*4-1, COLUMN(EN7)-1)), 1, MIN(12*4, COLUMN(EN7)))), 'Tabela Simples'!$B$2:$C$7, 2, TRUE)</f>
        <v>0.112</v>
      </c>
      <c r="EP22" s="19"/>
      <c r="EQ22" s="107" t="s">
        <v>206</v>
      </c>
      <c r="ER22" s="108">
        <f t="shared" ref="ER22" ca="1" si="892">-ES$22*ER$3</f>
        <v>-8601.6</v>
      </c>
      <c r="ES22" s="109">
        <f ca="1">VLOOKUP(SUM(OFFSET(ER7, 0, -(MIN(12*4-1, COLUMN(ER7)-1)), 1, MIN(12*4, COLUMN(ER7)))), 'Tabela Simples'!$B$2:$C$7, 2, TRUE)</f>
        <v>0.112</v>
      </c>
      <c r="ET22" s="19"/>
      <c r="EU22" s="107" t="s">
        <v>206</v>
      </c>
      <c r="EV22" s="108">
        <f t="shared" ref="EV22" ca="1" si="893">-EW$22*EV$3</f>
        <v>-8601.6</v>
      </c>
      <c r="EW22" s="109">
        <f ca="1">VLOOKUP(SUM(OFFSET(EV7, 0, -(MIN(12*4-1, COLUMN(EV7)-1)), 1, MIN(12*4, COLUMN(EV7)))), 'Tabela Simples'!$B$2:$C$7, 2, TRUE)</f>
        <v>0.112</v>
      </c>
      <c r="EX22" s="19"/>
      <c r="EY22" s="107" t="s">
        <v>206</v>
      </c>
      <c r="EZ22" s="108">
        <f t="shared" ref="EZ22" ca="1" si="894">-FA$22*EZ$3</f>
        <v>-8601.6</v>
      </c>
      <c r="FA22" s="109">
        <f ca="1">VLOOKUP(SUM(OFFSET(EZ7, 0, -(MIN(12*4-1, COLUMN(EZ7)-1)), 1, MIN(12*4, COLUMN(EZ7)))), 'Tabela Simples'!$B$2:$C$7, 2, TRUE)</f>
        <v>0.112</v>
      </c>
      <c r="FB22" s="19"/>
      <c r="FC22" s="107" t="s">
        <v>206</v>
      </c>
      <c r="FD22" s="108">
        <f t="shared" ref="FD22" ca="1" si="895">-FE$22*FD$3</f>
        <v>-8601.6</v>
      </c>
      <c r="FE22" s="109">
        <f ca="1">VLOOKUP(SUM(OFFSET(FD7, 0, -(MIN(12*4-1, COLUMN(FD7)-1)), 1, MIN(12*4, COLUMN(FD7)))), 'Tabela Simples'!$B$2:$C$7, 2, TRUE)</f>
        <v>0.112</v>
      </c>
      <c r="FF22" s="19"/>
      <c r="FG22" s="107" t="s">
        <v>206</v>
      </c>
      <c r="FH22" s="108">
        <f t="shared" ref="FH22" ca="1" si="896">-FI$22*FH$3</f>
        <v>-9676.8000000000011</v>
      </c>
      <c r="FI22" s="109">
        <f ca="1">VLOOKUP(SUM(OFFSET(FH7, 0, -(MIN(12*4-1, COLUMN(FH7)-1)), 1, MIN(12*4, COLUMN(FH7)))), 'Tabela Simples'!$B$2:$C$7, 2, TRUE)</f>
        <v>0.112</v>
      </c>
      <c r="FJ22" s="19"/>
      <c r="FK22" s="107" t="s">
        <v>206</v>
      </c>
      <c r="FL22" s="108">
        <f t="shared" ref="FL22" ca="1" si="897">-FM$22*FL$3</f>
        <v>-9676.8000000000011</v>
      </c>
      <c r="FM22" s="109">
        <f ca="1">VLOOKUP(SUM(OFFSET(FL7, 0, -(MIN(12*4-1, COLUMN(FL7)-1)), 1, MIN(12*4, COLUMN(FL7)))), 'Tabela Simples'!$B$2:$C$7, 2, TRUE)</f>
        <v>0.112</v>
      </c>
      <c r="FN22" s="19"/>
      <c r="FO22" s="107" t="s">
        <v>206</v>
      </c>
      <c r="FP22" s="108">
        <f t="shared" ref="FP22" ca="1" si="898">-FQ$22*FP$3</f>
        <v>-9676.8000000000011</v>
      </c>
      <c r="FQ22" s="109">
        <f ca="1">VLOOKUP(SUM(OFFSET(FP7, 0, -(MIN(12*4-1, COLUMN(FP7)-1)), 1, MIN(12*4, COLUMN(FP7)))), 'Tabela Simples'!$B$2:$C$7, 2, TRUE)</f>
        <v>0.112</v>
      </c>
      <c r="FR22" s="19"/>
      <c r="FS22" s="107" t="s">
        <v>206</v>
      </c>
      <c r="FT22" s="108">
        <f t="shared" ref="FT22" ca="1" si="899">-FU$22*FT$3</f>
        <v>-9676.8000000000011</v>
      </c>
      <c r="FU22" s="109">
        <f ca="1">VLOOKUP(SUM(OFFSET(FT7, 0, -(MIN(12*4-1, COLUMN(FT7)-1)), 1, MIN(12*4, COLUMN(FT7)))), 'Tabela Simples'!$B$2:$C$7, 2, TRUE)</f>
        <v>0.112</v>
      </c>
      <c r="FV22" s="19"/>
      <c r="FW22" s="107" t="s">
        <v>206</v>
      </c>
      <c r="FX22" s="108">
        <f t="shared" ref="FX22" ca="1" si="900">-FY$22*FX$3</f>
        <v>-9676.8000000000011</v>
      </c>
      <c r="FY22" s="109">
        <f ca="1">VLOOKUP(SUM(OFFSET(FX7, 0, -(MIN(12*4-1, COLUMN(FX7)-1)), 1, MIN(12*4, COLUMN(FX7)))), 'Tabela Simples'!$B$2:$C$7, 2, TRUE)</f>
        <v>0.112</v>
      </c>
      <c r="FZ22" s="19"/>
      <c r="GA22" s="107" t="s">
        <v>206</v>
      </c>
      <c r="GB22" s="108">
        <f t="shared" ref="GB22" ca="1" si="901">-GC$22*GB$3</f>
        <v>-9676.8000000000011</v>
      </c>
      <c r="GC22" s="109">
        <f ca="1">VLOOKUP(SUM(OFFSET(GB7, 0, -(MIN(12*4-1, COLUMN(GB7)-1)), 1, MIN(12*4, COLUMN(GB7)))), 'Tabela Simples'!$B$2:$C$7, 2, TRUE)</f>
        <v>0.112</v>
      </c>
      <c r="GD22" s="19"/>
      <c r="GE22" s="107" t="s">
        <v>206</v>
      </c>
      <c r="GF22" s="108">
        <f t="shared" ref="GF22" ca="1" si="902">-GG$22*GF$3</f>
        <v>-9676.8000000000011</v>
      </c>
      <c r="GG22" s="109">
        <f ca="1">VLOOKUP(SUM(OFFSET(GF7, 0, -(MIN(12*4-1, COLUMN(GF7)-1)), 1, MIN(12*4, COLUMN(GF7)))), 'Tabela Simples'!$B$2:$C$7, 2, TRUE)</f>
        <v>0.112</v>
      </c>
      <c r="GH22" s="19"/>
      <c r="GI22" s="107" t="s">
        <v>206</v>
      </c>
      <c r="GJ22" s="108">
        <f t="shared" ref="GJ22" ca="1" si="903">-GK$22*GJ$3</f>
        <v>-10752</v>
      </c>
      <c r="GK22" s="109">
        <f ca="1">VLOOKUP(SUM(OFFSET(GJ7, 0, -(MIN(12*4-1, COLUMN(GJ7)-1)), 1, MIN(12*4, COLUMN(GJ7)))), 'Tabela Simples'!$B$2:$C$7, 2, TRUE)</f>
        <v>0.112</v>
      </c>
      <c r="GL22" s="19"/>
      <c r="GM22" s="107" t="s">
        <v>206</v>
      </c>
      <c r="GN22" s="108">
        <f t="shared" ref="GN22" ca="1" si="904">-GO$22*GN$3</f>
        <v>-10752</v>
      </c>
      <c r="GO22" s="109">
        <f ca="1">VLOOKUP(SUM(OFFSET(GN7, 0, -(MIN(12*4-1, COLUMN(GN7)-1)), 1, MIN(12*4, COLUMN(GN7)))), 'Tabela Simples'!$B$2:$C$7, 2, TRUE)</f>
        <v>0.112</v>
      </c>
      <c r="GP22" s="19"/>
      <c r="GQ22" s="107" t="s">
        <v>206</v>
      </c>
      <c r="GR22" s="108">
        <f t="shared" ref="GR22" ca="1" si="905">-GS$22*GR$3</f>
        <v>-10752</v>
      </c>
      <c r="GS22" s="109">
        <f ca="1">VLOOKUP(SUM(OFFSET(GR7, 0, -(MIN(12*4-1, COLUMN(GR7)-1)), 1, MIN(12*4, COLUMN(GR7)))), 'Tabela Simples'!$B$2:$C$7, 2, TRUE)</f>
        <v>0.112</v>
      </c>
      <c r="GT22" s="19"/>
      <c r="GU22" s="107" t="s">
        <v>206</v>
      </c>
      <c r="GV22" s="108">
        <f t="shared" ref="GV22" ca="1" si="906">-GW$22*GV$3</f>
        <v>-10752</v>
      </c>
      <c r="GW22" s="109">
        <f ca="1">VLOOKUP(SUM(OFFSET(GV7, 0, -(MIN(12*4-1, COLUMN(GV7)-1)), 1, MIN(12*4, COLUMN(GV7)))), 'Tabela Simples'!$B$2:$C$7, 2, TRUE)</f>
        <v>0.112</v>
      </c>
      <c r="GX22" s="19"/>
      <c r="GY22" s="107" t="s">
        <v>206</v>
      </c>
      <c r="GZ22" s="108">
        <f t="shared" ref="GZ22" ca="1" si="907">-HA$22*GZ$3</f>
        <v>-10752</v>
      </c>
      <c r="HA22" s="109">
        <f ca="1">VLOOKUP(SUM(OFFSET(GZ7, 0, -(MIN(12*4-1, COLUMN(GZ7)-1)), 1, MIN(12*4, COLUMN(GZ7)))), 'Tabela Simples'!$B$2:$C$7, 2, TRUE)</f>
        <v>0.112</v>
      </c>
      <c r="HB22" s="19"/>
      <c r="HC22" s="107" t="s">
        <v>206</v>
      </c>
      <c r="HD22" s="108">
        <f t="shared" ref="HD22" ca="1" si="908">-HE$22*HD$3</f>
        <v>-10752</v>
      </c>
      <c r="HE22" s="109">
        <f ca="1">VLOOKUP(SUM(OFFSET(HD7, 0, -(MIN(12*4-1, COLUMN(HD7)-1)), 1, MIN(12*4, COLUMN(HD7)))), 'Tabela Simples'!$B$2:$C$7, 2, TRUE)</f>
        <v>0.112</v>
      </c>
      <c r="HF22" s="19"/>
      <c r="HG22" s="107" t="s">
        <v>206</v>
      </c>
      <c r="HH22" s="108">
        <f t="shared" ref="HH22" ca="1" si="909">-HI$22*HH$3</f>
        <v>-10752</v>
      </c>
      <c r="HI22" s="109">
        <f ca="1">VLOOKUP(SUM(OFFSET(HH7, 0, -(MIN(12*4-1, COLUMN(HH7)-1)), 1, MIN(12*4, COLUMN(HH7)))), 'Tabela Simples'!$B$2:$C$7, 2, TRUE)</f>
        <v>0.112</v>
      </c>
      <c r="HJ22" s="19"/>
      <c r="HK22" s="107" t="s">
        <v>206</v>
      </c>
      <c r="HL22" s="108">
        <f t="shared" ref="HL22" ca="1" si="910">-HM$22*HL$3</f>
        <v>-11827.2</v>
      </c>
      <c r="HM22" s="109">
        <f ca="1">VLOOKUP(SUM(OFFSET(HL7, 0, -(MIN(12*4-1, COLUMN(HL7)-1)), 1, MIN(12*4, COLUMN(HL7)))), 'Tabela Simples'!$B$2:$C$7, 2, TRUE)</f>
        <v>0.112</v>
      </c>
      <c r="HN22" s="19"/>
      <c r="HO22" s="107" t="s">
        <v>206</v>
      </c>
      <c r="HP22" s="108">
        <f t="shared" ref="HP22" ca="1" si="911">-HQ$22*HP$3</f>
        <v>-11827.2</v>
      </c>
      <c r="HQ22" s="109">
        <f ca="1">VLOOKUP(SUM(OFFSET(HP7, 0, -(MIN(12*4-1, COLUMN(HP7)-1)), 1, MIN(12*4, COLUMN(HP7)))), 'Tabela Simples'!$B$2:$C$7, 2, TRUE)</f>
        <v>0.112</v>
      </c>
      <c r="HR22" s="19"/>
      <c r="HS22" s="107" t="s">
        <v>206</v>
      </c>
      <c r="HT22" s="108">
        <f t="shared" ref="HT22" ca="1" si="912">-HU$22*HT$3</f>
        <v>-11827.2</v>
      </c>
      <c r="HU22" s="109">
        <f ca="1">VLOOKUP(SUM(OFFSET(HT7, 0, -(MIN(12*4-1, COLUMN(HT7)-1)), 1, MIN(12*4, COLUMN(HT7)))), 'Tabela Simples'!$B$2:$C$7, 2, TRUE)</f>
        <v>0.112</v>
      </c>
      <c r="HV22" s="19"/>
      <c r="HW22" s="107" t="s">
        <v>206</v>
      </c>
      <c r="HX22" s="108">
        <f t="shared" ref="HX22" ca="1" si="913">-HY$22*HX$3</f>
        <v>-11827.2</v>
      </c>
      <c r="HY22" s="109">
        <f ca="1">VLOOKUP(SUM(OFFSET(HX7, 0, -(MIN(12*4-1, COLUMN(HX7)-1)), 1, MIN(12*4, COLUMN(HX7)))), 'Tabela Simples'!$B$2:$C$7, 2, TRUE)</f>
        <v>0.112</v>
      </c>
      <c r="HZ22" s="19"/>
      <c r="IA22" s="107" t="s">
        <v>206</v>
      </c>
      <c r="IB22" s="108">
        <f t="shared" ref="IB22" ca="1" si="914">-IC$22*IB$3</f>
        <v>-11827.2</v>
      </c>
      <c r="IC22" s="109">
        <f ca="1">VLOOKUP(SUM(OFFSET(IB7, 0, -(MIN(12*4-1, COLUMN(IB7)-1)), 1, MIN(12*4, COLUMN(IB7)))), 'Tabela Simples'!$B$2:$C$7, 2, TRUE)</f>
        <v>0.112</v>
      </c>
      <c r="ID22" s="19"/>
      <c r="IE22" s="107" t="s">
        <v>206</v>
      </c>
      <c r="IF22" s="108">
        <f t="shared" ref="IF22" ca="1" si="915">-IG$22*IF$3</f>
        <v>-11827.2</v>
      </c>
      <c r="IG22" s="109">
        <f ca="1">VLOOKUP(SUM(OFFSET(IF7, 0, -(MIN(12*4-1, COLUMN(IF7)-1)), 1, MIN(12*4, COLUMN(IF7)))), 'Tabela Simples'!$B$2:$C$7, 2, TRUE)</f>
        <v>0.112</v>
      </c>
      <c r="IH22" s="19"/>
      <c r="II22" s="107" t="s">
        <v>206</v>
      </c>
      <c r="IJ22" s="108">
        <f t="shared" ref="IJ22" ca="1" si="916">-IK$22*IJ$3</f>
        <v>-12902.4</v>
      </c>
      <c r="IK22" s="109">
        <f ca="1">VLOOKUP(SUM(OFFSET(IJ7, 0, -(MIN(12*4-1, COLUMN(IJ7)-1)), 1, MIN(12*4, COLUMN(IJ7)))), 'Tabela Simples'!$B$2:$C$7, 2, TRUE)</f>
        <v>0.112</v>
      </c>
      <c r="IL22" s="19"/>
      <c r="IM22" s="107" t="s">
        <v>206</v>
      </c>
      <c r="IN22" s="108">
        <f t="shared" ref="IN22" ca="1" si="917">-IO$22*IN$3</f>
        <v>-12902.4</v>
      </c>
      <c r="IO22" s="109">
        <f ca="1">VLOOKUP(SUM(OFFSET(IN7, 0, -(MIN(12*4-1, COLUMN(IN7)-1)), 1, MIN(12*4, COLUMN(IN7)))), 'Tabela Simples'!$B$2:$C$7, 2, TRUE)</f>
        <v>0.112</v>
      </c>
      <c r="IP22" s="19"/>
      <c r="IQ22" s="107" t="s">
        <v>206</v>
      </c>
      <c r="IR22" s="108">
        <f t="shared" ref="IR22" ca="1" si="918">-IS$22*IR$3</f>
        <v>-12902.4</v>
      </c>
      <c r="IS22" s="109">
        <f ca="1">VLOOKUP(SUM(OFFSET(IR7, 0, -(MIN(12*4-1, COLUMN(IR7)-1)), 1, MIN(12*4, COLUMN(IR7)))), 'Tabela Simples'!$B$2:$C$7, 2, TRUE)</f>
        <v>0.112</v>
      </c>
      <c r="IT22" s="19"/>
      <c r="IU22" s="107" t="s">
        <v>206</v>
      </c>
      <c r="IV22" s="108">
        <f t="shared" ref="IV22" ca="1" si="919">-IW$22*IV$3</f>
        <v>-12902.4</v>
      </c>
      <c r="IW22" s="109">
        <f ca="1">VLOOKUP(SUM(OFFSET(IV7, 0, -(MIN(12*4-1, COLUMN(IV7)-1)), 1, MIN(12*4, COLUMN(IV7)))), 'Tabela Simples'!$B$2:$C$7, 2, TRUE)</f>
        <v>0.112</v>
      </c>
      <c r="IX22" s="19"/>
      <c r="IY22" s="107" t="s">
        <v>206</v>
      </c>
      <c r="IZ22" s="108">
        <f t="shared" ref="IZ22" ca="1" si="920">-JA$22*IZ$3</f>
        <v>-12902.4</v>
      </c>
      <c r="JA22" s="109">
        <f ca="1">VLOOKUP(SUM(OFFSET(IZ7, 0, -(MIN(12*4-1, COLUMN(IZ7)-1)), 1, MIN(12*4, COLUMN(IZ7)))), 'Tabela Simples'!$B$2:$C$7, 2, TRUE)</f>
        <v>0.112</v>
      </c>
      <c r="JB22" s="19"/>
      <c r="JC22" s="107" t="s">
        <v>206</v>
      </c>
      <c r="JD22" s="108">
        <f t="shared" ref="JD22" ca="1" si="921">-JE$22*JD$3</f>
        <v>-12902.4</v>
      </c>
      <c r="JE22" s="109">
        <f ca="1">VLOOKUP(SUM(OFFSET(JD7, 0, -(MIN(12*4-1, COLUMN(JD7)-1)), 1, MIN(12*4, COLUMN(JD7)))), 'Tabela Simples'!$B$2:$C$7, 2, TRUE)</f>
        <v>0.112</v>
      </c>
      <c r="JF22" s="19"/>
      <c r="JG22" s="107" t="s">
        <v>206</v>
      </c>
      <c r="JH22" s="108">
        <f t="shared" ref="JH22" ca="1" si="922">-JI$22*JH$3</f>
        <v>-12902.4</v>
      </c>
      <c r="JI22" s="109">
        <f ca="1">VLOOKUP(SUM(OFFSET(JH7, 0, -(MIN(12*4-1, COLUMN(JH7)-1)), 1, MIN(12*4, COLUMN(JH7)))), 'Tabela Simples'!$B$2:$C$7, 2, TRUE)</f>
        <v>0.112</v>
      </c>
      <c r="JJ22" s="19"/>
      <c r="JK22" s="107" t="s">
        <v>206</v>
      </c>
      <c r="JL22" s="108">
        <f t="shared" ref="JL22" ca="1" si="923">-JM$22*JL$3</f>
        <v>-13977.6</v>
      </c>
      <c r="JM22" s="109">
        <f ca="1">VLOOKUP(SUM(OFFSET(JL7, 0, -(MIN(12*4-1, COLUMN(JL7)-1)), 1, MIN(12*4, COLUMN(JL7)))), 'Tabela Simples'!$B$2:$C$7, 2, TRUE)</f>
        <v>0.112</v>
      </c>
      <c r="JN22" s="19"/>
      <c r="JO22" s="107" t="s">
        <v>206</v>
      </c>
      <c r="JP22" s="108">
        <f t="shared" ref="JP22" ca="1" si="924">-JQ$22*JP$3</f>
        <v>-13977.6</v>
      </c>
      <c r="JQ22" s="109">
        <f ca="1">VLOOKUP(SUM(OFFSET(JP7, 0, -(MIN(12*4-1, COLUMN(JP7)-1)), 1, MIN(12*4, COLUMN(JP7)))), 'Tabela Simples'!$B$2:$C$7, 2, TRUE)</f>
        <v>0.112</v>
      </c>
      <c r="JR22" s="19"/>
      <c r="JS22" s="107" t="s">
        <v>206</v>
      </c>
      <c r="JT22" s="108">
        <f t="shared" ref="JT22" ca="1" si="925">-JU$22*JT$3</f>
        <v>-13977.6</v>
      </c>
      <c r="JU22" s="109">
        <f ca="1">VLOOKUP(SUM(OFFSET(JT7, 0, -(MIN(12*4-1, COLUMN(JT7)-1)), 1, MIN(12*4, COLUMN(JT7)))), 'Tabela Simples'!$B$2:$C$7, 2, TRUE)</f>
        <v>0.112</v>
      </c>
      <c r="JV22" s="19"/>
      <c r="JW22" s="107" t="s">
        <v>206</v>
      </c>
      <c r="JX22" s="108">
        <f t="shared" ref="JX22" ca="1" si="926">-JY$22*JX$3</f>
        <v>-13977.6</v>
      </c>
      <c r="JY22" s="109">
        <f ca="1">VLOOKUP(SUM(OFFSET(JX7, 0, -(MIN(12*4-1, COLUMN(JX7)-1)), 1, MIN(12*4, COLUMN(JX7)))), 'Tabela Simples'!$B$2:$C$7, 2, TRUE)</f>
        <v>0.112</v>
      </c>
      <c r="JZ22" s="19"/>
      <c r="KA22" s="107" t="s">
        <v>206</v>
      </c>
      <c r="KB22" s="108">
        <f t="shared" ref="KB22" ca="1" si="927">-KC$22*KB$3</f>
        <v>-13977.6</v>
      </c>
      <c r="KC22" s="109">
        <f ca="1">VLOOKUP(SUM(OFFSET(KB7, 0, -(MIN(12*4-1, COLUMN(KB7)-1)), 1, MIN(12*4, COLUMN(KB7)))), 'Tabela Simples'!$B$2:$C$7, 2, TRUE)</f>
        <v>0.112</v>
      </c>
      <c r="KD22" s="19"/>
      <c r="KE22" s="107" t="s">
        <v>206</v>
      </c>
      <c r="KF22" s="108">
        <f t="shared" ref="KF22" ca="1" si="928">-KG$22*KF$3</f>
        <v>-13977.6</v>
      </c>
      <c r="KG22" s="109">
        <f ca="1">VLOOKUP(SUM(OFFSET(KF7, 0, -(MIN(12*4-1, COLUMN(KF7)-1)), 1, MIN(12*4, COLUMN(KF7)))), 'Tabela Simples'!$B$2:$C$7, 2, TRUE)</f>
        <v>0.112</v>
      </c>
      <c r="KH22" s="19"/>
    </row>
    <row r="23" spans="1:294" x14ac:dyDescent="0.25">
      <c r="A23" s="98"/>
      <c r="C23" s="107" t="s">
        <v>210</v>
      </c>
      <c r="D23" s="108">
        <f>-E$23*(D$4*60)/0.25</f>
        <v>-2880</v>
      </c>
      <c r="E23" s="110">
        <v>4</v>
      </c>
      <c r="G23" s="107" t="s">
        <v>210</v>
      </c>
      <c r="H23" s="108">
        <f>-I$23*(H$4*60)/0.25</f>
        <v>-2880</v>
      </c>
      <c r="I23" s="110">
        <v>4</v>
      </c>
      <c r="K23" s="107" t="s">
        <v>210</v>
      </c>
      <c r="L23" s="108">
        <f t="shared" ref="L23" si="929">-M$23*(L$4*60)/0.25</f>
        <v>-2880</v>
      </c>
      <c r="M23" s="110">
        <v>4</v>
      </c>
      <c r="N23" s="44"/>
      <c r="O23" s="107" t="s">
        <v>210</v>
      </c>
      <c r="P23" s="108">
        <f t="shared" ref="P23" si="930">-Q$23*(P$4*60)/0.25</f>
        <v>-2880</v>
      </c>
      <c r="Q23" s="110">
        <v>4</v>
      </c>
      <c r="R23" s="44"/>
      <c r="S23" s="107" t="s">
        <v>210</v>
      </c>
      <c r="T23" s="108">
        <f t="shared" ref="T23" si="931">-U$23*(T$4*60)/0.25</f>
        <v>-2880</v>
      </c>
      <c r="U23" s="110">
        <v>4</v>
      </c>
      <c r="V23" s="44"/>
      <c r="W23" s="107" t="s">
        <v>210</v>
      </c>
      <c r="X23" s="108">
        <f t="shared" ref="X23" si="932">-Y$23*(X$4*60)/0.25</f>
        <v>-2880</v>
      </c>
      <c r="Y23" s="110">
        <v>4</v>
      </c>
      <c r="Z23" s="44"/>
      <c r="AA23" s="107" t="s">
        <v>210</v>
      </c>
      <c r="AB23" s="108">
        <f t="shared" ref="AB23" si="933">-AC$23*(AB$4*60)/0.25</f>
        <v>-2880</v>
      </c>
      <c r="AC23" s="110">
        <v>4</v>
      </c>
      <c r="AD23" s="44"/>
      <c r="AE23" s="107" t="s">
        <v>210</v>
      </c>
      <c r="AF23" s="108">
        <f t="shared" ref="AF23" si="934">-AG$23*(AF$4*60)/0.25</f>
        <v>-3840</v>
      </c>
      <c r="AG23" s="110">
        <v>4</v>
      </c>
      <c r="AH23" s="44"/>
      <c r="AI23" s="107" t="s">
        <v>210</v>
      </c>
      <c r="AJ23" s="108">
        <f t="shared" ref="AJ23" si="935">-AK$23*(AJ$4*60)/0.25</f>
        <v>-3840</v>
      </c>
      <c r="AK23" s="110">
        <v>4</v>
      </c>
      <c r="AL23" s="44"/>
      <c r="AM23" s="107" t="s">
        <v>210</v>
      </c>
      <c r="AN23" s="108">
        <f t="shared" ref="AN23" si="936">-AO$23*(AN$4*60)/0.25</f>
        <v>-3840</v>
      </c>
      <c r="AO23" s="110">
        <v>4</v>
      </c>
      <c r="AP23" s="44"/>
      <c r="AQ23" s="107" t="s">
        <v>210</v>
      </c>
      <c r="AR23" s="108">
        <f t="shared" ref="AR23" si="937">-AS$23*(AR$4*60)/0.25</f>
        <v>-3840</v>
      </c>
      <c r="AS23" s="110">
        <v>4</v>
      </c>
      <c r="AT23" s="44"/>
      <c r="AU23" s="107" t="s">
        <v>210</v>
      </c>
      <c r="AV23" s="108">
        <f t="shared" ref="AV23" si="938">-AW$23*(AV$4*60)/0.25</f>
        <v>-3840</v>
      </c>
      <c r="AW23" s="110">
        <v>4</v>
      </c>
      <c r="AX23" s="44"/>
      <c r="AY23" s="107" t="s">
        <v>210</v>
      </c>
      <c r="AZ23" s="108">
        <f t="shared" ref="AZ23" si="939">-BA$23*(AZ$4*60)/0.25</f>
        <v>-3840</v>
      </c>
      <c r="BA23" s="110">
        <v>4</v>
      </c>
      <c r="BB23" s="44"/>
      <c r="BC23" s="107" t="s">
        <v>210</v>
      </c>
      <c r="BD23" s="108">
        <f t="shared" ref="BD23" si="940">-BE$23*(BD$4*60)/0.25</f>
        <v>-3840</v>
      </c>
      <c r="BE23" s="110">
        <v>4</v>
      </c>
      <c r="BF23" s="44"/>
      <c r="BG23" s="107" t="s">
        <v>210</v>
      </c>
      <c r="BH23" s="108">
        <f t="shared" ref="BH23" si="941">-BI$23*(BH$4*60)/0.25</f>
        <v>-4800</v>
      </c>
      <c r="BI23" s="110">
        <v>4</v>
      </c>
      <c r="BJ23" s="44"/>
      <c r="BK23" s="107" t="s">
        <v>210</v>
      </c>
      <c r="BL23" s="108">
        <f t="shared" ref="BL23" si="942">-BM$23*(BL$4*60)/0.25</f>
        <v>-4800</v>
      </c>
      <c r="BM23" s="110">
        <v>4</v>
      </c>
      <c r="BN23" s="44"/>
      <c r="BO23" s="107" t="s">
        <v>210</v>
      </c>
      <c r="BP23" s="108">
        <f t="shared" ref="BP23" si="943">-BQ$23*(BP$4*60)/0.25</f>
        <v>-4800</v>
      </c>
      <c r="BQ23" s="110">
        <v>4</v>
      </c>
      <c r="BR23" s="44"/>
      <c r="BS23" s="107" t="s">
        <v>210</v>
      </c>
      <c r="BT23" s="108">
        <f t="shared" ref="BT23" si="944">-BU$23*(BT$4*60)/0.25</f>
        <v>-4800</v>
      </c>
      <c r="BU23" s="110">
        <v>4</v>
      </c>
      <c r="BV23" s="44"/>
      <c r="BW23" s="107" t="s">
        <v>210</v>
      </c>
      <c r="BX23" s="108">
        <f t="shared" ref="BX23" si="945">-BY$23*(BX$4*60)/0.25</f>
        <v>-4800</v>
      </c>
      <c r="BY23" s="110">
        <v>4</v>
      </c>
      <c r="BZ23" s="44"/>
      <c r="CA23" s="107" t="s">
        <v>210</v>
      </c>
      <c r="CB23" s="108">
        <f t="shared" ref="CB23" si="946">-CC$23*(CB$4*60)/0.25</f>
        <v>-4800</v>
      </c>
      <c r="CC23" s="110">
        <v>4</v>
      </c>
      <c r="CD23" s="44"/>
      <c r="CE23" s="107" t="s">
        <v>210</v>
      </c>
      <c r="CF23" s="108">
        <f t="shared" ref="CF23" si="947">-CG$23*(CF$4*60)/0.25</f>
        <v>-5760</v>
      </c>
      <c r="CG23" s="110">
        <v>4</v>
      </c>
      <c r="CH23" s="44"/>
      <c r="CI23" s="107" t="s">
        <v>210</v>
      </c>
      <c r="CJ23" s="108">
        <f t="shared" ref="CJ23" si="948">-CK$23*(CJ$4*60)/0.25</f>
        <v>-5760</v>
      </c>
      <c r="CK23" s="110">
        <v>4</v>
      </c>
      <c r="CL23" s="44"/>
      <c r="CM23" s="107" t="s">
        <v>210</v>
      </c>
      <c r="CN23" s="108">
        <f t="shared" ref="CN23" si="949">-CO$23*(CN$4*60)/0.25</f>
        <v>-5760</v>
      </c>
      <c r="CO23" s="110">
        <v>4</v>
      </c>
      <c r="CP23" s="44"/>
      <c r="CQ23" s="107" t="s">
        <v>210</v>
      </c>
      <c r="CR23" s="108">
        <f t="shared" ref="CR23" si="950">-CS$23*(CR$4*60)/0.25</f>
        <v>-5760</v>
      </c>
      <c r="CS23" s="110">
        <v>4</v>
      </c>
      <c r="CT23" s="44"/>
      <c r="CU23" s="107" t="s">
        <v>210</v>
      </c>
      <c r="CV23" s="108">
        <f t="shared" ref="CV23" si="951">-CW$23*(CV$4*60)/0.25</f>
        <v>-5760</v>
      </c>
      <c r="CW23" s="110">
        <v>4</v>
      </c>
      <c r="CX23" s="44"/>
      <c r="CY23" s="107" t="s">
        <v>210</v>
      </c>
      <c r="CZ23" s="108">
        <f t="shared" ref="CZ23" si="952">-DA$23*(CZ$4*60)/0.25</f>
        <v>-5760</v>
      </c>
      <c r="DA23" s="110">
        <v>4</v>
      </c>
      <c r="DB23" s="44"/>
      <c r="DC23" s="107" t="s">
        <v>210</v>
      </c>
      <c r="DD23" s="108">
        <f t="shared" ref="DD23" si="953">-DE$23*(DD$4*60)/0.25</f>
        <v>-5760</v>
      </c>
      <c r="DE23" s="110">
        <v>4</v>
      </c>
      <c r="DF23" s="44"/>
      <c r="DG23" s="107" t="s">
        <v>210</v>
      </c>
      <c r="DH23" s="108">
        <f t="shared" ref="DH23" si="954">-DI$23*(DH$4*60)/0.25</f>
        <v>-6720</v>
      </c>
      <c r="DI23" s="110">
        <v>4</v>
      </c>
      <c r="DJ23" s="44"/>
      <c r="DK23" s="107" t="s">
        <v>210</v>
      </c>
      <c r="DL23" s="108">
        <f t="shared" ref="DL23" si="955">-DM$23*(DL$4*60)/0.25</f>
        <v>-6720</v>
      </c>
      <c r="DM23" s="110">
        <v>4</v>
      </c>
      <c r="DN23" s="44"/>
      <c r="DO23" s="107" t="s">
        <v>210</v>
      </c>
      <c r="DP23" s="108">
        <f t="shared" ref="DP23" si="956">-DQ$23*(DP$4*60)/0.25</f>
        <v>-6720</v>
      </c>
      <c r="DQ23" s="110">
        <v>4</v>
      </c>
      <c r="DR23" s="44"/>
      <c r="DS23" s="107" t="s">
        <v>210</v>
      </c>
      <c r="DT23" s="108">
        <f t="shared" ref="DT23" si="957">-DU$23*(DT$4*60)/0.25</f>
        <v>-6720</v>
      </c>
      <c r="DU23" s="110">
        <v>4</v>
      </c>
      <c r="DV23" s="44"/>
      <c r="DW23" s="107" t="s">
        <v>210</v>
      </c>
      <c r="DX23" s="108">
        <f t="shared" ref="DX23" si="958">-DY$23*(DX$4*60)/0.25</f>
        <v>-6720</v>
      </c>
      <c r="DY23" s="110">
        <v>4</v>
      </c>
      <c r="DZ23" s="44"/>
      <c r="EA23" s="107" t="s">
        <v>210</v>
      </c>
      <c r="EB23" s="108">
        <f t="shared" ref="EB23" si="959">-EC$23*(EB$4*60)/0.25</f>
        <v>-6720</v>
      </c>
      <c r="EC23" s="110">
        <v>4</v>
      </c>
      <c r="ED23" s="44"/>
      <c r="EE23" s="107" t="s">
        <v>210</v>
      </c>
      <c r="EF23" s="108">
        <f t="shared" ref="EF23" si="960">-EG$23*(EF$4*60)/0.25</f>
        <v>-6720</v>
      </c>
      <c r="EG23" s="110">
        <v>4</v>
      </c>
      <c r="EH23" s="44"/>
      <c r="EI23" s="107" t="s">
        <v>210</v>
      </c>
      <c r="EJ23" s="108">
        <f t="shared" ref="EJ23" si="961">-EK$23*(EJ$4*60)/0.25</f>
        <v>-7680</v>
      </c>
      <c r="EK23" s="110">
        <v>4</v>
      </c>
      <c r="EL23" s="44"/>
      <c r="EM23" s="107" t="s">
        <v>210</v>
      </c>
      <c r="EN23" s="108">
        <f t="shared" ref="EN23" si="962">-EO$23*(EN$4*60)/0.25</f>
        <v>-7680</v>
      </c>
      <c r="EO23" s="110">
        <v>4</v>
      </c>
      <c r="EP23" s="44"/>
      <c r="EQ23" s="107" t="s">
        <v>210</v>
      </c>
      <c r="ER23" s="108">
        <f t="shared" ref="ER23" si="963">-ES$23*(ER$4*60)/0.25</f>
        <v>-7680</v>
      </c>
      <c r="ES23" s="110">
        <v>4</v>
      </c>
      <c r="ET23" s="44"/>
      <c r="EU23" s="107" t="s">
        <v>210</v>
      </c>
      <c r="EV23" s="108">
        <f t="shared" ref="EV23" si="964">-EW$23*(EV$4*60)/0.25</f>
        <v>-7680</v>
      </c>
      <c r="EW23" s="110">
        <v>4</v>
      </c>
      <c r="EX23" s="44"/>
      <c r="EY23" s="107" t="s">
        <v>210</v>
      </c>
      <c r="EZ23" s="108">
        <f t="shared" ref="EZ23" si="965">-FA$23*(EZ$4*60)/0.25</f>
        <v>-7680</v>
      </c>
      <c r="FA23" s="110">
        <v>4</v>
      </c>
      <c r="FB23" s="44"/>
      <c r="FC23" s="107" t="s">
        <v>210</v>
      </c>
      <c r="FD23" s="108">
        <f t="shared" ref="FD23" si="966">-FE$23*(FD$4*60)/0.25</f>
        <v>-7680</v>
      </c>
      <c r="FE23" s="110">
        <v>4</v>
      </c>
      <c r="FF23" s="44"/>
      <c r="FG23" s="107" t="s">
        <v>210</v>
      </c>
      <c r="FH23" s="108">
        <f t="shared" ref="FH23" si="967">-FI$23*(FH$4*60)/0.25</f>
        <v>-8640</v>
      </c>
      <c r="FI23" s="110">
        <v>4</v>
      </c>
      <c r="FJ23" s="44"/>
      <c r="FK23" s="107" t="s">
        <v>210</v>
      </c>
      <c r="FL23" s="108">
        <f t="shared" ref="FL23" si="968">-FM$23*(FL$4*60)/0.25</f>
        <v>-8640</v>
      </c>
      <c r="FM23" s="110">
        <v>4</v>
      </c>
      <c r="FN23" s="44"/>
      <c r="FO23" s="107" t="s">
        <v>210</v>
      </c>
      <c r="FP23" s="108">
        <f t="shared" ref="FP23" si="969">-FQ$23*(FP$4*60)/0.25</f>
        <v>-8640</v>
      </c>
      <c r="FQ23" s="110">
        <v>4</v>
      </c>
      <c r="FR23" s="44"/>
      <c r="FS23" s="107" t="s">
        <v>210</v>
      </c>
      <c r="FT23" s="108">
        <f t="shared" ref="FT23" si="970">-FU$23*(FT$4*60)/0.25</f>
        <v>-8640</v>
      </c>
      <c r="FU23" s="110">
        <v>4</v>
      </c>
      <c r="FV23" s="44"/>
      <c r="FW23" s="107" t="s">
        <v>210</v>
      </c>
      <c r="FX23" s="108">
        <f t="shared" ref="FX23" si="971">-FY$23*(FX$4*60)/0.25</f>
        <v>-8640</v>
      </c>
      <c r="FY23" s="110">
        <v>4</v>
      </c>
      <c r="FZ23" s="44"/>
      <c r="GA23" s="107" t="s">
        <v>210</v>
      </c>
      <c r="GB23" s="108">
        <f t="shared" ref="GB23" si="972">-GC$23*(GB$4*60)/0.25</f>
        <v>-8640</v>
      </c>
      <c r="GC23" s="110">
        <v>4</v>
      </c>
      <c r="GD23" s="44"/>
      <c r="GE23" s="107" t="s">
        <v>210</v>
      </c>
      <c r="GF23" s="108">
        <f t="shared" ref="GF23" si="973">-GG$23*(GF$4*60)/0.25</f>
        <v>-8640</v>
      </c>
      <c r="GG23" s="110">
        <v>4</v>
      </c>
      <c r="GH23" s="44"/>
      <c r="GI23" s="107" t="s">
        <v>210</v>
      </c>
      <c r="GJ23" s="108">
        <f t="shared" ref="GJ23" si="974">-GK$23*(GJ$4*60)/0.25</f>
        <v>-9600</v>
      </c>
      <c r="GK23" s="110">
        <v>4</v>
      </c>
      <c r="GL23" s="44"/>
      <c r="GM23" s="107" t="s">
        <v>210</v>
      </c>
      <c r="GN23" s="108">
        <f t="shared" ref="GN23" si="975">-GO$23*(GN$4*60)/0.25</f>
        <v>-9600</v>
      </c>
      <c r="GO23" s="110">
        <v>4</v>
      </c>
      <c r="GP23" s="44"/>
      <c r="GQ23" s="107" t="s">
        <v>210</v>
      </c>
      <c r="GR23" s="108">
        <f t="shared" ref="GR23" si="976">-GS$23*(GR$4*60)/0.25</f>
        <v>-9600</v>
      </c>
      <c r="GS23" s="110">
        <v>4</v>
      </c>
      <c r="GT23" s="44"/>
      <c r="GU23" s="107" t="s">
        <v>210</v>
      </c>
      <c r="GV23" s="108">
        <f t="shared" ref="GV23" si="977">-GW$23*(GV$4*60)/0.25</f>
        <v>-9600</v>
      </c>
      <c r="GW23" s="110">
        <v>4</v>
      </c>
      <c r="GX23" s="44"/>
      <c r="GY23" s="107" t="s">
        <v>210</v>
      </c>
      <c r="GZ23" s="108">
        <f t="shared" ref="GZ23" si="978">-HA$23*(GZ$4*60)/0.25</f>
        <v>-9600</v>
      </c>
      <c r="HA23" s="110">
        <v>4</v>
      </c>
      <c r="HB23" s="44"/>
      <c r="HC23" s="107" t="s">
        <v>210</v>
      </c>
      <c r="HD23" s="108">
        <f t="shared" ref="HD23" si="979">-HE$23*(HD$4*60)/0.25</f>
        <v>-9600</v>
      </c>
      <c r="HE23" s="110">
        <v>4</v>
      </c>
      <c r="HF23" s="44"/>
      <c r="HG23" s="107" t="s">
        <v>210</v>
      </c>
      <c r="HH23" s="108">
        <f t="shared" ref="HH23" si="980">-HI$23*(HH$4*60)/0.25</f>
        <v>-9600</v>
      </c>
      <c r="HI23" s="110">
        <v>4</v>
      </c>
      <c r="HJ23" s="44"/>
      <c r="HK23" s="107" t="s">
        <v>210</v>
      </c>
      <c r="HL23" s="108">
        <f t="shared" ref="HL23" si="981">-HM$23*(HL$4*60)/0.25</f>
        <v>-10560</v>
      </c>
      <c r="HM23" s="110">
        <v>4</v>
      </c>
      <c r="HN23" s="44"/>
      <c r="HO23" s="107" t="s">
        <v>210</v>
      </c>
      <c r="HP23" s="108">
        <f t="shared" ref="HP23" si="982">-HQ$23*(HP$4*60)/0.25</f>
        <v>-10560</v>
      </c>
      <c r="HQ23" s="110">
        <v>4</v>
      </c>
      <c r="HR23" s="44"/>
      <c r="HS23" s="107" t="s">
        <v>210</v>
      </c>
      <c r="HT23" s="108">
        <f t="shared" ref="HT23" si="983">-HU$23*(HT$4*60)/0.25</f>
        <v>-10560</v>
      </c>
      <c r="HU23" s="110">
        <v>4</v>
      </c>
      <c r="HV23" s="44"/>
      <c r="HW23" s="107" t="s">
        <v>210</v>
      </c>
      <c r="HX23" s="108">
        <f t="shared" ref="HX23" si="984">-HY$23*(HX$4*60)/0.25</f>
        <v>-10560</v>
      </c>
      <c r="HY23" s="110">
        <v>4</v>
      </c>
      <c r="HZ23" s="44"/>
      <c r="IA23" s="107" t="s">
        <v>210</v>
      </c>
      <c r="IB23" s="108">
        <f t="shared" ref="IB23" si="985">-IC$23*(IB$4*60)/0.25</f>
        <v>-10560</v>
      </c>
      <c r="IC23" s="110">
        <v>4</v>
      </c>
      <c r="ID23" s="44"/>
      <c r="IE23" s="107" t="s">
        <v>210</v>
      </c>
      <c r="IF23" s="108">
        <f t="shared" ref="IF23" si="986">-IG$23*(IF$4*60)/0.25</f>
        <v>-10560</v>
      </c>
      <c r="IG23" s="110">
        <v>4</v>
      </c>
      <c r="IH23" s="44"/>
      <c r="II23" s="107" t="s">
        <v>210</v>
      </c>
      <c r="IJ23" s="108">
        <f t="shared" ref="IJ23" si="987">-IK$23*(IJ$4*60)/0.25</f>
        <v>-11520</v>
      </c>
      <c r="IK23" s="110">
        <v>4</v>
      </c>
      <c r="IL23" s="44"/>
      <c r="IM23" s="107" t="s">
        <v>210</v>
      </c>
      <c r="IN23" s="108">
        <f t="shared" ref="IN23" si="988">-IO$23*(IN$4*60)/0.25</f>
        <v>-11520</v>
      </c>
      <c r="IO23" s="110">
        <v>4</v>
      </c>
      <c r="IP23" s="44"/>
      <c r="IQ23" s="107" t="s">
        <v>210</v>
      </c>
      <c r="IR23" s="108">
        <f t="shared" ref="IR23" si="989">-IS$23*(IR$4*60)/0.25</f>
        <v>-11520</v>
      </c>
      <c r="IS23" s="110">
        <v>4</v>
      </c>
      <c r="IT23" s="44"/>
      <c r="IU23" s="107" t="s">
        <v>210</v>
      </c>
      <c r="IV23" s="108">
        <f t="shared" ref="IV23" si="990">-IW$23*(IV$4*60)/0.25</f>
        <v>-11520</v>
      </c>
      <c r="IW23" s="110">
        <v>4</v>
      </c>
      <c r="IX23" s="44"/>
      <c r="IY23" s="107" t="s">
        <v>210</v>
      </c>
      <c r="IZ23" s="108">
        <f t="shared" ref="IZ23" si="991">-JA$23*(IZ$4*60)/0.25</f>
        <v>-11520</v>
      </c>
      <c r="JA23" s="110">
        <v>4</v>
      </c>
      <c r="JB23" s="44"/>
      <c r="JC23" s="107" t="s">
        <v>210</v>
      </c>
      <c r="JD23" s="108">
        <f t="shared" ref="JD23" si="992">-JE$23*(JD$4*60)/0.25</f>
        <v>-11520</v>
      </c>
      <c r="JE23" s="110">
        <v>4</v>
      </c>
      <c r="JF23" s="44"/>
      <c r="JG23" s="107" t="s">
        <v>210</v>
      </c>
      <c r="JH23" s="108">
        <f t="shared" ref="JH23" si="993">-JI$23*(JH$4*60)/0.25</f>
        <v>-11520</v>
      </c>
      <c r="JI23" s="110">
        <v>4</v>
      </c>
      <c r="JJ23" s="44"/>
      <c r="JK23" s="107" t="s">
        <v>210</v>
      </c>
      <c r="JL23" s="108">
        <f t="shared" ref="JL23" si="994">-JM$23*(JL$4*60)/0.25</f>
        <v>-12480</v>
      </c>
      <c r="JM23" s="110">
        <v>4</v>
      </c>
      <c r="JN23" s="44"/>
      <c r="JO23" s="107" t="s">
        <v>210</v>
      </c>
      <c r="JP23" s="108">
        <f t="shared" ref="JP23" si="995">-JQ$23*(JP$4*60)/0.25</f>
        <v>-12480</v>
      </c>
      <c r="JQ23" s="110">
        <v>4</v>
      </c>
      <c r="JR23" s="44"/>
      <c r="JS23" s="107" t="s">
        <v>210</v>
      </c>
      <c r="JT23" s="108">
        <f t="shared" ref="JT23" si="996">-JU$23*(JT$4*60)/0.25</f>
        <v>-12480</v>
      </c>
      <c r="JU23" s="110">
        <v>4</v>
      </c>
      <c r="JV23" s="44"/>
      <c r="JW23" s="107" t="s">
        <v>210</v>
      </c>
      <c r="JX23" s="108">
        <f t="shared" ref="JX23" si="997">-JY$23*(JX$4*60)/0.25</f>
        <v>-12480</v>
      </c>
      <c r="JY23" s="110">
        <v>4</v>
      </c>
      <c r="JZ23" s="44"/>
      <c r="KA23" s="107" t="s">
        <v>210</v>
      </c>
      <c r="KB23" s="108">
        <f t="shared" ref="KB23" si="998">-KC$23*(KB$4*60)/0.25</f>
        <v>-12480</v>
      </c>
      <c r="KC23" s="110">
        <v>4</v>
      </c>
      <c r="KD23" s="44"/>
      <c r="KE23" s="107" t="s">
        <v>210</v>
      </c>
      <c r="KF23" s="108">
        <f t="shared" ref="KF23" si="999">-KG$23*(KF$4*60)/0.25</f>
        <v>-12480</v>
      </c>
      <c r="KG23" s="110">
        <v>4</v>
      </c>
      <c r="KH23" s="44"/>
    </row>
    <row r="24" spans="1:294" x14ac:dyDescent="0.25">
      <c r="A24" s="98"/>
      <c r="C24" s="107" t="s">
        <v>212</v>
      </c>
      <c r="D24" s="108">
        <f>-E$24*D$4*$A$2</f>
        <v>-465.00000000000006</v>
      </c>
      <c r="E24" s="111">
        <v>0.05</v>
      </c>
      <c r="F24" s="19"/>
      <c r="G24" s="107" t="s">
        <v>212</v>
      </c>
      <c r="H24" s="108">
        <f>-I$24*H$4*$A$2</f>
        <v>-465.00000000000006</v>
      </c>
      <c r="I24" s="111">
        <v>0.05</v>
      </c>
      <c r="J24" s="19"/>
      <c r="K24" s="107" t="s">
        <v>212</v>
      </c>
      <c r="L24" s="108">
        <f t="shared" ref="L24" si="1000">-M$24*L$4*$A$2</f>
        <v>-465.00000000000006</v>
      </c>
      <c r="M24" s="111">
        <v>0.05</v>
      </c>
      <c r="N24" s="19"/>
      <c r="O24" s="107" t="s">
        <v>212</v>
      </c>
      <c r="P24" s="108">
        <f t="shared" ref="P24" si="1001">-Q$24*P$4*$A$2</f>
        <v>-465.00000000000006</v>
      </c>
      <c r="Q24" s="111">
        <v>0.05</v>
      </c>
      <c r="R24" s="19"/>
      <c r="S24" s="107" t="s">
        <v>212</v>
      </c>
      <c r="T24" s="108">
        <f t="shared" ref="T24" si="1002">-U$24*T$4*$A$2</f>
        <v>-465.00000000000006</v>
      </c>
      <c r="U24" s="111">
        <v>0.05</v>
      </c>
      <c r="V24" s="19"/>
      <c r="W24" s="107" t="s">
        <v>212</v>
      </c>
      <c r="X24" s="108">
        <f t="shared" ref="X24" si="1003">-Y$24*X$4*$A$2</f>
        <v>-465.00000000000006</v>
      </c>
      <c r="Y24" s="111">
        <v>0.05</v>
      </c>
      <c r="Z24" s="19"/>
      <c r="AA24" s="107" t="s">
        <v>212</v>
      </c>
      <c r="AB24" s="108">
        <f t="shared" ref="AB24" si="1004">-AC$24*AB$4*$A$2</f>
        <v>-465.00000000000006</v>
      </c>
      <c r="AC24" s="111">
        <v>0.05</v>
      </c>
      <c r="AD24" s="19"/>
      <c r="AE24" s="107" t="s">
        <v>212</v>
      </c>
      <c r="AF24" s="108">
        <f t="shared" ref="AF24" si="1005">-AG$24*AF$4*$A$2</f>
        <v>-620</v>
      </c>
      <c r="AG24" s="111">
        <v>0.05</v>
      </c>
      <c r="AH24" s="19"/>
      <c r="AI24" s="107" t="s">
        <v>212</v>
      </c>
      <c r="AJ24" s="108">
        <f t="shared" ref="AJ24" si="1006">-AK$24*AJ$4*$A$2</f>
        <v>-620</v>
      </c>
      <c r="AK24" s="111">
        <v>0.05</v>
      </c>
      <c r="AL24" s="19"/>
      <c r="AM24" s="107" t="s">
        <v>212</v>
      </c>
      <c r="AN24" s="108">
        <f t="shared" ref="AN24" si="1007">-AO$24*AN$4*$A$2</f>
        <v>-620</v>
      </c>
      <c r="AO24" s="111">
        <v>0.05</v>
      </c>
      <c r="AP24" s="19"/>
      <c r="AQ24" s="107" t="s">
        <v>212</v>
      </c>
      <c r="AR24" s="108">
        <f t="shared" ref="AR24" si="1008">-AS$24*AR$4*$A$2</f>
        <v>-620</v>
      </c>
      <c r="AS24" s="111">
        <v>0.05</v>
      </c>
      <c r="AT24" s="19"/>
      <c r="AU24" s="107" t="s">
        <v>212</v>
      </c>
      <c r="AV24" s="108">
        <f t="shared" ref="AV24" si="1009">-AW$24*AV$4*$A$2</f>
        <v>-620</v>
      </c>
      <c r="AW24" s="111">
        <v>0.05</v>
      </c>
      <c r="AX24" s="19"/>
      <c r="AY24" s="107" t="s">
        <v>212</v>
      </c>
      <c r="AZ24" s="108">
        <f t="shared" ref="AZ24" si="1010">-BA$24*AZ$4*$A$2</f>
        <v>-620</v>
      </c>
      <c r="BA24" s="111">
        <v>0.05</v>
      </c>
      <c r="BB24" s="19"/>
      <c r="BC24" s="107" t="s">
        <v>212</v>
      </c>
      <c r="BD24" s="108">
        <f t="shared" ref="BD24" si="1011">-BE$24*BD$4*$A$2</f>
        <v>-620</v>
      </c>
      <c r="BE24" s="111">
        <v>0.05</v>
      </c>
      <c r="BF24" s="19"/>
      <c r="BG24" s="107" t="s">
        <v>212</v>
      </c>
      <c r="BH24" s="108">
        <f t="shared" ref="BH24" si="1012">-BI$24*BH$4*$A$2</f>
        <v>-775</v>
      </c>
      <c r="BI24" s="111">
        <v>0.05</v>
      </c>
      <c r="BJ24" s="19"/>
      <c r="BK24" s="107" t="s">
        <v>212</v>
      </c>
      <c r="BL24" s="108">
        <f t="shared" ref="BL24" si="1013">-BM$24*BL$4*$A$2</f>
        <v>-775</v>
      </c>
      <c r="BM24" s="111">
        <v>0.05</v>
      </c>
      <c r="BN24" s="19"/>
      <c r="BO24" s="107" t="s">
        <v>212</v>
      </c>
      <c r="BP24" s="108">
        <f t="shared" ref="BP24" si="1014">-BQ$24*BP$4*$A$2</f>
        <v>-775</v>
      </c>
      <c r="BQ24" s="111">
        <v>0.05</v>
      </c>
      <c r="BR24" s="19"/>
      <c r="BS24" s="107" t="s">
        <v>212</v>
      </c>
      <c r="BT24" s="108">
        <f t="shared" ref="BT24" si="1015">-BU$24*BT$4*$A$2</f>
        <v>-775</v>
      </c>
      <c r="BU24" s="111">
        <v>0.05</v>
      </c>
      <c r="BV24" s="19"/>
      <c r="BW24" s="107" t="s">
        <v>212</v>
      </c>
      <c r="BX24" s="108">
        <f t="shared" ref="BX24" si="1016">-BY$24*BX$4*$A$2</f>
        <v>-775</v>
      </c>
      <c r="BY24" s="111">
        <v>0.05</v>
      </c>
      <c r="BZ24" s="19"/>
      <c r="CA24" s="107" t="s">
        <v>212</v>
      </c>
      <c r="CB24" s="108">
        <f t="shared" ref="CB24" si="1017">-CC$24*CB$4*$A$2</f>
        <v>-775</v>
      </c>
      <c r="CC24" s="111">
        <v>0.05</v>
      </c>
      <c r="CD24" s="19"/>
      <c r="CE24" s="107" t="s">
        <v>212</v>
      </c>
      <c r="CF24" s="108">
        <f t="shared" ref="CF24" si="1018">-CG$24*CF$4*$A$2</f>
        <v>-930.00000000000011</v>
      </c>
      <c r="CG24" s="111">
        <v>0.05</v>
      </c>
      <c r="CH24" s="19"/>
      <c r="CI24" s="107" t="s">
        <v>212</v>
      </c>
      <c r="CJ24" s="108">
        <f t="shared" ref="CJ24" si="1019">-CK$24*CJ$4*$A$2</f>
        <v>-930.00000000000011</v>
      </c>
      <c r="CK24" s="111">
        <v>0.05</v>
      </c>
      <c r="CL24" s="19"/>
      <c r="CM24" s="107" t="s">
        <v>212</v>
      </c>
      <c r="CN24" s="108">
        <f t="shared" ref="CN24" si="1020">-CO$24*CN$4*$A$2</f>
        <v>-930.00000000000011</v>
      </c>
      <c r="CO24" s="111">
        <v>0.05</v>
      </c>
      <c r="CP24" s="19"/>
      <c r="CQ24" s="107" t="s">
        <v>212</v>
      </c>
      <c r="CR24" s="108">
        <f t="shared" ref="CR24" si="1021">-CS$24*CR$4*$A$2</f>
        <v>-930.00000000000011</v>
      </c>
      <c r="CS24" s="111">
        <v>0.05</v>
      </c>
      <c r="CT24" s="19"/>
      <c r="CU24" s="107" t="s">
        <v>212</v>
      </c>
      <c r="CV24" s="108">
        <f t="shared" ref="CV24" si="1022">-CW$24*CV$4*$A$2</f>
        <v>-930.00000000000011</v>
      </c>
      <c r="CW24" s="111">
        <v>0.05</v>
      </c>
      <c r="CX24" s="19"/>
      <c r="CY24" s="107" t="s">
        <v>212</v>
      </c>
      <c r="CZ24" s="108">
        <f t="shared" ref="CZ24" si="1023">-DA$24*CZ$4*$A$2</f>
        <v>-930.00000000000011</v>
      </c>
      <c r="DA24" s="111">
        <v>0.05</v>
      </c>
      <c r="DB24" s="19"/>
      <c r="DC24" s="107" t="s">
        <v>212</v>
      </c>
      <c r="DD24" s="108">
        <f t="shared" ref="DD24" si="1024">-DE$24*DD$4*$A$2</f>
        <v>-930.00000000000011</v>
      </c>
      <c r="DE24" s="111">
        <v>0.05</v>
      </c>
      <c r="DF24" s="19"/>
      <c r="DG24" s="107" t="s">
        <v>212</v>
      </c>
      <c r="DH24" s="108">
        <f t="shared" ref="DH24" si="1025">-DI$24*DH$4*$A$2</f>
        <v>-1085</v>
      </c>
      <c r="DI24" s="111">
        <v>0.05</v>
      </c>
      <c r="DJ24" s="19"/>
      <c r="DK24" s="107" t="s">
        <v>212</v>
      </c>
      <c r="DL24" s="108">
        <f t="shared" ref="DL24" si="1026">-DM$24*DL$4*$A$2</f>
        <v>-1085</v>
      </c>
      <c r="DM24" s="111">
        <v>0.05</v>
      </c>
      <c r="DN24" s="19"/>
      <c r="DO24" s="107" t="s">
        <v>212</v>
      </c>
      <c r="DP24" s="108">
        <f t="shared" ref="DP24" si="1027">-DQ$24*DP$4*$A$2</f>
        <v>-1085</v>
      </c>
      <c r="DQ24" s="111">
        <v>0.05</v>
      </c>
      <c r="DR24" s="19"/>
      <c r="DS24" s="107" t="s">
        <v>212</v>
      </c>
      <c r="DT24" s="108">
        <f t="shared" ref="DT24" si="1028">-DU$24*DT$4*$A$2</f>
        <v>-1085</v>
      </c>
      <c r="DU24" s="111">
        <v>0.05</v>
      </c>
      <c r="DV24" s="19"/>
      <c r="DW24" s="107" t="s">
        <v>212</v>
      </c>
      <c r="DX24" s="108">
        <f t="shared" ref="DX24" si="1029">-DY$24*DX$4*$A$2</f>
        <v>-1085</v>
      </c>
      <c r="DY24" s="111">
        <v>0.05</v>
      </c>
      <c r="DZ24" s="19"/>
      <c r="EA24" s="107" t="s">
        <v>212</v>
      </c>
      <c r="EB24" s="108">
        <f t="shared" ref="EB24" si="1030">-EC$24*EB$4*$A$2</f>
        <v>-1085</v>
      </c>
      <c r="EC24" s="111">
        <v>0.05</v>
      </c>
      <c r="ED24" s="19"/>
      <c r="EE24" s="107" t="s">
        <v>212</v>
      </c>
      <c r="EF24" s="108">
        <f t="shared" ref="EF24" si="1031">-EG$24*EF$4*$A$2</f>
        <v>-1085</v>
      </c>
      <c r="EG24" s="111">
        <v>0.05</v>
      </c>
      <c r="EH24" s="19"/>
      <c r="EI24" s="107" t="s">
        <v>212</v>
      </c>
      <c r="EJ24" s="108">
        <f t="shared" ref="EJ24" si="1032">-EK$24*EJ$4*$A$2</f>
        <v>-1240</v>
      </c>
      <c r="EK24" s="111">
        <v>0.05</v>
      </c>
      <c r="EL24" s="19"/>
      <c r="EM24" s="107" t="s">
        <v>212</v>
      </c>
      <c r="EN24" s="108">
        <f t="shared" ref="EN24" si="1033">-EO$24*EN$4*$A$2</f>
        <v>-1240</v>
      </c>
      <c r="EO24" s="111">
        <v>0.05</v>
      </c>
      <c r="EP24" s="19"/>
      <c r="EQ24" s="107" t="s">
        <v>212</v>
      </c>
      <c r="ER24" s="108">
        <f t="shared" ref="ER24" si="1034">-ES$24*ER$4*$A$2</f>
        <v>-1240</v>
      </c>
      <c r="ES24" s="111">
        <v>0.05</v>
      </c>
      <c r="ET24" s="19"/>
      <c r="EU24" s="107" t="s">
        <v>212</v>
      </c>
      <c r="EV24" s="108">
        <f t="shared" ref="EV24" si="1035">-EW$24*EV$4*$A$2</f>
        <v>-1240</v>
      </c>
      <c r="EW24" s="111">
        <v>0.05</v>
      </c>
      <c r="EX24" s="19"/>
      <c r="EY24" s="107" t="s">
        <v>212</v>
      </c>
      <c r="EZ24" s="108">
        <f t="shared" ref="EZ24" si="1036">-FA$24*EZ$4*$A$2</f>
        <v>-1240</v>
      </c>
      <c r="FA24" s="111">
        <v>0.05</v>
      </c>
      <c r="FB24" s="19"/>
      <c r="FC24" s="107" t="s">
        <v>212</v>
      </c>
      <c r="FD24" s="108">
        <f t="shared" ref="FD24" si="1037">-FE$24*FD$4*$A$2</f>
        <v>-1240</v>
      </c>
      <c r="FE24" s="111">
        <v>0.05</v>
      </c>
      <c r="FF24" s="19"/>
      <c r="FG24" s="107" t="s">
        <v>212</v>
      </c>
      <c r="FH24" s="108">
        <f t="shared" ref="FH24" si="1038">-FI$24*FH$4*$A$2</f>
        <v>-1395</v>
      </c>
      <c r="FI24" s="111">
        <v>0.05</v>
      </c>
      <c r="FJ24" s="19"/>
      <c r="FK24" s="107" t="s">
        <v>212</v>
      </c>
      <c r="FL24" s="108">
        <f t="shared" ref="FL24" si="1039">-FM$24*FL$4*$A$2</f>
        <v>-1395</v>
      </c>
      <c r="FM24" s="111">
        <v>0.05</v>
      </c>
      <c r="FN24" s="19"/>
      <c r="FO24" s="107" t="s">
        <v>212</v>
      </c>
      <c r="FP24" s="108">
        <f t="shared" ref="FP24" si="1040">-FQ$24*FP$4*$A$2</f>
        <v>-1395</v>
      </c>
      <c r="FQ24" s="111">
        <v>0.05</v>
      </c>
      <c r="FR24" s="19"/>
      <c r="FS24" s="107" t="s">
        <v>212</v>
      </c>
      <c r="FT24" s="108">
        <f t="shared" ref="FT24" si="1041">-FU$24*FT$4*$A$2</f>
        <v>-1395</v>
      </c>
      <c r="FU24" s="111">
        <v>0.05</v>
      </c>
      <c r="FV24" s="19"/>
      <c r="FW24" s="107" t="s">
        <v>212</v>
      </c>
      <c r="FX24" s="108">
        <f t="shared" ref="FX24" si="1042">-FY$24*FX$4*$A$2</f>
        <v>-1395</v>
      </c>
      <c r="FY24" s="111">
        <v>0.05</v>
      </c>
      <c r="FZ24" s="19"/>
      <c r="GA24" s="107" t="s">
        <v>212</v>
      </c>
      <c r="GB24" s="108">
        <f t="shared" ref="GB24" si="1043">-GC$24*GB$4*$A$2</f>
        <v>-1395</v>
      </c>
      <c r="GC24" s="111">
        <v>0.05</v>
      </c>
      <c r="GD24" s="19"/>
      <c r="GE24" s="107" t="s">
        <v>212</v>
      </c>
      <c r="GF24" s="108">
        <f t="shared" ref="GF24" si="1044">-GG$24*GF$4*$A$2</f>
        <v>-1395</v>
      </c>
      <c r="GG24" s="111">
        <v>0.05</v>
      </c>
      <c r="GH24" s="19"/>
      <c r="GI24" s="107" t="s">
        <v>212</v>
      </c>
      <c r="GJ24" s="108">
        <f t="shared" ref="GJ24" si="1045">-GK$24*GJ$4*$A$2</f>
        <v>-1550</v>
      </c>
      <c r="GK24" s="111">
        <v>0.05</v>
      </c>
      <c r="GL24" s="19"/>
      <c r="GM24" s="107" t="s">
        <v>212</v>
      </c>
      <c r="GN24" s="108">
        <f t="shared" ref="GN24" si="1046">-GO$24*GN$4*$A$2</f>
        <v>-1550</v>
      </c>
      <c r="GO24" s="111">
        <v>0.05</v>
      </c>
      <c r="GP24" s="19"/>
      <c r="GQ24" s="107" t="s">
        <v>212</v>
      </c>
      <c r="GR24" s="108">
        <f t="shared" ref="GR24" si="1047">-GS$24*GR$4*$A$2</f>
        <v>-1550</v>
      </c>
      <c r="GS24" s="111">
        <v>0.05</v>
      </c>
      <c r="GT24" s="19"/>
      <c r="GU24" s="107" t="s">
        <v>212</v>
      </c>
      <c r="GV24" s="108">
        <f t="shared" ref="GV24" si="1048">-GW$24*GV$4*$A$2</f>
        <v>-1550</v>
      </c>
      <c r="GW24" s="111">
        <v>0.05</v>
      </c>
      <c r="GX24" s="19"/>
      <c r="GY24" s="107" t="s">
        <v>212</v>
      </c>
      <c r="GZ24" s="108">
        <f t="shared" ref="GZ24" si="1049">-HA$24*GZ$4*$A$2</f>
        <v>-1550</v>
      </c>
      <c r="HA24" s="111">
        <v>0.05</v>
      </c>
      <c r="HB24" s="19"/>
      <c r="HC24" s="107" t="s">
        <v>212</v>
      </c>
      <c r="HD24" s="108">
        <f t="shared" ref="HD24" si="1050">-HE$24*HD$4*$A$2</f>
        <v>-1550</v>
      </c>
      <c r="HE24" s="111">
        <v>0.05</v>
      </c>
      <c r="HF24" s="19"/>
      <c r="HG24" s="107" t="s">
        <v>212</v>
      </c>
      <c r="HH24" s="108">
        <f t="shared" ref="HH24" si="1051">-HI$24*HH$4*$A$2</f>
        <v>-1550</v>
      </c>
      <c r="HI24" s="111">
        <v>0.05</v>
      </c>
      <c r="HJ24" s="19"/>
      <c r="HK24" s="107" t="s">
        <v>212</v>
      </c>
      <c r="HL24" s="108">
        <f t="shared" ref="HL24" si="1052">-HM$24*HL$4*$A$2</f>
        <v>-1705.0000000000002</v>
      </c>
      <c r="HM24" s="111">
        <v>0.05</v>
      </c>
      <c r="HN24" s="19"/>
      <c r="HO24" s="107" t="s">
        <v>212</v>
      </c>
      <c r="HP24" s="108">
        <f t="shared" ref="HP24" si="1053">-HQ$24*HP$4*$A$2</f>
        <v>-1705.0000000000002</v>
      </c>
      <c r="HQ24" s="111">
        <v>0.05</v>
      </c>
      <c r="HR24" s="19"/>
      <c r="HS24" s="107" t="s">
        <v>212</v>
      </c>
      <c r="HT24" s="108">
        <f t="shared" ref="HT24" si="1054">-HU$24*HT$4*$A$2</f>
        <v>-1705.0000000000002</v>
      </c>
      <c r="HU24" s="111">
        <v>0.05</v>
      </c>
      <c r="HV24" s="19"/>
      <c r="HW24" s="107" t="s">
        <v>212</v>
      </c>
      <c r="HX24" s="108">
        <f t="shared" ref="HX24" si="1055">-HY$24*HX$4*$A$2</f>
        <v>-1705.0000000000002</v>
      </c>
      <c r="HY24" s="111">
        <v>0.05</v>
      </c>
      <c r="HZ24" s="19"/>
      <c r="IA24" s="107" t="s">
        <v>212</v>
      </c>
      <c r="IB24" s="108">
        <f t="shared" ref="IB24" si="1056">-IC$24*IB$4*$A$2</f>
        <v>-1705.0000000000002</v>
      </c>
      <c r="IC24" s="111">
        <v>0.05</v>
      </c>
      <c r="ID24" s="19"/>
      <c r="IE24" s="107" t="s">
        <v>212</v>
      </c>
      <c r="IF24" s="108">
        <f t="shared" ref="IF24" si="1057">-IG$24*IF$4*$A$2</f>
        <v>-1705.0000000000002</v>
      </c>
      <c r="IG24" s="111">
        <v>0.05</v>
      </c>
      <c r="IH24" s="19"/>
      <c r="II24" s="107" t="s">
        <v>212</v>
      </c>
      <c r="IJ24" s="108">
        <f t="shared" ref="IJ24" si="1058">-IK$24*IJ$4*$A$2</f>
        <v>-1860.0000000000002</v>
      </c>
      <c r="IK24" s="111">
        <v>0.05</v>
      </c>
      <c r="IL24" s="19"/>
      <c r="IM24" s="107" t="s">
        <v>212</v>
      </c>
      <c r="IN24" s="108">
        <f t="shared" ref="IN24" si="1059">-IO$24*IN$4*$A$2</f>
        <v>-1860.0000000000002</v>
      </c>
      <c r="IO24" s="111">
        <v>0.05</v>
      </c>
      <c r="IP24" s="19"/>
      <c r="IQ24" s="107" t="s">
        <v>212</v>
      </c>
      <c r="IR24" s="108">
        <f t="shared" ref="IR24" si="1060">-IS$24*IR$4*$A$2</f>
        <v>-1860.0000000000002</v>
      </c>
      <c r="IS24" s="111">
        <v>0.05</v>
      </c>
      <c r="IT24" s="19"/>
      <c r="IU24" s="107" t="s">
        <v>212</v>
      </c>
      <c r="IV24" s="108">
        <f t="shared" ref="IV24" si="1061">-IW$24*IV$4*$A$2</f>
        <v>-1860.0000000000002</v>
      </c>
      <c r="IW24" s="111">
        <v>0.05</v>
      </c>
      <c r="IX24" s="19"/>
      <c r="IY24" s="107" t="s">
        <v>212</v>
      </c>
      <c r="IZ24" s="108">
        <f t="shared" ref="IZ24" si="1062">-JA$24*IZ$4*$A$2</f>
        <v>-1860.0000000000002</v>
      </c>
      <c r="JA24" s="111">
        <v>0.05</v>
      </c>
      <c r="JB24" s="19"/>
      <c r="JC24" s="107" t="s">
        <v>212</v>
      </c>
      <c r="JD24" s="108">
        <f t="shared" ref="JD24" si="1063">-JE$24*JD$4*$A$2</f>
        <v>-1860.0000000000002</v>
      </c>
      <c r="JE24" s="111">
        <v>0.05</v>
      </c>
      <c r="JF24" s="19"/>
      <c r="JG24" s="107" t="s">
        <v>212</v>
      </c>
      <c r="JH24" s="108">
        <f t="shared" ref="JH24" si="1064">-JI$24*JH$4*$A$2</f>
        <v>-1860.0000000000002</v>
      </c>
      <c r="JI24" s="111">
        <v>0.05</v>
      </c>
      <c r="JJ24" s="19"/>
      <c r="JK24" s="107" t="s">
        <v>212</v>
      </c>
      <c r="JL24" s="108">
        <f t="shared" ref="JL24" si="1065">-JM$24*JL$4*$A$2</f>
        <v>-2015</v>
      </c>
      <c r="JM24" s="111">
        <v>0.05</v>
      </c>
      <c r="JN24" s="19"/>
      <c r="JO24" s="107" t="s">
        <v>212</v>
      </c>
      <c r="JP24" s="108">
        <f t="shared" ref="JP24" si="1066">-JQ$24*JP$4*$A$2</f>
        <v>-2015</v>
      </c>
      <c r="JQ24" s="111">
        <v>0.05</v>
      </c>
      <c r="JR24" s="19"/>
      <c r="JS24" s="107" t="s">
        <v>212</v>
      </c>
      <c r="JT24" s="108">
        <f t="shared" ref="JT24" si="1067">-JU$24*JT$4*$A$2</f>
        <v>-2015</v>
      </c>
      <c r="JU24" s="111">
        <v>0.05</v>
      </c>
      <c r="JV24" s="19"/>
      <c r="JW24" s="107" t="s">
        <v>212</v>
      </c>
      <c r="JX24" s="108">
        <f t="shared" ref="JX24" si="1068">-JY$24*JX$4*$A$2</f>
        <v>-2015</v>
      </c>
      <c r="JY24" s="111">
        <v>0.05</v>
      </c>
      <c r="JZ24" s="19"/>
      <c r="KA24" s="107" t="s">
        <v>212</v>
      </c>
      <c r="KB24" s="108">
        <f t="shared" ref="KB24" si="1069">-KC$24*KB$4*$A$2</f>
        <v>-2015</v>
      </c>
      <c r="KC24" s="111">
        <v>0.05</v>
      </c>
      <c r="KD24" s="19"/>
      <c r="KE24" s="107" t="s">
        <v>212</v>
      </c>
      <c r="KF24" s="108">
        <f t="shared" ref="KF24" si="1070">-KG$24*KF$4*$A$2</f>
        <v>-2015</v>
      </c>
      <c r="KG24" s="111">
        <v>0.05</v>
      </c>
      <c r="KH24" s="19"/>
    </row>
    <row r="25" spans="1:294" x14ac:dyDescent="0.25">
      <c r="C25" s="107" t="s">
        <v>218</v>
      </c>
      <c r="D25" s="108">
        <f>-E$25*D$4*$A$2</f>
        <v>-186</v>
      </c>
      <c r="E25" s="112">
        <v>0.02</v>
      </c>
      <c r="G25" s="107" t="s">
        <v>218</v>
      </c>
      <c r="H25" s="108">
        <f>-I$25*H$4*$A$2</f>
        <v>-186</v>
      </c>
      <c r="I25" s="112">
        <v>0.02</v>
      </c>
      <c r="K25" s="107" t="s">
        <v>218</v>
      </c>
      <c r="L25" s="108">
        <f t="shared" ref="L25" si="1071">-M$25*L$4*$A$2</f>
        <v>-186</v>
      </c>
      <c r="M25" s="112">
        <v>0.02</v>
      </c>
      <c r="N25" s="44"/>
      <c r="O25" s="107" t="s">
        <v>218</v>
      </c>
      <c r="P25" s="108">
        <f t="shared" ref="P25" si="1072">-Q$25*P$4*$A$2</f>
        <v>-186</v>
      </c>
      <c r="Q25" s="112">
        <v>0.02</v>
      </c>
      <c r="R25" s="44"/>
      <c r="S25" s="107" t="s">
        <v>218</v>
      </c>
      <c r="T25" s="108">
        <f t="shared" ref="T25" si="1073">-U$25*T$4*$A$2</f>
        <v>-186</v>
      </c>
      <c r="U25" s="112">
        <v>0.02</v>
      </c>
      <c r="V25" s="44"/>
      <c r="W25" s="107" t="s">
        <v>218</v>
      </c>
      <c r="X25" s="108">
        <f t="shared" ref="X25" si="1074">-Y$25*X$4*$A$2</f>
        <v>-186</v>
      </c>
      <c r="Y25" s="112">
        <v>0.02</v>
      </c>
      <c r="Z25" s="44"/>
      <c r="AA25" s="107" t="s">
        <v>218</v>
      </c>
      <c r="AB25" s="108">
        <f t="shared" ref="AB25" si="1075">-AC$25*AB$4*$A$2</f>
        <v>-186</v>
      </c>
      <c r="AC25" s="112">
        <v>0.02</v>
      </c>
      <c r="AD25" s="44"/>
      <c r="AE25" s="107" t="s">
        <v>218</v>
      </c>
      <c r="AF25" s="108">
        <f t="shared" ref="AF25" si="1076">-AG$25*AF$4*$A$2</f>
        <v>-248</v>
      </c>
      <c r="AG25" s="112">
        <v>0.02</v>
      </c>
      <c r="AH25" s="44"/>
      <c r="AI25" s="107" t="s">
        <v>218</v>
      </c>
      <c r="AJ25" s="108">
        <f t="shared" ref="AJ25" si="1077">-AK$25*AJ$4*$A$2</f>
        <v>-248</v>
      </c>
      <c r="AK25" s="112">
        <v>0.02</v>
      </c>
      <c r="AL25" s="44"/>
      <c r="AM25" s="107" t="s">
        <v>218</v>
      </c>
      <c r="AN25" s="108">
        <f t="shared" ref="AN25" si="1078">-AO$25*AN$4*$A$2</f>
        <v>-248</v>
      </c>
      <c r="AO25" s="112">
        <v>0.02</v>
      </c>
      <c r="AP25" s="44"/>
      <c r="AQ25" s="107" t="s">
        <v>218</v>
      </c>
      <c r="AR25" s="108">
        <f t="shared" ref="AR25" si="1079">-AS$25*AR$4*$A$2</f>
        <v>-248</v>
      </c>
      <c r="AS25" s="112">
        <v>0.02</v>
      </c>
      <c r="AT25" s="44"/>
      <c r="AU25" s="107" t="s">
        <v>218</v>
      </c>
      <c r="AV25" s="108">
        <f t="shared" ref="AV25" si="1080">-AW$25*AV$4*$A$2</f>
        <v>-248</v>
      </c>
      <c r="AW25" s="112">
        <v>0.02</v>
      </c>
      <c r="AX25" s="44"/>
      <c r="AY25" s="107" t="s">
        <v>218</v>
      </c>
      <c r="AZ25" s="108">
        <f t="shared" ref="AZ25" si="1081">-BA$25*AZ$4*$A$2</f>
        <v>-248</v>
      </c>
      <c r="BA25" s="112">
        <v>0.02</v>
      </c>
      <c r="BB25" s="44"/>
      <c r="BC25" s="107" t="s">
        <v>218</v>
      </c>
      <c r="BD25" s="108">
        <f t="shared" ref="BD25" si="1082">-BE$25*BD$4*$A$2</f>
        <v>-248</v>
      </c>
      <c r="BE25" s="112">
        <v>0.02</v>
      </c>
      <c r="BF25" s="44"/>
      <c r="BG25" s="107" t="s">
        <v>218</v>
      </c>
      <c r="BH25" s="108">
        <f t="shared" ref="BH25" si="1083">-BI$25*BH$4*$A$2</f>
        <v>-310</v>
      </c>
      <c r="BI25" s="112">
        <v>0.02</v>
      </c>
      <c r="BJ25" s="44"/>
      <c r="BK25" s="107" t="s">
        <v>218</v>
      </c>
      <c r="BL25" s="108">
        <f t="shared" ref="BL25" si="1084">-BM$25*BL$4*$A$2</f>
        <v>-310</v>
      </c>
      <c r="BM25" s="112">
        <v>0.02</v>
      </c>
      <c r="BN25" s="44"/>
      <c r="BO25" s="107" t="s">
        <v>218</v>
      </c>
      <c r="BP25" s="108">
        <f t="shared" ref="BP25" si="1085">-BQ$25*BP$4*$A$2</f>
        <v>-310</v>
      </c>
      <c r="BQ25" s="112">
        <v>0.02</v>
      </c>
      <c r="BR25" s="44"/>
      <c r="BS25" s="107" t="s">
        <v>218</v>
      </c>
      <c r="BT25" s="108">
        <f t="shared" ref="BT25" si="1086">-BU$25*BT$4*$A$2</f>
        <v>-310</v>
      </c>
      <c r="BU25" s="112">
        <v>0.02</v>
      </c>
      <c r="BV25" s="44"/>
      <c r="BW25" s="107" t="s">
        <v>218</v>
      </c>
      <c r="BX25" s="108">
        <f t="shared" ref="BX25" si="1087">-BY$25*BX$4*$A$2</f>
        <v>-310</v>
      </c>
      <c r="BY25" s="112">
        <v>0.02</v>
      </c>
      <c r="BZ25" s="44"/>
      <c r="CA25" s="107" t="s">
        <v>218</v>
      </c>
      <c r="CB25" s="108">
        <f t="shared" ref="CB25" si="1088">-CC$25*CB$4*$A$2</f>
        <v>-310</v>
      </c>
      <c r="CC25" s="112">
        <v>0.02</v>
      </c>
      <c r="CD25" s="44"/>
      <c r="CE25" s="107" t="s">
        <v>218</v>
      </c>
      <c r="CF25" s="108">
        <f t="shared" ref="CF25" si="1089">-CG$25*CF$4*$A$2</f>
        <v>-372</v>
      </c>
      <c r="CG25" s="112">
        <v>0.02</v>
      </c>
      <c r="CH25" s="44"/>
      <c r="CI25" s="107" t="s">
        <v>218</v>
      </c>
      <c r="CJ25" s="108">
        <f t="shared" ref="CJ25" si="1090">-CK$25*CJ$4*$A$2</f>
        <v>-372</v>
      </c>
      <c r="CK25" s="112">
        <v>0.02</v>
      </c>
      <c r="CL25" s="44"/>
      <c r="CM25" s="107" t="s">
        <v>218</v>
      </c>
      <c r="CN25" s="108">
        <f t="shared" ref="CN25" si="1091">-CO$25*CN$4*$A$2</f>
        <v>-372</v>
      </c>
      <c r="CO25" s="112">
        <v>0.02</v>
      </c>
      <c r="CP25" s="44"/>
      <c r="CQ25" s="107" t="s">
        <v>218</v>
      </c>
      <c r="CR25" s="108">
        <f t="shared" ref="CR25" si="1092">-CS$25*CR$4*$A$2</f>
        <v>-372</v>
      </c>
      <c r="CS25" s="112">
        <v>0.02</v>
      </c>
      <c r="CT25" s="44"/>
      <c r="CU25" s="107" t="s">
        <v>218</v>
      </c>
      <c r="CV25" s="108">
        <f t="shared" ref="CV25" si="1093">-CW$25*CV$4*$A$2</f>
        <v>-372</v>
      </c>
      <c r="CW25" s="112">
        <v>0.02</v>
      </c>
      <c r="CX25" s="44"/>
      <c r="CY25" s="107" t="s">
        <v>218</v>
      </c>
      <c r="CZ25" s="108">
        <f t="shared" ref="CZ25" si="1094">-DA$25*CZ$4*$A$2</f>
        <v>-372</v>
      </c>
      <c r="DA25" s="112">
        <v>0.02</v>
      </c>
      <c r="DB25" s="44"/>
      <c r="DC25" s="107" t="s">
        <v>218</v>
      </c>
      <c r="DD25" s="108">
        <f t="shared" ref="DD25" si="1095">-DE$25*DD$4*$A$2</f>
        <v>-372</v>
      </c>
      <c r="DE25" s="112">
        <v>0.02</v>
      </c>
      <c r="DF25" s="44"/>
      <c r="DG25" s="107" t="s">
        <v>218</v>
      </c>
      <c r="DH25" s="108">
        <f t="shared" ref="DH25" si="1096">-DI$25*DH$4*$A$2</f>
        <v>-434.00000000000006</v>
      </c>
      <c r="DI25" s="112">
        <v>0.02</v>
      </c>
      <c r="DJ25" s="44"/>
      <c r="DK25" s="107" t="s">
        <v>218</v>
      </c>
      <c r="DL25" s="108">
        <f t="shared" ref="DL25" si="1097">-DM$25*DL$4*$A$2</f>
        <v>-434.00000000000006</v>
      </c>
      <c r="DM25" s="112">
        <v>0.02</v>
      </c>
      <c r="DN25" s="44"/>
      <c r="DO25" s="107" t="s">
        <v>218</v>
      </c>
      <c r="DP25" s="108">
        <f t="shared" ref="DP25" si="1098">-DQ$25*DP$4*$A$2</f>
        <v>-434.00000000000006</v>
      </c>
      <c r="DQ25" s="112">
        <v>0.02</v>
      </c>
      <c r="DR25" s="44"/>
      <c r="DS25" s="107" t="s">
        <v>218</v>
      </c>
      <c r="DT25" s="108">
        <f t="shared" ref="DT25" si="1099">-DU$25*DT$4*$A$2</f>
        <v>-434.00000000000006</v>
      </c>
      <c r="DU25" s="112">
        <v>0.02</v>
      </c>
      <c r="DV25" s="44"/>
      <c r="DW25" s="107" t="s">
        <v>218</v>
      </c>
      <c r="DX25" s="108">
        <f t="shared" ref="DX25" si="1100">-DY$25*DX$4*$A$2</f>
        <v>-434.00000000000006</v>
      </c>
      <c r="DY25" s="112">
        <v>0.02</v>
      </c>
      <c r="DZ25" s="44"/>
      <c r="EA25" s="107" t="s">
        <v>218</v>
      </c>
      <c r="EB25" s="108">
        <f t="shared" ref="EB25" si="1101">-EC$25*EB$4*$A$2</f>
        <v>-434.00000000000006</v>
      </c>
      <c r="EC25" s="112">
        <v>0.02</v>
      </c>
      <c r="ED25" s="44"/>
      <c r="EE25" s="107" t="s">
        <v>218</v>
      </c>
      <c r="EF25" s="108">
        <f t="shared" ref="EF25" si="1102">-EG$25*EF$4*$A$2</f>
        <v>-434.00000000000006</v>
      </c>
      <c r="EG25" s="112">
        <v>0.02</v>
      </c>
      <c r="EH25" s="44"/>
      <c r="EI25" s="107" t="s">
        <v>218</v>
      </c>
      <c r="EJ25" s="108">
        <f t="shared" ref="EJ25" si="1103">-EK$25*EJ$4*$A$2</f>
        <v>-496</v>
      </c>
      <c r="EK25" s="112">
        <v>0.02</v>
      </c>
      <c r="EL25" s="44"/>
      <c r="EM25" s="107" t="s">
        <v>218</v>
      </c>
      <c r="EN25" s="108">
        <f t="shared" ref="EN25" si="1104">-EO$25*EN$4*$A$2</f>
        <v>-496</v>
      </c>
      <c r="EO25" s="112">
        <v>0.02</v>
      </c>
      <c r="EP25" s="44"/>
      <c r="EQ25" s="107" t="s">
        <v>218</v>
      </c>
      <c r="ER25" s="108">
        <f t="shared" ref="ER25" si="1105">-ES$25*ER$4*$A$2</f>
        <v>-496</v>
      </c>
      <c r="ES25" s="112">
        <v>0.02</v>
      </c>
      <c r="ET25" s="44"/>
      <c r="EU25" s="107" t="s">
        <v>218</v>
      </c>
      <c r="EV25" s="108">
        <f t="shared" ref="EV25" si="1106">-EW$25*EV$4*$A$2</f>
        <v>-496</v>
      </c>
      <c r="EW25" s="112">
        <v>0.02</v>
      </c>
      <c r="EX25" s="44"/>
      <c r="EY25" s="107" t="s">
        <v>218</v>
      </c>
      <c r="EZ25" s="108">
        <f t="shared" ref="EZ25" si="1107">-FA$25*EZ$4*$A$2</f>
        <v>-496</v>
      </c>
      <c r="FA25" s="112">
        <v>0.02</v>
      </c>
      <c r="FB25" s="44"/>
      <c r="FC25" s="107" t="s">
        <v>218</v>
      </c>
      <c r="FD25" s="108">
        <f t="shared" ref="FD25" si="1108">-FE$25*FD$4*$A$2</f>
        <v>-496</v>
      </c>
      <c r="FE25" s="112">
        <v>0.02</v>
      </c>
      <c r="FF25" s="44"/>
      <c r="FG25" s="107" t="s">
        <v>218</v>
      </c>
      <c r="FH25" s="108">
        <f t="shared" ref="FH25" si="1109">-FI$25*FH$4*$A$2</f>
        <v>-558</v>
      </c>
      <c r="FI25" s="112">
        <v>0.02</v>
      </c>
      <c r="FJ25" s="44"/>
      <c r="FK25" s="107" t="s">
        <v>218</v>
      </c>
      <c r="FL25" s="108">
        <f t="shared" ref="FL25" si="1110">-FM$25*FL$4*$A$2</f>
        <v>-558</v>
      </c>
      <c r="FM25" s="112">
        <v>0.02</v>
      </c>
      <c r="FN25" s="44"/>
      <c r="FO25" s="107" t="s">
        <v>218</v>
      </c>
      <c r="FP25" s="108">
        <f t="shared" ref="FP25" si="1111">-FQ$25*FP$4*$A$2</f>
        <v>-558</v>
      </c>
      <c r="FQ25" s="112">
        <v>0.02</v>
      </c>
      <c r="FR25" s="44"/>
      <c r="FS25" s="107" t="s">
        <v>218</v>
      </c>
      <c r="FT25" s="108">
        <f t="shared" ref="FT25" si="1112">-FU$25*FT$4*$A$2</f>
        <v>-558</v>
      </c>
      <c r="FU25" s="112">
        <v>0.02</v>
      </c>
      <c r="FV25" s="44"/>
      <c r="FW25" s="107" t="s">
        <v>218</v>
      </c>
      <c r="FX25" s="108">
        <f t="shared" ref="FX25" si="1113">-FY$25*FX$4*$A$2</f>
        <v>-558</v>
      </c>
      <c r="FY25" s="112">
        <v>0.02</v>
      </c>
      <c r="FZ25" s="44"/>
      <c r="GA25" s="107" t="s">
        <v>218</v>
      </c>
      <c r="GB25" s="108">
        <f t="shared" ref="GB25" si="1114">-GC$25*GB$4*$A$2</f>
        <v>-558</v>
      </c>
      <c r="GC25" s="112">
        <v>0.02</v>
      </c>
      <c r="GD25" s="44"/>
      <c r="GE25" s="107" t="s">
        <v>218</v>
      </c>
      <c r="GF25" s="108">
        <f t="shared" ref="GF25" si="1115">-GG$25*GF$4*$A$2</f>
        <v>-558</v>
      </c>
      <c r="GG25" s="112">
        <v>0.02</v>
      </c>
      <c r="GH25" s="44"/>
      <c r="GI25" s="107" t="s">
        <v>218</v>
      </c>
      <c r="GJ25" s="108">
        <f t="shared" ref="GJ25" si="1116">-GK$25*GJ$4*$A$2</f>
        <v>-620</v>
      </c>
      <c r="GK25" s="112">
        <v>0.02</v>
      </c>
      <c r="GL25" s="44"/>
      <c r="GM25" s="107" t="s">
        <v>218</v>
      </c>
      <c r="GN25" s="108">
        <f t="shared" ref="GN25" si="1117">-GO$25*GN$4*$A$2</f>
        <v>-620</v>
      </c>
      <c r="GO25" s="112">
        <v>0.02</v>
      </c>
      <c r="GP25" s="44"/>
      <c r="GQ25" s="107" t="s">
        <v>218</v>
      </c>
      <c r="GR25" s="108">
        <f t="shared" ref="GR25" si="1118">-GS$25*GR$4*$A$2</f>
        <v>-620</v>
      </c>
      <c r="GS25" s="112">
        <v>0.02</v>
      </c>
      <c r="GT25" s="44"/>
      <c r="GU25" s="107" t="s">
        <v>218</v>
      </c>
      <c r="GV25" s="108">
        <f t="shared" ref="GV25" si="1119">-GW$25*GV$4*$A$2</f>
        <v>-620</v>
      </c>
      <c r="GW25" s="112">
        <v>0.02</v>
      </c>
      <c r="GX25" s="44"/>
      <c r="GY25" s="107" t="s">
        <v>218</v>
      </c>
      <c r="GZ25" s="108">
        <f t="shared" ref="GZ25" si="1120">-HA$25*GZ$4*$A$2</f>
        <v>-620</v>
      </c>
      <c r="HA25" s="112">
        <v>0.02</v>
      </c>
      <c r="HB25" s="44"/>
      <c r="HC25" s="107" t="s">
        <v>218</v>
      </c>
      <c r="HD25" s="108">
        <f t="shared" ref="HD25" si="1121">-HE$25*HD$4*$A$2</f>
        <v>-620</v>
      </c>
      <c r="HE25" s="112">
        <v>0.02</v>
      </c>
      <c r="HF25" s="44"/>
      <c r="HG25" s="107" t="s">
        <v>218</v>
      </c>
      <c r="HH25" s="108">
        <f t="shared" ref="HH25" si="1122">-HI$25*HH$4*$A$2</f>
        <v>-620</v>
      </c>
      <c r="HI25" s="112">
        <v>0.02</v>
      </c>
      <c r="HJ25" s="44"/>
      <c r="HK25" s="107" t="s">
        <v>218</v>
      </c>
      <c r="HL25" s="108">
        <f t="shared" ref="HL25" si="1123">-HM$25*HL$4*$A$2</f>
        <v>-682</v>
      </c>
      <c r="HM25" s="112">
        <v>0.02</v>
      </c>
      <c r="HN25" s="44"/>
      <c r="HO25" s="107" t="s">
        <v>218</v>
      </c>
      <c r="HP25" s="108">
        <f t="shared" ref="HP25" si="1124">-HQ$25*HP$4*$A$2</f>
        <v>-682</v>
      </c>
      <c r="HQ25" s="112">
        <v>0.02</v>
      </c>
      <c r="HR25" s="44"/>
      <c r="HS25" s="107" t="s">
        <v>218</v>
      </c>
      <c r="HT25" s="108">
        <f t="shared" ref="HT25" si="1125">-HU$25*HT$4*$A$2</f>
        <v>-682</v>
      </c>
      <c r="HU25" s="112">
        <v>0.02</v>
      </c>
      <c r="HV25" s="44"/>
      <c r="HW25" s="107" t="s">
        <v>218</v>
      </c>
      <c r="HX25" s="108">
        <f t="shared" ref="HX25" si="1126">-HY$25*HX$4*$A$2</f>
        <v>-682</v>
      </c>
      <c r="HY25" s="112">
        <v>0.02</v>
      </c>
      <c r="HZ25" s="44"/>
      <c r="IA25" s="107" t="s">
        <v>218</v>
      </c>
      <c r="IB25" s="108">
        <f t="shared" ref="IB25" si="1127">-IC$25*IB$4*$A$2</f>
        <v>-682</v>
      </c>
      <c r="IC25" s="112">
        <v>0.02</v>
      </c>
      <c r="ID25" s="44"/>
      <c r="IE25" s="107" t="s">
        <v>218</v>
      </c>
      <c r="IF25" s="108">
        <f t="shared" ref="IF25" si="1128">-IG$25*IF$4*$A$2</f>
        <v>-682</v>
      </c>
      <c r="IG25" s="112">
        <v>0.02</v>
      </c>
      <c r="IH25" s="44"/>
      <c r="II25" s="107" t="s">
        <v>218</v>
      </c>
      <c r="IJ25" s="108">
        <f t="shared" ref="IJ25" si="1129">-IK$25*IJ$4*$A$2</f>
        <v>-744</v>
      </c>
      <c r="IK25" s="112">
        <v>0.02</v>
      </c>
      <c r="IL25" s="44"/>
      <c r="IM25" s="107" t="s">
        <v>218</v>
      </c>
      <c r="IN25" s="108">
        <f t="shared" ref="IN25" si="1130">-IO$25*IN$4*$A$2</f>
        <v>-744</v>
      </c>
      <c r="IO25" s="112">
        <v>0.02</v>
      </c>
      <c r="IP25" s="44"/>
      <c r="IQ25" s="107" t="s">
        <v>218</v>
      </c>
      <c r="IR25" s="108">
        <f t="shared" ref="IR25" si="1131">-IS$25*IR$4*$A$2</f>
        <v>-744</v>
      </c>
      <c r="IS25" s="112">
        <v>0.02</v>
      </c>
      <c r="IT25" s="44"/>
      <c r="IU25" s="107" t="s">
        <v>218</v>
      </c>
      <c r="IV25" s="108">
        <f t="shared" ref="IV25" si="1132">-IW$25*IV$4*$A$2</f>
        <v>-744</v>
      </c>
      <c r="IW25" s="112">
        <v>0.02</v>
      </c>
      <c r="IX25" s="44"/>
      <c r="IY25" s="107" t="s">
        <v>218</v>
      </c>
      <c r="IZ25" s="108">
        <f t="shared" ref="IZ25" si="1133">-JA$25*IZ$4*$A$2</f>
        <v>-744</v>
      </c>
      <c r="JA25" s="112">
        <v>0.02</v>
      </c>
      <c r="JB25" s="44"/>
      <c r="JC25" s="107" t="s">
        <v>218</v>
      </c>
      <c r="JD25" s="108">
        <f t="shared" ref="JD25" si="1134">-JE$25*JD$4*$A$2</f>
        <v>-744</v>
      </c>
      <c r="JE25" s="112">
        <v>0.02</v>
      </c>
      <c r="JF25" s="44"/>
      <c r="JG25" s="107" t="s">
        <v>218</v>
      </c>
      <c r="JH25" s="108">
        <f t="shared" ref="JH25" si="1135">-JI$25*JH$4*$A$2</f>
        <v>-744</v>
      </c>
      <c r="JI25" s="112">
        <v>0.02</v>
      </c>
      <c r="JJ25" s="44"/>
      <c r="JK25" s="107" t="s">
        <v>218</v>
      </c>
      <c r="JL25" s="108">
        <f t="shared" ref="JL25" si="1136">-JM$25*JL$4*$A$2</f>
        <v>-806</v>
      </c>
      <c r="JM25" s="112">
        <v>0.02</v>
      </c>
      <c r="JN25" s="44"/>
      <c r="JO25" s="107" t="s">
        <v>218</v>
      </c>
      <c r="JP25" s="108">
        <f t="shared" ref="JP25" si="1137">-JQ$25*JP$4*$A$2</f>
        <v>-806</v>
      </c>
      <c r="JQ25" s="112">
        <v>0.02</v>
      </c>
      <c r="JR25" s="44"/>
      <c r="JS25" s="107" t="s">
        <v>218</v>
      </c>
      <c r="JT25" s="108">
        <f t="shared" ref="JT25" si="1138">-JU$25*JT$4*$A$2</f>
        <v>-806</v>
      </c>
      <c r="JU25" s="112">
        <v>0.02</v>
      </c>
      <c r="JV25" s="44"/>
      <c r="JW25" s="107" t="s">
        <v>218</v>
      </c>
      <c r="JX25" s="108">
        <f t="shared" ref="JX25" si="1139">-JY$25*JX$4*$A$2</f>
        <v>-806</v>
      </c>
      <c r="JY25" s="112">
        <v>0.02</v>
      </c>
      <c r="JZ25" s="44"/>
      <c r="KA25" s="107" t="s">
        <v>218</v>
      </c>
      <c r="KB25" s="108">
        <f t="shared" ref="KB25" si="1140">-KC$25*KB$4*$A$2</f>
        <v>-806</v>
      </c>
      <c r="KC25" s="112">
        <v>0.02</v>
      </c>
      <c r="KD25" s="44"/>
      <c r="KE25" s="107" t="s">
        <v>218</v>
      </c>
      <c r="KF25" s="108">
        <f t="shared" ref="KF25" si="1141">-KG$25*KF$4*$A$2</f>
        <v>-806</v>
      </c>
      <c r="KG25" s="112">
        <v>0.02</v>
      </c>
      <c r="KH25" s="44"/>
    </row>
    <row r="26" spans="1:294" x14ac:dyDescent="0.25">
      <c r="C26" s="107" t="s">
        <v>215</v>
      </c>
      <c r="D26" s="108">
        <f>-E$26*D$4*$A$2</f>
        <v>-1674</v>
      </c>
      <c r="E26" s="112">
        <v>0.18</v>
      </c>
      <c r="G26" s="107" t="s">
        <v>215</v>
      </c>
      <c r="H26" s="108">
        <f>-I$26*H$4*$A$2</f>
        <v>-1674</v>
      </c>
      <c r="I26" s="112">
        <v>0.18</v>
      </c>
      <c r="K26" s="107" t="s">
        <v>215</v>
      </c>
      <c r="L26" s="108">
        <f t="shared" ref="L26" si="1142">-M$26*L$4*$A$2</f>
        <v>-1674</v>
      </c>
      <c r="M26" s="112">
        <v>0.18</v>
      </c>
      <c r="N26" s="44"/>
      <c r="O26" s="107" t="s">
        <v>215</v>
      </c>
      <c r="P26" s="108">
        <f t="shared" ref="P26" si="1143">-Q$26*P$4*$A$2</f>
        <v>-1674</v>
      </c>
      <c r="Q26" s="112">
        <v>0.18</v>
      </c>
      <c r="R26" s="44"/>
      <c r="S26" s="107" t="s">
        <v>215</v>
      </c>
      <c r="T26" s="108">
        <f t="shared" ref="T26" si="1144">-U$26*T$4*$A$2</f>
        <v>-1674</v>
      </c>
      <c r="U26" s="112">
        <v>0.18</v>
      </c>
      <c r="V26" s="44"/>
      <c r="W26" s="107" t="s">
        <v>215</v>
      </c>
      <c r="X26" s="108">
        <f t="shared" ref="X26" si="1145">-Y$26*X$4*$A$2</f>
        <v>-1674</v>
      </c>
      <c r="Y26" s="112">
        <v>0.18</v>
      </c>
      <c r="Z26" s="44"/>
      <c r="AA26" s="107" t="s">
        <v>215</v>
      </c>
      <c r="AB26" s="108">
        <f t="shared" ref="AB26" si="1146">-AC$26*AB$4*$A$2</f>
        <v>-1674</v>
      </c>
      <c r="AC26" s="112">
        <v>0.18</v>
      </c>
      <c r="AD26" s="44"/>
      <c r="AE26" s="107" t="s">
        <v>215</v>
      </c>
      <c r="AF26" s="108">
        <f t="shared" ref="AF26" si="1147">-AG$26*AF$4*$A$2</f>
        <v>-2232</v>
      </c>
      <c r="AG26" s="112">
        <v>0.18</v>
      </c>
      <c r="AH26" s="44"/>
      <c r="AI26" s="107" t="s">
        <v>215</v>
      </c>
      <c r="AJ26" s="108">
        <f t="shared" ref="AJ26" si="1148">-AK$26*AJ$4*$A$2</f>
        <v>-2232</v>
      </c>
      <c r="AK26" s="112">
        <v>0.18</v>
      </c>
      <c r="AL26" s="44"/>
      <c r="AM26" s="107" t="s">
        <v>215</v>
      </c>
      <c r="AN26" s="108">
        <f t="shared" ref="AN26" si="1149">-AO$26*AN$4*$A$2</f>
        <v>-2232</v>
      </c>
      <c r="AO26" s="112">
        <v>0.18</v>
      </c>
      <c r="AP26" s="44"/>
      <c r="AQ26" s="107" t="s">
        <v>215</v>
      </c>
      <c r="AR26" s="108">
        <f t="shared" ref="AR26" si="1150">-AS$26*AR$4*$A$2</f>
        <v>-2232</v>
      </c>
      <c r="AS26" s="112">
        <v>0.18</v>
      </c>
      <c r="AT26" s="44"/>
      <c r="AU26" s="107" t="s">
        <v>215</v>
      </c>
      <c r="AV26" s="108">
        <f t="shared" ref="AV26" si="1151">-AW$26*AV$4*$A$2</f>
        <v>-2232</v>
      </c>
      <c r="AW26" s="112">
        <v>0.18</v>
      </c>
      <c r="AX26" s="44"/>
      <c r="AY26" s="107" t="s">
        <v>215</v>
      </c>
      <c r="AZ26" s="108">
        <f t="shared" ref="AZ26" si="1152">-BA$26*AZ$4*$A$2</f>
        <v>-2232</v>
      </c>
      <c r="BA26" s="112">
        <v>0.18</v>
      </c>
      <c r="BB26" s="44"/>
      <c r="BC26" s="107" t="s">
        <v>215</v>
      </c>
      <c r="BD26" s="108">
        <f t="shared" ref="BD26" si="1153">-BE$26*BD$4*$A$2</f>
        <v>-2232</v>
      </c>
      <c r="BE26" s="112">
        <v>0.18</v>
      </c>
      <c r="BF26" s="44"/>
      <c r="BG26" s="107" t="s">
        <v>215</v>
      </c>
      <c r="BH26" s="108">
        <f t="shared" ref="BH26" si="1154">-BI$26*BH$4*$A$2</f>
        <v>-2789.9999999999995</v>
      </c>
      <c r="BI26" s="112">
        <v>0.18</v>
      </c>
      <c r="BJ26" s="44"/>
      <c r="BK26" s="107" t="s">
        <v>215</v>
      </c>
      <c r="BL26" s="108">
        <f t="shared" ref="BL26" si="1155">-BM$26*BL$4*$A$2</f>
        <v>-2789.9999999999995</v>
      </c>
      <c r="BM26" s="112">
        <v>0.18</v>
      </c>
      <c r="BN26" s="44"/>
      <c r="BO26" s="107" t="s">
        <v>215</v>
      </c>
      <c r="BP26" s="108">
        <f t="shared" ref="BP26" si="1156">-BQ$26*BP$4*$A$2</f>
        <v>-2789.9999999999995</v>
      </c>
      <c r="BQ26" s="112">
        <v>0.18</v>
      </c>
      <c r="BR26" s="44"/>
      <c r="BS26" s="107" t="s">
        <v>215</v>
      </c>
      <c r="BT26" s="108">
        <f t="shared" ref="BT26" si="1157">-BU$26*BT$4*$A$2</f>
        <v>-2789.9999999999995</v>
      </c>
      <c r="BU26" s="112">
        <v>0.18</v>
      </c>
      <c r="BV26" s="44"/>
      <c r="BW26" s="107" t="s">
        <v>215</v>
      </c>
      <c r="BX26" s="108">
        <f t="shared" ref="BX26" si="1158">-BY$26*BX$4*$A$2</f>
        <v>-2789.9999999999995</v>
      </c>
      <c r="BY26" s="112">
        <v>0.18</v>
      </c>
      <c r="BZ26" s="44"/>
      <c r="CA26" s="107" t="s">
        <v>215</v>
      </c>
      <c r="CB26" s="108">
        <f t="shared" ref="CB26" si="1159">-CC$26*CB$4*$A$2</f>
        <v>-2789.9999999999995</v>
      </c>
      <c r="CC26" s="112">
        <v>0.18</v>
      </c>
      <c r="CD26" s="44"/>
      <c r="CE26" s="107" t="s">
        <v>215</v>
      </c>
      <c r="CF26" s="108">
        <f t="shared" ref="CF26" si="1160">-CG$26*CF$4*$A$2</f>
        <v>-3348</v>
      </c>
      <c r="CG26" s="112">
        <v>0.18</v>
      </c>
      <c r="CH26" s="44"/>
      <c r="CI26" s="107" t="s">
        <v>215</v>
      </c>
      <c r="CJ26" s="108">
        <f t="shared" ref="CJ26" si="1161">-CK$26*CJ$4*$A$2</f>
        <v>-3348</v>
      </c>
      <c r="CK26" s="112">
        <v>0.18</v>
      </c>
      <c r="CL26" s="44"/>
      <c r="CM26" s="107" t="s">
        <v>215</v>
      </c>
      <c r="CN26" s="108">
        <f t="shared" ref="CN26" si="1162">-CO$26*CN$4*$A$2</f>
        <v>-3348</v>
      </c>
      <c r="CO26" s="112">
        <v>0.18</v>
      </c>
      <c r="CP26" s="44"/>
      <c r="CQ26" s="107" t="s">
        <v>215</v>
      </c>
      <c r="CR26" s="108">
        <f t="shared" ref="CR26" si="1163">-CS$26*CR$4*$A$2</f>
        <v>-3348</v>
      </c>
      <c r="CS26" s="112">
        <v>0.18</v>
      </c>
      <c r="CT26" s="44"/>
      <c r="CU26" s="107" t="s">
        <v>215</v>
      </c>
      <c r="CV26" s="108">
        <f t="shared" ref="CV26" si="1164">-CW$26*CV$4*$A$2</f>
        <v>-3348</v>
      </c>
      <c r="CW26" s="112">
        <v>0.18</v>
      </c>
      <c r="CX26" s="44"/>
      <c r="CY26" s="107" t="s">
        <v>215</v>
      </c>
      <c r="CZ26" s="108">
        <f t="shared" ref="CZ26" si="1165">-DA$26*CZ$4*$A$2</f>
        <v>-3348</v>
      </c>
      <c r="DA26" s="112">
        <v>0.18</v>
      </c>
      <c r="DB26" s="44"/>
      <c r="DC26" s="107" t="s">
        <v>215</v>
      </c>
      <c r="DD26" s="108">
        <f t="shared" ref="DD26" si="1166">-DE$26*DD$4*$A$2</f>
        <v>-3348</v>
      </c>
      <c r="DE26" s="112">
        <v>0.18</v>
      </c>
      <c r="DF26" s="44"/>
      <c r="DG26" s="107" t="s">
        <v>215</v>
      </c>
      <c r="DH26" s="108">
        <f t="shared" ref="DH26" si="1167">-DI$26*DH$4*$A$2</f>
        <v>-3906</v>
      </c>
      <c r="DI26" s="112">
        <v>0.18</v>
      </c>
      <c r="DJ26" s="44"/>
      <c r="DK26" s="107" t="s">
        <v>215</v>
      </c>
      <c r="DL26" s="108">
        <f t="shared" ref="DL26" si="1168">-DM$26*DL$4*$A$2</f>
        <v>-3906</v>
      </c>
      <c r="DM26" s="112">
        <v>0.18</v>
      </c>
      <c r="DN26" s="44"/>
      <c r="DO26" s="107" t="s">
        <v>215</v>
      </c>
      <c r="DP26" s="108">
        <f t="shared" ref="DP26" si="1169">-DQ$26*DP$4*$A$2</f>
        <v>-3906</v>
      </c>
      <c r="DQ26" s="112">
        <v>0.18</v>
      </c>
      <c r="DR26" s="44"/>
      <c r="DS26" s="107" t="s">
        <v>215</v>
      </c>
      <c r="DT26" s="108">
        <f t="shared" ref="DT26" si="1170">-DU$26*DT$4*$A$2</f>
        <v>-3906</v>
      </c>
      <c r="DU26" s="112">
        <v>0.18</v>
      </c>
      <c r="DV26" s="44"/>
      <c r="DW26" s="107" t="s">
        <v>215</v>
      </c>
      <c r="DX26" s="108">
        <f t="shared" ref="DX26" si="1171">-DY$26*DX$4*$A$2</f>
        <v>-3906</v>
      </c>
      <c r="DY26" s="112">
        <v>0.18</v>
      </c>
      <c r="DZ26" s="44"/>
      <c r="EA26" s="107" t="s">
        <v>215</v>
      </c>
      <c r="EB26" s="108">
        <f t="shared" ref="EB26" si="1172">-EC$26*EB$4*$A$2</f>
        <v>-3906</v>
      </c>
      <c r="EC26" s="112">
        <v>0.18</v>
      </c>
      <c r="ED26" s="44"/>
      <c r="EE26" s="107" t="s">
        <v>215</v>
      </c>
      <c r="EF26" s="108">
        <f t="shared" ref="EF26" si="1173">-EG$26*EF$4*$A$2</f>
        <v>-3906</v>
      </c>
      <c r="EG26" s="112">
        <v>0.18</v>
      </c>
      <c r="EH26" s="44"/>
      <c r="EI26" s="107" t="s">
        <v>215</v>
      </c>
      <c r="EJ26" s="108">
        <f t="shared" ref="EJ26" si="1174">-EK$26*EJ$4*$A$2</f>
        <v>-4464</v>
      </c>
      <c r="EK26" s="112">
        <v>0.18</v>
      </c>
      <c r="EL26" s="44"/>
      <c r="EM26" s="107" t="s">
        <v>215</v>
      </c>
      <c r="EN26" s="108">
        <f t="shared" ref="EN26" si="1175">-EO$26*EN$4*$A$2</f>
        <v>-4464</v>
      </c>
      <c r="EO26" s="112">
        <v>0.18</v>
      </c>
      <c r="EP26" s="44"/>
      <c r="EQ26" s="107" t="s">
        <v>215</v>
      </c>
      <c r="ER26" s="108">
        <f t="shared" ref="ER26" si="1176">-ES$26*ER$4*$A$2</f>
        <v>-4464</v>
      </c>
      <c r="ES26" s="112">
        <v>0.18</v>
      </c>
      <c r="ET26" s="44"/>
      <c r="EU26" s="107" t="s">
        <v>215</v>
      </c>
      <c r="EV26" s="108">
        <f t="shared" ref="EV26" si="1177">-EW$26*EV$4*$A$2</f>
        <v>-4464</v>
      </c>
      <c r="EW26" s="112">
        <v>0.18</v>
      </c>
      <c r="EX26" s="44"/>
      <c r="EY26" s="107" t="s">
        <v>215</v>
      </c>
      <c r="EZ26" s="108">
        <f t="shared" ref="EZ26" si="1178">-FA$26*EZ$4*$A$2</f>
        <v>-4464</v>
      </c>
      <c r="FA26" s="112">
        <v>0.18</v>
      </c>
      <c r="FB26" s="44"/>
      <c r="FC26" s="107" t="s">
        <v>215</v>
      </c>
      <c r="FD26" s="108">
        <f t="shared" ref="FD26" si="1179">-FE$26*FD$4*$A$2</f>
        <v>-4464</v>
      </c>
      <c r="FE26" s="112">
        <v>0.18</v>
      </c>
      <c r="FF26" s="44"/>
      <c r="FG26" s="107" t="s">
        <v>215</v>
      </c>
      <c r="FH26" s="108">
        <f t="shared" ref="FH26" si="1180">-FI$26*FH$4*$A$2</f>
        <v>-5022</v>
      </c>
      <c r="FI26" s="112">
        <v>0.18</v>
      </c>
      <c r="FJ26" s="44"/>
      <c r="FK26" s="107" t="s">
        <v>215</v>
      </c>
      <c r="FL26" s="108">
        <f t="shared" ref="FL26" si="1181">-FM$26*FL$4*$A$2</f>
        <v>-5022</v>
      </c>
      <c r="FM26" s="112">
        <v>0.18</v>
      </c>
      <c r="FN26" s="44"/>
      <c r="FO26" s="107" t="s">
        <v>215</v>
      </c>
      <c r="FP26" s="108">
        <f t="shared" ref="FP26" si="1182">-FQ$26*FP$4*$A$2</f>
        <v>-5022</v>
      </c>
      <c r="FQ26" s="112">
        <v>0.18</v>
      </c>
      <c r="FR26" s="44"/>
      <c r="FS26" s="107" t="s">
        <v>215</v>
      </c>
      <c r="FT26" s="108">
        <f t="shared" ref="FT26" si="1183">-FU$26*FT$4*$A$2</f>
        <v>-5022</v>
      </c>
      <c r="FU26" s="112">
        <v>0.18</v>
      </c>
      <c r="FV26" s="44"/>
      <c r="FW26" s="107" t="s">
        <v>215</v>
      </c>
      <c r="FX26" s="108">
        <f t="shared" ref="FX26" si="1184">-FY$26*FX$4*$A$2</f>
        <v>-5022</v>
      </c>
      <c r="FY26" s="112">
        <v>0.18</v>
      </c>
      <c r="FZ26" s="44"/>
      <c r="GA26" s="107" t="s">
        <v>215</v>
      </c>
      <c r="GB26" s="108">
        <f t="shared" ref="GB26" si="1185">-GC$26*GB$4*$A$2</f>
        <v>-5022</v>
      </c>
      <c r="GC26" s="112">
        <v>0.18</v>
      </c>
      <c r="GD26" s="44"/>
      <c r="GE26" s="107" t="s">
        <v>215</v>
      </c>
      <c r="GF26" s="108">
        <f t="shared" ref="GF26" si="1186">-GG$26*GF$4*$A$2</f>
        <v>-5022</v>
      </c>
      <c r="GG26" s="112">
        <v>0.18</v>
      </c>
      <c r="GH26" s="44"/>
      <c r="GI26" s="107" t="s">
        <v>215</v>
      </c>
      <c r="GJ26" s="108">
        <f t="shared" ref="GJ26" si="1187">-GK$26*GJ$4*$A$2</f>
        <v>-5579.9999999999991</v>
      </c>
      <c r="GK26" s="112">
        <v>0.18</v>
      </c>
      <c r="GL26" s="44"/>
      <c r="GM26" s="107" t="s">
        <v>215</v>
      </c>
      <c r="GN26" s="108">
        <f t="shared" ref="GN26" si="1188">-GO$26*GN$4*$A$2</f>
        <v>-5579.9999999999991</v>
      </c>
      <c r="GO26" s="112">
        <v>0.18</v>
      </c>
      <c r="GP26" s="44"/>
      <c r="GQ26" s="107" t="s">
        <v>215</v>
      </c>
      <c r="GR26" s="108">
        <f t="shared" ref="GR26" si="1189">-GS$26*GR$4*$A$2</f>
        <v>-5579.9999999999991</v>
      </c>
      <c r="GS26" s="112">
        <v>0.18</v>
      </c>
      <c r="GT26" s="44"/>
      <c r="GU26" s="107" t="s">
        <v>215</v>
      </c>
      <c r="GV26" s="108">
        <f t="shared" ref="GV26" si="1190">-GW$26*GV$4*$A$2</f>
        <v>-5579.9999999999991</v>
      </c>
      <c r="GW26" s="112">
        <v>0.18</v>
      </c>
      <c r="GX26" s="44"/>
      <c r="GY26" s="107" t="s">
        <v>215</v>
      </c>
      <c r="GZ26" s="108">
        <f t="shared" ref="GZ26" si="1191">-HA$26*GZ$4*$A$2</f>
        <v>-5579.9999999999991</v>
      </c>
      <c r="HA26" s="112">
        <v>0.18</v>
      </c>
      <c r="HB26" s="44"/>
      <c r="HC26" s="107" t="s">
        <v>215</v>
      </c>
      <c r="HD26" s="108">
        <f t="shared" ref="HD26" si="1192">-HE$26*HD$4*$A$2</f>
        <v>-5579.9999999999991</v>
      </c>
      <c r="HE26" s="112">
        <v>0.18</v>
      </c>
      <c r="HF26" s="44"/>
      <c r="HG26" s="107" t="s">
        <v>215</v>
      </c>
      <c r="HH26" s="108">
        <f t="shared" ref="HH26" si="1193">-HI$26*HH$4*$A$2</f>
        <v>-5579.9999999999991</v>
      </c>
      <c r="HI26" s="112">
        <v>0.18</v>
      </c>
      <c r="HJ26" s="44"/>
      <c r="HK26" s="107" t="s">
        <v>215</v>
      </c>
      <c r="HL26" s="108">
        <f t="shared" ref="HL26" si="1194">-HM$26*HL$4*$A$2</f>
        <v>-6138</v>
      </c>
      <c r="HM26" s="112">
        <v>0.18</v>
      </c>
      <c r="HN26" s="44"/>
      <c r="HO26" s="107" t="s">
        <v>215</v>
      </c>
      <c r="HP26" s="108">
        <f t="shared" ref="HP26" si="1195">-HQ$26*HP$4*$A$2</f>
        <v>-6138</v>
      </c>
      <c r="HQ26" s="112">
        <v>0.18</v>
      </c>
      <c r="HR26" s="44"/>
      <c r="HS26" s="107" t="s">
        <v>215</v>
      </c>
      <c r="HT26" s="108">
        <f t="shared" ref="HT26" si="1196">-HU$26*HT$4*$A$2</f>
        <v>-6138</v>
      </c>
      <c r="HU26" s="112">
        <v>0.18</v>
      </c>
      <c r="HV26" s="44"/>
      <c r="HW26" s="107" t="s">
        <v>215</v>
      </c>
      <c r="HX26" s="108">
        <f t="shared" ref="HX26" si="1197">-HY$26*HX$4*$A$2</f>
        <v>-6138</v>
      </c>
      <c r="HY26" s="112">
        <v>0.18</v>
      </c>
      <c r="HZ26" s="44"/>
      <c r="IA26" s="107" t="s">
        <v>215</v>
      </c>
      <c r="IB26" s="108">
        <f t="shared" ref="IB26" si="1198">-IC$26*IB$4*$A$2</f>
        <v>-6138</v>
      </c>
      <c r="IC26" s="112">
        <v>0.18</v>
      </c>
      <c r="ID26" s="44"/>
      <c r="IE26" s="107" t="s">
        <v>215</v>
      </c>
      <c r="IF26" s="108">
        <f t="shared" ref="IF26" si="1199">-IG$26*IF$4*$A$2</f>
        <v>-6138</v>
      </c>
      <c r="IG26" s="112">
        <v>0.18</v>
      </c>
      <c r="IH26" s="44"/>
      <c r="II26" s="107" t="s">
        <v>215</v>
      </c>
      <c r="IJ26" s="108">
        <f t="shared" ref="IJ26" si="1200">-IK$26*IJ$4*$A$2</f>
        <v>-6696</v>
      </c>
      <c r="IK26" s="112">
        <v>0.18</v>
      </c>
      <c r="IL26" s="44"/>
      <c r="IM26" s="107" t="s">
        <v>215</v>
      </c>
      <c r="IN26" s="108">
        <f t="shared" ref="IN26" si="1201">-IO$26*IN$4*$A$2</f>
        <v>-6696</v>
      </c>
      <c r="IO26" s="112">
        <v>0.18</v>
      </c>
      <c r="IP26" s="44"/>
      <c r="IQ26" s="107" t="s">
        <v>215</v>
      </c>
      <c r="IR26" s="108">
        <f t="shared" ref="IR26" si="1202">-IS$26*IR$4*$A$2</f>
        <v>-6696</v>
      </c>
      <c r="IS26" s="112">
        <v>0.18</v>
      </c>
      <c r="IT26" s="44"/>
      <c r="IU26" s="107" t="s">
        <v>215</v>
      </c>
      <c r="IV26" s="108">
        <f t="shared" ref="IV26" si="1203">-IW$26*IV$4*$A$2</f>
        <v>-6696</v>
      </c>
      <c r="IW26" s="112">
        <v>0.18</v>
      </c>
      <c r="IX26" s="44"/>
      <c r="IY26" s="107" t="s">
        <v>215</v>
      </c>
      <c r="IZ26" s="108">
        <f t="shared" ref="IZ26" si="1204">-JA$26*IZ$4*$A$2</f>
        <v>-6696</v>
      </c>
      <c r="JA26" s="112">
        <v>0.18</v>
      </c>
      <c r="JB26" s="44"/>
      <c r="JC26" s="107" t="s">
        <v>215</v>
      </c>
      <c r="JD26" s="108">
        <f t="shared" ref="JD26" si="1205">-JE$26*JD$4*$A$2</f>
        <v>-6696</v>
      </c>
      <c r="JE26" s="112">
        <v>0.18</v>
      </c>
      <c r="JF26" s="44"/>
      <c r="JG26" s="107" t="s">
        <v>215</v>
      </c>
      <c r="JH26" s="108">
        <f t="shared" ref="JH26" si="1206">-JI$26*JH$4*$A$2</f>
        <v>-6696</v>
      </c>
      <c r="JI26" s="112">
        <v>0.18</v>
      </c>
      <c r="JJ26" s="44"/>
      <c r="JK26" s="107" t="s">
        <v>215</v>
      </c>
      <c r="JL26" s="108">
        <f t="shared" ref="JL26" si="1207">-JM$26*JL$4*$A$2</f>
        <v>-7254</v>
      </c>
      <c r="JM26" s="112">
        <v>0.18</v>
      </c>
      <c r="JN26" s="44"/>
      <c r="JO26" s="107" t="s">
        <v>215</v>
      </c>
      <c r="JP26" s="108">
        <f t="shared" ref="JP26" si="1208">-JQ$26*JP$4*$A$2</f>
        <v>-7254</v>
      </c>
      <c r="JQ26" s="112">
        <v>0.18</v>
      </c>
      <c r="JR26" s="44"/>
      <c r="JS26" s="107" t="s">
        <v>215</v>
      </c>
      <c r="JT26" s="108">
        <f t="shared" ref="JT26" si="1209">-JU$26*JT$4*$A$2</f>
        <v>-7254</v>
      </c>
      <c r="JU26" s="112">
        <v>0.18</v>
      </c>
      <c r="JV26" s="44"/>
      <c r="JW26" s="107" t="s">
        <v>215</v>
      </c>
      <c r="JX26" s="108">
        <f t="shared" ref="JX26" si="1210">-JY$26*JX$4*$A$2</f>
        <v>-7254</v>
      </c>
      <c r="JY26" s="112">
        <v>0.18</v>
      </c>
      <c r="JZ26" s="44"/>
      <c r="KA26" s="107" t="s">
        <v>215</v>
      </c>
      <c r="KB26" s="108">
        <f t="shared" ref="KB26" si="1211">-KC$26*KB$4*$A$2</f>
        <v>-7254</v>
      </c>
      <c r="KC26" s="112">
        <v>0.18</v>
      </c>
      <c r="KD26" s="44"/>
      <c r="KE26" s="107" t="s">
        <v>215</v>
      </c>
      <c r="KF26" s="108">
        <f t="shared" ref="KF26" si="1212">-KG$26*KF$4*$A$2</f>
        <v>-7254</v>
      </c>
      <c r="KG26" s="112">
        <v>0.18</v>
      </c>
      <c r="KH26" s="44"/>
    </row>
    <row r="27" spans="1:294" x14ac:dyDescent="0.25">
      <c r="C27" s="107" t="s">
        <v>217</v>
      </c>
      <c r="D27" s="108">
        <f>-E$27*60*D$4</f>
        <v>-154.80000000000001</v>
      </c>
      <c r="E27" s="113">
        <v>0.86</v>
      </c>
      <c r="G27" s="107" t="s">
        <v>217</v>
      </c>
      <c r="H27" s="108">
        <f>-I$27*60*H$4</f>
        <v>-154.80000000000001</v>
      </c>
      <c r="I27" s="113">
        <v>0.86</v>
      </c>
      <c r="K27" s="107" t="s">
        <v>217</v>
      </c>
      <c r="L27" s="108">
        <f t="shared" ref="L27" si="1213">-M$27*60*L$4</f>
        <v>-154.80000000000001</v>
      </c>
      <c r="M27" s="113">
        <v>0.86</v>
      </c>
      <c r="N27" s="44"/>
      <c r="O27" s="107" t="s">
        <v>217</v>
      </c>
      <c r="P27" s="108">
        <f t="shared" ref="P27" si="1214">-Q$27*60*P$4</f>
        <v>-154.80000000000001</v>
      </c>
      <c r="Q27" s="113">
        <v>0.86</v>
      </c>
      <c r="R27" s="44"/>
      <c r="S27" s="107" t="s">
        <v>217</v>
      </c>
      <c r="T27" s="108">
        <f t="shared" ref="T27" si="1215">-U$27*60*T$4</f>
        <v>-154.80000000000001</v>
      </c>
      <c r="U27" s="113">
        <v>0.86</v>
      </c>
      <c r="V27" s="44"/>
      <c r="W27" s="107" t="s">
        <v>217</v>
      </c>
      <c r="X27" s="108">
        <f t="shared" ref="X27" si="1216">-Y$27*60*X$4</f>
        <v>-154.80000000000001</v>
      </c>
      <c r="Y27" s="113">
        <v>0.86</v>
      </c>
      <c r="Z27" s="44"/>
      <c r="AA27" s="107" t="s">
        <v>217</v>
      </c>
      <c r="AB27" s="108">
        <f t="shared" ref="AB27" si="1217">-AC$27*60*AB$4</f>
        <v>-154.80000000000001</v>
      </c>
      <c r="AC27" s="113">
        <v>0.86</v>
      </c>
      <c r="AD27" s="44"/>
      <c r="AE27" s="107" t="s">
        <v>217</v>
      </c>
      <c r="AF27" s="108">
        <f t="shared" ref="AF27" si="1218">-AG$27*60*AF$4</f>
        <v>-206.4</v>
      </c>
      <c r="AG27" s="113">
        <v>0.86</v>
      </c>
      <c r="AH27" s="44"/>
      <c r="AI27" s="107" t="s">
        <v>217</v>
      </c>
      <c r="AJ27" s="108">
        <f t="shared" ref="AJ27" si="1219">-AK$27*60*AJ$4</f>
        <v>-206.4</v>
      </c>
      <c r="AK27" s="113">
        <v>0.86</v>
      </c>
      <c r="AL27" s="44"/>
      <c r="AM27" s="107" t="s">
        <v>217</v>
      </c>
      <c r="AN27" s="108">
        <f t="shared" ref="AN27" si="1220">-AO$27*60*AN$4</f>
        <v>-206.4</v>
      </c>
      <c r="AO27" s="113">
        <v>0.86</v>
      </c>
      <c r="AP27" s="44"/>
      <c r="AQ27" s="107" t="s">
        <v>217</v>
      </c>
      <c r="AR27" s="108">
        <f t="shared" ref="AR27" si="1221">-AS$27*60*AR$4</f>
        <v>-206.4</v>
      </c>
      <c r="AS27" s="113">
        <v>0.86</v>
      </c>
      <c r="AT27" s="44"/>
      <c r="AU27" s="107" t="s">
        <v>217</v>
      </c>
      <c r="AV27" s="108">
        <f t="shared" ref="AV27" si="1222">-AW$27*60*AV$4</f>
        <v>-206.4</v>
      </c>
      <c r="AW27" s="113">
        <v>0.86</v>
      </c>
      <c r="AX27" s="44"/>
      <c r="AY27" s="107" t="s">
        <v>217</v>
      </c>
      <c r="AZ27" s="108">
        <f t="shared" ref="AZ27" si="1223">-BA$27*60*AZ$4</f>
        <v>-206.4</v>
      </c>
      <c r="BA27" s="113">
        <v>0.86</v>
      </c>
      <c r="BB27" s="44"/>
      <c r="BC27" s="107" t="s">
        <v>217</v>
      </c>
      <c r="BD27" s="108">
        <f t="shared" ref="BD27" si="1224">-BE$27*60*BD$4</f>
        <v>-206.4</v>
      </c>
      <c r="BE27" s="113">
        <v>0.86</v>
      </c>
      <c r="BF27" s="44"/>
      <c r="BG27" s="107" t="s">
        <v>217</v>
      </c>
      <c r="BH27" s="108">
        <f t="shared" ref="BH27" si="1225">-BI$27*60*BH$4</f>
        <v>-258</v>
      </c>
      <c r="BI27" s="113">
        <v>0.86</v>
      </c>
      <c r="BJ27" s="44"/>
      <c r="BK27" s="107" t="s">
        <v>217</v>
      </c>
      <c r="BL27" s="108">
        <f t="shared" ref="BL27" si="1226">-BM$27*60*BL$4</f>
        <v>-258</v>
      </c>
      <c r="BM27" s="113">
        <v>0.86</v>
      </c>
      <c r="BN27" s="44"/>
      <c r="BO27" s="107" t="s">
        <v>217</v>
      </c>
      <c r="BP27" s="108">
        <f t="shared" ref="BP27" si="1227">-BQ$27*60*BP$4</f>
        <v>-258</v>
      </c>
      <c r="BQ27" s="113">
        <v>0.86</v>
      </c>
      <c r="BR27" s="44"/>
      <c r="BS27" s="107" t="s">
        <v>217</v>
      </c>
      <c r="BT27" s="108">
        <f t="shared" ref="BT27" si="1228">-BU$27*60*BT$4</f>
        <v>-258</v>
      </c>
      <c r="BU27" s="113">
        <v>0.86</v>
      </c>
      <c r="BV27" s="44"/>
      <c r="BW27" s="107" t="s">
        <v>217</v>
      </c>
      <c r="BX27" s="108">
        <f t="shared" ref="BX27" si="1229">-BY$27*60*BX$4</f>
        <v>-258</v>
      </c>
      <c r="BY27" s="113">
        <v>0.86</v>
      </c>
      <c r="BZ27" s="44"/>
      <c r="CA27" s="107" t="s">
        <v>217</v>
      </c>
      <c r="CB27" s="108">
        <f t="shared" ref="CB27" si="1230">-CC$27*60*CB$4</f>
        <v>-258</v>
      </c>
      <c r="CC27" s="113">
        <v>0.86</v>
      </c>
      <c r="CD27" s="44"/>
      <c r="CE27" s="107" t="s">
        <v>217</v>
      </c>
      <c r="CF27" s="108">
        <f t="shared" ref="CF27" si="1231">-CG$27*60*CF$4</f>
        <v>-309.60000000000002</v>
      </c>
      <c r="CG27" s="113">
        <v>0.86</v>
      </c>
      <c r="CH27" s="44"/>
      <c r="CI27" s="107" t="s">
        <v>217</v>
      </c>
      <c r="CJ27" s="108">
        <f t="shared" ref="CJ27" si="1232">-CK$27*60*CJ$4</f>
        <v>-309.60000000000002</v>
      </c>
      <c r="CK27" s="113">
        <v>0.86</v>
      </c>
      <c r="CL27" s="44"/>
      <c r="CM27" s="107" t="s">
        <v>217</v>
      </c>
      <c r="CN27" s="108">
        <f t="shared" ref="CN27" si="1233">-CO$27*60*CN$4</f>
        <v>-309.60000000000002</v>
      </c>
      <c r="CO27" s="113">
        <v>0.86</v>
      </c>
      <c r="CP27" s="44"/>
      <c r="CQ27" s="107" t="s">
        <v>217</v>
      </c>
      <c r="CR27" s="108">
        <f t="shared" ref="CR27" si="1234">-CS$27*60*CR$4</f>
        <v>-309.60000000000002</v>
      </c>
      <c r="CS27" s="113">
        <v>0.86</v>
      </c>
      <c r="CT27" s="44"/>
      <c r="CU27" s="107" t="s">
        <v>217</v>
      </c>
      <c r="CV27" s="108">
        <f t="shared" ref="CV27" si="1235">-CW$27*60*CV$4</f>
        <v>-309.60000000000002</v>
      </c>
      <c r="CW27" s="113">
        <v>0.86</v>
      </c>
      <c r="CX27" s="44"/>
      <c r="CY27" s="107" t="s">
        <v>217</v>
      </c>
      <c r="CZ27" s="108">
        <f t="shared" ref="CZ27" si="1236">-DA$27*60*CZ$4</f>
        <v>-309.60000000000002</v>
      </c>
      <c r="DA27" s="113">
        <v>0.86</v>
      </c>
      <c r="DB27" s="44"/>
      <c r="DC27" s="107" t="s">
        <v>217</v>
      </c>
      <c r="DD27" s="108">
        <f t="shared" ref="DD27" si="1237">-DE$27*60*DD$4</f>
        <v>-309.60000000000002</v>
      </c>
      <c r="DE27" s="113">
        <v>0.86</v>
      </c>
      <c r="DF27" s="44"/>
      <c r="DG27" s="107" t="s">
        <v>217</v>
      </c>
      <c r="DH27" s="108">
        <f t="shared" ref="DH27" si="1238">-DI$27*60*DH$4</f>
        <v>-361.2</v>
      </c>
      <c r="DI27" s="113">
        <v>0.86</v>
      </c>
      <c r="DJ27" s="44"/>
      <c r="DK27" s="107" t="s">
        <v>217</v>
      </c>
      <c r="DL27" s="108">
        <f t="shared" ref="DL27" si="1239">-DM$27*60*DL$4</f>
        <v>-361.2</v>
      </c>
      <c r="DM27" s="113">
        <v>0.86</v>
      </c>
      <c r="DN27" s="44"/>
      <c r="DO27" s="107" t="s">
        <v>217</v>
      </c>
      <c r="DP27" s="108">
        <f t="shared" ref="DP27" si="1240">-DQ$27*60*DP$4</f>
        <v>-361.2</v>
      </c>
      <c r="DQ27" s="113">
        <v>0.86</v>
      </c>
      <c r="DR27" s="44"/>
      <c r="DS27" s="107" t="s">
        <v>217</v>
      </c>
      <c r="DT27" s="108">
        <f t="shared" ref="DT27" si="1241">-DU$27*60*DT$4</f>
        <v>-361.2</v>
      </c>
      <c r="DU27" s="113">
        <v>0.86</v>
      </c>
      <c r="DV27" s="44"/>
      <c r="DW27" s="107" t="s">
        <v>217</v>
      </c>
      <c r="DX27" s="108">
        <f t="shared" ref="DX27" si="1242">-DY$27*60*DX$4</f>
        <v>-361.2</v>
      </c>
      <c r="DY27" s="113">
        <v>0.86</v>
      </c>
      <c r="DZ27" s="44"/>
      <c r="EA27" s="107" t="s">
        <v>217</v>
      </c>
      <c r="EB27" s="108">
        <f t="shared" ref="EB27" si="1243">-EC$27*60*EB$4</f>
        <v>-361.2</v>
      </c>
      <c r="EC27" s="113">
        <v>0.86</v>
      </c>
      <c r="ED27" s="44"/>
      <c r="EE27" s="107" t="s">
        <v>217</v>
      </c>
      <c r="EF27" s="108">
        <f t="shared" ref="EF27" si="1244">-EG$27*60*EF$4</f>
        <v>-361.2</v>
      </c>
      <c r="EG27" s="113">
        <v>0.86</v>
      </c>
      <c r="EH27" s="44"/>
      <c r="EI27" s="107" t="s">
        <v>217</v>
      </c>
      <c r="EJ27" s="108">
        <f t="shared" ref="EJ27" si="1245">-EK$27*60*EJ$4</f>
        <v>-412.8</v>
      </c>
      <c r="EK27" s="113">
        <v>0.86</v>
      </c>
      <c r="EL27" s="44"/>
      <c r="EM27" s="107" t="s">
        <v>217</v>
      </c>
      <c r="EN27" s="108">
        <f t="shared" ref="EN27" si="1246">-EO$27*60*EN$4</f>
        <v>-412.8</v>
      </c>
      <c r="EO27" s="113">
        <v>0.86</v>
      </c>
      <c r="EP27" s="44"/>
      <c r="EQ27" s="107" t="s">
        <v>217</v>
      </c>
      <c r="ER27" s="108">
        <f t="shared" ref="ER27" si="1247">-ES$27*60*ER$4</f>
        <v>-412.8</v>
      </c>
      <c r="ES27" s="113">
        <v>0.86</v>
      </c>
      <c r="ET27" s="44"/>
      <c r="EU27" s="107" t="s">
        <v>217</v>
      </c>
      <c r="EV27" s="108">
        <f t="shared" ref="EV27" si="1248">-EW$27*60*EV$4</f>
        <v>-412.8</v>
      </c>
      <c r="EW27" s="113">
        <v>0.86</v>
      </c>
      <c r="EX27" s="44"/>
      <c r="EY27" s="107" t="s">
        <v>217</v>
      </c>
      <c r="EZ27" s="108">
        <f t="shared" ref="EZ27" si="1249">-FA$27*60*EZ$4</f>
        <v>-412.8</v>
      </c>
      <c r="FA27" s="113">
        <v>0.86</v>
      </c>
      <c r="FB27" s="44"/>
      <c r="FC27" s="107" t="s">
        <v>217</v>
      </c>
      <c r="FD27" s="108">
        <f t="shared" ref="FD27" si="1250">-FE$27*60*FD$4</f>
        <v>-412.8</v>
      </c>
      <c r="FE27" s="113">
        <v>0.86</v>
      </c>
      <c r="FF27" s="44"/>
      <c r="FG27" s="107" t="s">
        <v>217</v>
      </c>
      <c r="FH27" s="108">
        <f t="shared" ref="FH27" si="1251">-FI$27*60*FH$4</f>
        <v>-464.40000000000003</v>
      </c>
      <c r="FI27" s="113">
        <v>0.86</v>
      </c>
      <c r="FJ27" s="44"/>
      <c r="FK27" s="107" t="s">
        <v>217</v>
      </c>
      <c r="FL27" s="108">
        <f t="shared" ref="FL27" si="1252">-FM$27*60*FL$4</f>
        <v>-464.40000000000003</v>
      </c>
      <c r="FM27" s="113">
        <v>0.86</v>
      </c>
      <c r="FN27" s="44"/>
      <c r="FO27" s="107" t="s">
        <v>217</v>
      </c>
      <c r="FP27" s="108">
        <f t="shared" ref="FP27" si="1253">-FQ$27*60*FP$4</f>
        <v>-464.40000000000003</v>
      </c>
      <c r="FQ27" s="113">
        <v>0.86</v>
      </c>
      <c r="FR27" s="44"/>
      <c r="FS27" s="107" t="s">
        <v>217</v>
      </c>
      <c r="FT27" s="108">
        <f t="shared" ref="FT27" si="1254">-FU$27*60*FT$4</f>
        <v>-464.40000000000003</v>
      </c>
      <c r="FU27" s="113">
        <v>0.86</v>
      </c>
      <c r="FV27" s="44"/>
      <c r="FW27" s="107" t="s">
        <v>217</v>
      </c>
      <c r="FX27" s="108">
        <f t="shared" ref="FX27" si="1255">-FY$27*60*FX$4</f>
        <v>-464.40000000000003</v>
      </c>
      <c r="FY27" s="113">
        <v>0.86</v>
      </c>
      <c r="FZ27" s="44"/>
      <c r="GA27" s="107" t="s">
        <v>217</v>
      </c>
      <c r="GB27" s="108">
        <f t="shared" ref="GB27" si="1256">-GC$27*60*GB$4</f>
        <v>-464.40000000000003</v>
      </c>
      <c r="GC27" s="113">
        <v>0.86</v>
      </c>
      <c r="GD27" s="44"/>
      <c r="GE27" s="107" t="s">
        <v>217</v>
      </c>
      <c r="GF27" s="108">
        <f t="shared" ref="GF27" si="1257">-GG$27*60*GF$4</f>
        <v>-464.40000000000003</v>
      </c>
      <c r="GG27" s="113">
        <v>0.86</v>
      </c>
      <c r="GH27" s="44"/>
      <c r="GI27" s="107" t="s">
        <v>217</v>
      </c>
      <c r="GJ27" s="108">
        <f t="shared" ref="GJ27" si="1258">-GK$27*60*GJ$4</f>
        <v>-516</v>
      </c>
      <c r="GK27" s="113">
        <v>0.86</v>
      </c>
      <c r="GL27" s="44"/>
      <c r="GM27" s="107" t="s">
        <v>217</v>
      </c>
      <c r="GN27" s="108">
        <f t="shared" ref="GN27" si="1259">-GO$27*60*GN$4</f>
        <v>-516</v>
      </c>
      <c r="GO27" s="113">
        <v>0.86</v>
      </c>
      <c r="GP27" s="44"/>
      <c r="GQ27" s="107" t="s">
        <v>217</v>
      </c>
      <c r="GR27" s="108">
        <f t="shared" ref="GR27" si="1260">-GS$27*60*GR$4</f>
        <v>-516</v>
      </c>
      <c r="GS27" s="113">
        <v>0.86</v>
      </c>
      <c r="GT27" s="44"/>
      <c r="GU27" s="107" t="s">
        <v>217</v>
      </c>
      <c r="GV27" s="108">
        <f t="shared" ref="GV27" si="1261">-GW$27*60*GV$4</f>
        <v>-516</v>
      </c>
      <c r="GW27" s="113">
        <v>0.86</v>
      </c>
      <c r="GX27" s="44"/>
      <c r="GY27" s="107" t="s">
        <v>217</v>
      </c>
      <c r="GZ27" s="108">
        <f t="shared" ref="GZ27" si="1262">-HA$27*60*GZ$4</f>
        <v>-516</v>
      </c>
      <c r="HA27" s="113">
        <v>0.86</v>
      </c>
      <c r="HB27" s="44"/>
      <c r="HC27" s="107" t="s">
        <v>217</v>
      </c>
      <c r="HD27" s="108">
        <f t="shared" ref="HD27" si="1263">-HE$27*60*HD$4</f>
        <v>-516</v>
      </c>
      <c r="HE27" s="113">
        <v>0.86</v>
      </c>
      <c r="HF27" s="44"/>
      <c r="HG27" s="107" t="s">
        <v>217</v>
      </c>
      <c r="HH27" s="108">
        <f t="shared" ref="HH27" si="1264">-HI$27*60*HH$4</f>
        <v>-516</v>
      </c>
      <c r="HI27" s="113">
        <v>0.86</v>
      </c>
      <c r="HJ27" s="44"/>
      <c r="HK27" s="107" t="s">
        <v>217</v>
      </c>
      <c r="HL27" s="108">
        <f t="shared" ref="HL27" si="1265">-HM$27*60*HL$4</f>
        <v>-567.6</v>
      </c>
      <c r="HM27" s="113">
        <v>0.86</v>
      </c>
      <c r="HN27" s="44"/>
      <c r="HO27" s="107" t="s">
        <v>217</v>
      </c>
      <c r="HP27" s="108">
        <f t="shared" ref="HP27" si="1266">-HQ$27*60*HP$4</f>
        <v>-567.6</v>
      </c>
      <c r="HQ27" s="113">
        <v>0.86</v>
      </c>
      <c r="HR27" s="44"/>
      <c r="HS27" s="107" t="s">
        <v>217</v>
      </c>
      <c r="HT27" s="108">
        <f t="shared" ref="HT27" si="1267">-HU$27*60*HT$4</f>
        <v>-567.6</v>
      </c>
      <c r="HU27" s="113">
        <v>0.86</v>
      </c>
      <c r="HV27" s="44"/>
      <c r="HW27" s="107" t="s">
        <v>217</v>
      </c>
      <c r="HX27" s="108">
        <f t="shared" ref="HX27" si="1268">-HY$27*60*HX$4</f>
        <v>-567.6</v>
      </c>
      <c r="HY27" s="113">
        <v>0.86</v>
      </c>
      <c r="HZ27" s="44"/>
      <c r="IA27" s="107" t="s">
        <v>217</v>
      </c>
      <c r="IB27" s="108">
        <f t="shared" ref="IB27" si="1269">-IC$27*60*IB$4</f>
        <v>-567.6</v>
      </c>
      <c r="IC27" s="113">
        <v>0.86</v>
      </c>
      <c r="ID27" s="44"/>
      <c r="IE27" s="107" t="s">
        <v>217</v>
      </c>
      <c r="IF27" s="108">
        <f t="shared" ref="IF27" si="1270">-IG$27*60*IF$4</f>
        <v>-567.6</v>
      </c>
      <c r="IG27" s="113">
        <v>0.86</v>
      </c>
      <c r="IH27" s="44"/>
      <c r="II27" s="107" t="s">
        <v>217</v>
      </c>
      <c r="IJ27" s="108">
        <f t="shared" ref="IJ27" si="1271">-IK$27*60*IJ$4</f>
        <v>-619.20000000000005</v>
      </c>
      <c r="IK27" s="113">
        <v>0.86</v>
      </c>
      <c r="IL27" s="44"/>
      <c r="IM27" s="107" t="s">
        <v>217</v>
      </c>
      <c r="IN27" s="108">
        <f t="shared" ref="IN27" si="1272">-IO$27*60*IN$4</f>
        <v>-619.20000000000005</v>
      </c>
      <c r="IO27" s="113">
        <v>0.86</v>
      </c>
      <c r="IP27" s="44"/>
      <c r="IQ27" s="107" t="s">
        <v>217</v>
      </c>
      <c r="IR27" s="108">
        <f t="shared" ref="IR27" si="1273">-IS$27*60*IR$4</f>
        <v>-619.20000000000005</v>
      </c>
      <c r="IS27" s="113">
        <v>0.86</v>
      </c>
      <c r="IT27" s="44"/>
      <c r="IU27" s="107" t="s">
        <v>217</v>
      </c>
      <c r="IV27" s="108">
        <f t="shared" ref="IV27" si="1274">-IW$27*60*IV$4</f>
        <v>-619.20000000000005</v>
      </c>
      <c r="IW27" s="113">
        <v>0.86</v>
      </c>
      <c r="IX27" s="44"/>
      <c r="IY27" s="107" t="s">
        <v>217</v>
      </c>
      <c r="IZ27" s="108">
        <f t="shared" ref="IZ27" si="1275">-JA$27*60*IZ$4</f>
        <v>-619.20000000000005</v>
      </c>
      <c r="JA27" s="113">
        <v>0.86</v>
      </c>
      <c r="JB27" s="44"/>
      <c r="JC27" s="107" t="s">
        <v>217</v>
      </c>
      <c r="JD27" s="108">
        <f t="shared" ref="JD27" si="1276">-JE$27*60*JD$4</f>
        <v>-619.20000000000005</v>
      </c>
      <c r="JE27" s="113">
        <v>0.86</v>
      </c>
      <c r="JF27" s="44"/>
      <c r="JG27" s="107" t="s">
        <v>217</v>
      </c>
      <c r="JH27" s="108">
        <f t="shared" ref="JH27" si="1277">-JI$27*60*JH$4</f>
        <v>-619.20000000000005</v>
      </c>
      <c r="JI27" s="113">
        <v>0.86</v>
      </c>
      <c r="JJ27" s="44"/>
      <c r="JK27" s="107" t="s">
        <v>217</v>
      </c>
      <c r="JL27" s="108">
        <f t="shared" ref="JL27" si="1278">-JM$27*60*JL$4</f>
        <v>-670.80000000000007</v>
      </c>
      <c r="JM27" s="113">
        <v>0.86</v>
      </c>
      <c r="JN27" s="44"/>
      <c r="JO27" s="107" t="s">
        <v>217</v>
      </c>
      <c r="JP27" s="108">
        <f t="shared" ref="JP27" si="1279">-JQ$27*60*JP$4</f>
        <v>-670.80000000000007</v>
      </c>
      <c r="JQ27" s="113">
        <v>0.86</v>
      </c>
      <c r="JR27" s="44"/>
      <c r="JS27" s="107" t="s">
        <v>217</v>
      </c>
      <c r="JT27" s="108">
        <f t="shared" ref="JT27" si="1280">-JU$27*60*JT$4</f>
        <v>-670.80000000000007</v>
      </c>
      <c r="JU27" s="113">
        <v>0.86</v>
      </c>
      <c r="JV27" s="44"/>
      <c r="JW27" s="107" t="s">
        <v>217</v>
      </c>
      <c r="JX27" s="108">
        <f t="shared" ref="JX27" si="1281">-JY$27*60*JX$4</f>
        <v>-670.80000000000007</v>
      </c>
      <c r="JY27" s="113">
        <v>0.86</v>
      </c>
      <c r="JZ27" s="44"/>
      <c r="KA27" s="107" t="s">
        <v>217</v>
      </c>
      <c r="KB27" s="108">
        <f t="shared" ref="KB27" si="1282">-KC$27*60*KB$4</f>
        <v>-670.80000000000007</v>
      </c>
      <c r="KC27" s="113">
        <v>0.86</v>
      </c>
      <c r="KD27" s="44"/>
      <c r="KE27" s="107" t="s">
        <v>217</v>
      </c>
      <c r="KF27" s="108">
        <f t="shared" ref="KF27" si="1283">-KG$27*60*KF$4</f>
        <v>-670.80000000000007</v>
      </c>
      <c r="KG27" s="113">
        <v>0.86</v>
      </c>
      <c r="KH27" s="44"/>
    </row>
    <row r="28" spans="1:294" x14ac:dyDescent="0.25">
      <c r="C28" s="107" t="s">
        <v>219</v>
      </c>
      <c r="D28" s="108">
        <f>-E$28*D$3</f>
        <v>-4032.0000000000005</v>
      </c>
      <c r="E28" s="111">
        <v>0.14000000000000001</v>
      </c>
      <c r="G28" s="107" t="s">
        <v>219</v>
      </c>
      <c r="H28" s="108">
        <f>-I$28*H$3</f>
        <v>-4032.0000000000005</v>
      </c>
      <c r="I28" s="111">
        <v>0.14000000000000001</v>
      </c>
      <c r="K28" s="107" t="s">
        <v>219</v>
      </c>
      <c r="L28" s="108">
        <f t="shared" ref="L28" si="1284">-M$28*L$3</f>
        <v>-4032.0000000000005</v>
      </c>
      <c r="M28" s="111">
        <v>0.14000000000000001</v>
      </c>
      <c r="N28" s="44"/>
      <c r="O28" s="107" t="s">
        <v>219</v>
      </c>
      <c r="P28" s="108">
        <f t="shared" ref="P28" si="1285">-Q$28*P$3</f>
        <v>-4032.0000000000005</v>
      </c>
      <c r="Q28" s="111">
        <v>0.14000000000000001</v>
      </c>
      <c r="R28" s="44"/>
      <c r="S28" s="107" t="s">
        <v>219</v>
      </c>
      <c r="T28" s="108">
        <f t="shared" ref="T28" si="1286">-U$28*T$3</f>
        <v>-4032.0000000000005</v>
      </c>
      <c r="U28" s="111">
        <v>0.14000000000000001</v>
      </c>
      <c r="V28" s="44"/>
      <c r="W28" s="107" t="s">
        <v>219</v>
      </c>
      <c r="X28" s="108">
        <f t="shared" ref="X28" si="1287">-Y$28*X$3</f>
        <v>-4032.0000000000005</v>
      </c>
      <c r="Y28" s="111">
        <v>0.14000000000000001</v>
      </c>
      <c r="Z28" s="44"/>
      <c r="AA28" s="107" t="s">
        <v>219</v>
      </c>
      <c r="AB28" s="108">
        <f t="shared" ref="AB28" si="1288">-AC$28*AB$3</f>
        <v>-4032.0000000000005</v>
      </c>
      <c r="AC28" s="111">
        <v>0.14000000000000001</v>
      </c>
      <c r="AD28" s="44"/>
      <c r="AE28" s="107" t="s">
        <v>219</v>
      </c>
      <c r="AF28" s="108">
        <f t="shared" ref="AF28" si="1289">-AG$28*AF$3</f>
        <v>-5376.0000000000009</v>
      </c>
      <c r="AG28" s="111">
        <v>0.14000000000000001</v>
      </c>
      <c r="AH28" s="44"/>
      <c r="AI28" s="107" t="s">
        <v>219</v>
      </c>
      <c r="AJ28" s="108">
        <f t="shared" ref="AJ28" si="1290">-AK$28*AJ$3</f>
        <v>-5376.0000000000009</v>
      </c>
      <c r="AK28" s="111">
        <v>0.14000000000000001</v>
      </c>
      <c r="AL28" s="44"/>
      <c r="AM28" s="107" t="s">
        <v>219</v>
      </c>
      <c r="AN28" s="108">
        <f t="shared" ref="AN28" si="1291">-AO$28*AN$3</f>
        <v>-5376.0000000000009</v>
      </c>
      <c r="AO28" s="111">
        <v>0.14000000000000001</v>
      </c>
      <c r="AP28" s="44"/>
      <c r="AQ28" s="107" t="s">
        <v>219</v>
      </c>
      <c r="AR28" s="108">
        <f t="shared" ref="AR28" si="1292">-AS$28*AR$3</f>
        <v>-5376.0000000000009</v>
      </c>
      <c r="AS28" s="111">
        <v>0.14000000000000001</v>
      </c>
      <c r="AT28" s="44"/>
      <c r="AU28" s="107" t="s">
        <v>219</v>
      </c>
      <c r="AV28" s="108">
        <f t="shared" ref="AV28" si="1293">-AW$28*AV$3</f>
        <v>-5376.0000000000009</v>
      </c>
      <c r="AW28" s="111">
        <v>0.14000000000000001</v>
      </c>
      <c r="AX28" s="44"/>
      <c r="AY28" s="107" t="s">
        <v>219</v>
      </c>
      <c r="AZ28" s="108">
        <f t="shared" ref="AZ28" si="1294">-BA$28*AZ$3</f>
        <v>-5376.0000000000009</v>
      </c>
      <c r="BA28" s="111">
        <v>0.14000000000000001</v>
      </c>
      <c r="BB28" s="44"/>
      <c r="BC28" s="107" t="s">
        <v>219</v>
      </c>
      <c r="BD28" s="108">
        <f t="shared" ref="BD28" si="1295">-BE$28*BD$3</f>
        <v>-5376.0000000000009</v>
      </c>
      <c r="BE28" s="111">
        <v>0.14000000000000001</v>
      </c>
      <c r="BF28" s="44"/>
      <c r="BG28" s="107" t="s">
        <v>219</v>
      </c>
      <c r="BH28" s="108">
        <f t="shared" ref="BH28" si="1296">-BI$28*BH$3</f>
        <v>-6720.0000000000009</v>
      </c>
      <c r="BI28" s="111">
        <v>0.14000000000000001</v>
      </c>
      <c r="BJ28" s="44"/>
      <c r="BK28" s="107" t="s">
        <v>219</v>
      </c>
      <c r="BL28" s="108">
        <f t="shared" ref="BL28" si="1297">-BM$28*BL$3</f>
        <v>-6720.0000000000009</v>
      </c>
      <c r="BM28" s="111">
        <v>0.14000000000000001</v>
      </c>
      <c r="BN28" s="44"/>
      <c r="BO28" s="107" t="s">
        <v>219</v>
      </c>
      <c r="BP28" s="108">
        <f t="shared" ref="BP28" si="1298">-BQ$28*BP$3</f>
        <v>-6720.0000000000009</v>
      </c>
      <c r="BQ28" s="111">
        <v>0.14000000000000001</v>
      </c>
      <c r="BR28" s="44"/>
      <c r="BS28" s="107" t="s">
        <v>219</v>
      </c>
      <c r="BT28" s="108">
        <f t="shared" ref="BT28" si="1299">-BU$28*BT$3</f>
        <v>-6720.0000000000009</v>
      </c>
      <c r="BU28" s="111">
        <v>0.14000000000000001</v>
      </c>
      <c r="BV28" s="44"/>
      <c r="BW28" s="107" t="s">
        <v>219</v>
      </c>
      <c r="BX28" s="108">
        <f t="shared" ref="BX28" si="1300">-BY$28*BX$3</f>
        <v>-6720.0000000000009</v>
      </c>
      <c r="BY28" s="111">
        <v>0.14000000000000001</v>
      </c>
      <c r="BZ28" s="44"/>
      <c r="CA28" s="107" t="s">
        <v>219</v>
      </c>
      <c r="CB28" s="108">
        <f t="shared" ref="CB28" si="1301">-CC$28*CB$3</f>
        <v>-6720.0000000000009</v>
      </c>
      <c r="CC28" s="111">
        <v>0.14000000000000001</v>
      </c>
      <c r="CD28" s="44"/>
      <c r="CE28" s="107" t="s">
        <v>219</v>
      </c>
      <c r="CF28" s="108">
        <f t="shared" ref="CF28" si="1302">-CG$28*CF$3</f>
        <v>-8064.0000000000009</v>
      </c>
      <c r="CG28" s="111">
        <v>0.14000000000000001</v>
      </c>
      <c r="CH28" s="44"/>
      <c r="CI28" s="107" t="s">
        <v>219</v>
      </c>
      <c r="CJ28" s="108">
        <f t="shared" ref="CJ28" si="1303">-CK$28*CJ$3</f>
        <v>-8064.0000000000009</v>
      </c>
      <c r="CK28" s="111">
        <v>0.14000000000000001</v>
      </c>
      <c r="CL28" s="44"/>
      <c r="CM28" s="107" t="s">
        <v>219</v>
      </c>
      <c r="CN28" s="108">
        <f t="shared" ref="CN28" si="1304">-CO$28*CN$3</f>
        <v>-8064.0000000000009</v>
      </c>
      <c r="CO28" s="111">
        <v>0.14000000000000001</v>
      </c>
      <c r="CP28" s="44"/>
      <c r="CQ28" s="107" t="s">
        <v>219</v>
      </c>
      <c r="CR28" s="108">
        <f t="shared" ref="CR28" si="1305">-CS$28*CR$3</f>
        <v>-8064.0000000000009</v>
      </c>
      <c r="CS28" s="111">
        <v>0.14000000000000001</v>
      </c>
      <c r="CT28" s="44"/>
      <c r="CU28" s="107" t="s">
        <v>219</v>
      </c>
      <c r="CV28" s="108">
        <f t="shared" ref="CV28" si="1306">-CW$28*CV$3</f>
        <v>-8064.0000000000009</v>
      </c>
      <c r="CW28" s="111">
        <v>0.14000000000000001</v>
      </c>
      <c r="CX28" s="44"/>
      <c r="CY28" s="107" t="s">
        <v>219</v>
      </c>
      <c r="CZ28" s="108">
        <f t="shared" ref="CZ28" si="1307">-DA$28*CZ$3</f>
        <v>-8064.0000000000009</v>
      </c>
      <c r="DA28" s="111">
        <v>0.14000000000000001</v>
      </c>
      <c r="DB28" s="44"/>
      <c r="DC28" s="107" t="s">
        <v>219</v>
      </c>
      <c r="DD28" s="108">
        <f t="shared" ref="DD28" si="1308">-DE$28*DD$3</f>
        <v>-8064.0000000000009</v>
      </c>
      <c r="DE28" s="111">
        <v>0.14000000000000001</v>
      </c>
      <c r="DF28" s="44"/>
      <c r="DG28" s="107" t="s">
        <v>219</v>
      </c>
      <c r="DH28" s="108">
        <f t="shared" ref="DH28" si="1309">-DI$28*DH$3</f>
        <v>-9408</v>
      </c>
      <c r="DI28" s="111">
        <v>0.14000000000000001</v>
      </c>
      <c r="DJ28" s="44"/>
      <c r="DK28" s="107" t="s">
        <v>219</v>
      </c>
      <c r="DL28" s="108">
        <f t="shared" ref="DL28" si="1310">-DM$28*DL$3</f>
        <v>-9408</v>
      </c>
      <c r="DM28" s="111">
        <v>0.14000000000000001</v>
      </c>
      <c r="DN28" s="44"/>
      <c r="DO28" s="107" t="s">
        <v>219</v>
      </c>
      <c r="DP28" s="108">
        <f t="shared" ref="DP28" si="1311">-DQ$28*DP$3</f>
        <v>-9408</v>
      </c>
      <c r="DQ28" s="111">
        <v>0.14000000000000001</v>
      </c>
      <c r="DR28" s="44"/>
      <c r="DS28" s="107" t="s">
        <v>219</v>
      </c>
      <c r="DT28" s="108">
        <f t="shared" ref="DT28" si="1312">-DU$28*DT$3</f>
        <v>-9408</v>
      </c>
      <c r="DU28" s="111">
        <v>0.14000000000000001</v>
      </c>
      <c r="DV28" s="44"/>
      <c r="DW28" s="107" t="s">
        <v>219</v>
      </c>
      <c r="DX28" s="108">
        <f t="shared" ref="DX28" si="1313">-DY$28*DX$3</f>
        <v>-9408</v>
      </c>
      <c r="DY28" s="111">
        <v>0.14000000000000001</v>
      </c>
      <c r="DZ28" s="44"/>
      <c r="EA28" s="107" t="s">
        <v>219</v>
      </c>
      <c r="EB28" s="108">
        <f t="shared" ref="EB28" si="1314">-EC$28*EB$3</f>
        <v>-9408</v>
      </c>
      <c r="EC28" s="111">
        <v>0.14000000000000001</v>
      </c>
      <c r="ED28" s="44"/>
      <c r="EE28" s="107" t="s">
        <v>219</v>
      </c>
      <c r="EF28" s="108">
        <f t="shared" ref="EF28" si="1315">-EG$28*EF$3</f>
        <v>-9408</v>
      </c>
      <c r="EG28" s="111">
        <v>0.14000000000000001</v>
      </c>
      <c r="EH28" s="44"/>
      <c r="EI28" s="107" t="s">
        <v>219</v>
      </c>
      <c r="EJ28" s="108">
        <f t="shared" ref="EJ28" si="1316">-EK$28*EJ$3</f>
        <v>-10752.000000000002</v>
      </c>
      <c r="EK28" s="111">
        <v>0.14000000000000001</v>
      </c>
      <c r="EL28" s="44"/>
      <c r="EM28" s="107" t="s">
        <v>219</v>
      </c>
      <c r="EN28" s="108">
        <f t="shared" ref="EN28" si="1317">-EO$28*EN$3</f>
        <v>-10752.000000000002</v>
      </c>
      <c r="EO28" s="111">
        <v>0.14000000000000001</v>
      </c>
      <c r="EP28" s="44"/>
      <c r="EQ28" s="107" t="s">
        <v>219</v>
      </c>
      <c r="ER28" s="108">
        <f t="shared" ref="ER28" si="1318">-ES$28*ER$3</f>
        <v>-10752.000000000002</v>
      </c>
      <c r="ES28" s="111">
        <v>0.14000000000000001</v>
      </c>
      <c r="ET28" s="44"/>
      <c r="EU28" s="107" t="s">
        <v>219</v>
      </c>
      <c r="EV28" s="108">
        <f t="shared" ref="EV28" si="1319">-EW$28*EV$3</f>
        <v>-10752.000000000002</v>
      </c>
      <c r="EW28" s="111">
        <v>0.14000000000000001</v>
      </c>
      <c r="EX28" s="44"/>
      <c r="EY28" s="107" t="s">
        <v>219</v>
      </c>
      <c r="EZ28" s="108">
        <f t="shared" ref="EZ28" si="1320">-FA$28*EZ$3</f>
        <v>-10752.000000000002</v>
      </c>
      <c r="FA28" s="111">
        <v>0.14000000000000001</v>
      </c>
      <c r="FB28" s="44"/>
      <c r="FC28" s="107" t="s">
        <v>219</v>
      </c>
      <c r="FD28" s="108">
        <f t="shared" ref="FD28" si="1321">-FE$28*FD$3</f>
        <v>-10752.000000000002</v>
      </c>
      <c r="FE28" s="111">
        <v>0.14000000000000001</v>
      </c>
      <c r="FF28" s="44"/>
      <c r="FG28" s="107" t="s">
        <v>219</v>
      </c>
      <c r="FH28" s="108">
        <f t="shared" ref="FH28" si="1322">-FI$28*FH$3</f>
        <v>-12096.000000000002</v>
      </c>
      <c r="FI28" s="111">
        <v>0.14000000000000001</v>
      </c>
      <c r="FJ28" s="44"/>
      <c r="FK28" s="107" t="s">
        <v>219</v>
      </c>
      <c r="FL28" s="108">
        <f t="shared" ref="FL28" si="1323">-FM$28*FL$3</f>
        <v>-12096.000000000002</v>
      </c>
      <c r="FM28" s="111">
        <v>0.14000000000000001</v>
      </c>
      <c r="FN28" s="44"/>
      <c r="FO28" s="107" t="s">
        <v>219</v>
      </c>
      <c r="FP28" s="108">
        <f t="shared" ref="FP28" si="1324">-FQ$28*FP$3</f>
        <v>-12096.000000000002</v>
      </c>
      <c r="FQ28" s="111">
        <v>0.14000000000000001</v>
      </c>
      <c r="FR28" s="44"/>
      <c r="FS28" s="107" t="s">
        <v>219</v>
      </c>
      <c r="FT28" s="108">
        <f t="shared" ref="FT28" si="1325">-FU$28*FT$3</f>
        <v>-12096.000000000002</v>
      </c>
      <c r="FU28" s="111">
        <v>0.14000000000000001</v>
      </c>
      <c r="FV28" s="44"/>
      <c r="FW28" s="107" t="s">
        <v>219</v>
      </c>
      <c r="FX28" s="108">
        <f t="shared" ref="FX28" si="1326">-FY$28*FX$3</f>
        <v>-12096.000000000002</v>
      </c>
      <c r="FY28" s="111">
        <v>0.14000000000000001</v>
      </c>
      <c r="FZ28" s="44"/>
      <c r="GA28" s="107" t="s">
        <v>219</v>
      </c>
      <c r="GB28" s="108">
        <f t="shared" ref="GB28" si="1327">-GC$28*GB$3</f>
        <v>-12096.000000000002</v>
      </c>
      <c r="GC28" s="111">
        <v>0.14000000000000001</v>
      </c>
      <c r="GD28" s="44"/>
      <c r="GE28" s="107" t="s">
        <v>219</v>
      </c>
      <c r="GF28" s="108">
        <f t="shared" ref="GF28" si="1328">-GG$28*GF$3</f>
        <v>-12096.000000000002</v>
      </c>
      <c r="GG28" s="111">
        <v>0.14000000000000001</v>
      </c>
      <c r="GH28" s="44"/>
      <c r="GI28" s="107" t="s">
        <v>219</v>
      </c>
      <c r="GJ28" s="108">
        <f t="shared" ref="GJ28" si="1329">-GK$28*GJ$3</f>
        <v>-13440.000000000002</v>
      </c>
      <c r="GK28" s="111">
        <v>0.14000000000000001</v>
      </c>
      <c r="GL28" s="44"/>
      <c r="GM28" s="107" t="s">
        <v>219</v>
      </c>
      <c r="GN28" s="108">
        <f t="shared" ref="GN28" si="1330">-GO$28*GN$3</f>
        <v>-13440.000000000002</v>
      </c>
      <c r="GO28" s="111">
        <v>0.14000000000000001</v>
      </c>
      <c r="GP28" s="44"/>
      <c r="GQ28" s="107" t="s">
        <v>219</v>
      </c>
      <c r="GR28" s="108">
        <f t="shared" ref="GR28" si="1331">-GS$28*GR$3</f>
        <v>-13440.000000000002</v>
      </c>
      <c r="GS28" s="111">
        <v>0.14000000000000001</v>
      </c>
      <c r="GT28" s="44"/>
      <c r="GU28" s="107" t="s">
        <v>219</v>
      </c>
      <c r="GV28" s="108">
        <f t="shared" ref="GV28" si="1332">-GW$28*GV$3</f>
        <v>-13440.000000000002</v>
      </c>
      <c r="GW28" s="111">
        <v>0.14000000000000001</v>
      </c>
      <c r="GX28" s="44"/>
      <c r="GY28" s="107" t="s">
        <v>219</v>
      </c>
      <c r="GZ28" s="108">
        <f t="shared" ref="GZ28" si="1333">-HA$28*GZ$3</f>
        <v>-13440.000000000002</v>
      </c>
      <c r="HA28" s="111">
        <v>0.14000000000000001</v>
      </c>
      <c r="HB28" s="44"/>
      <c r="HC28" s="107" t="s">
        <v>219</v>
      </c>
      <c r="HD28" s="108">
        <f t="shared" ref="HD28" si="1334">-HE$28*HD$3</f>
        <v>-13440.000000000002</v>
      </c>
      <c r="HE28" s="111">
        <v>0.14000000000000001</v>
      </c>
      <c r="HF28" s="44"/>
      <c r="HG28" s="107" t="s">
        <v>219</v>
      </c>
      <c r="HH28" s="108">
        <f t="shared" ref="HH28" si="1335">-HI$28*HH$3</f>
        <v>-13440.000000000002</v>
      </c>
      <c r="HI28" s="111">
        <v>0.14000000000000001</v>
      </c>
      <c r="HJ28" s="44"/>
      <c r="HK28" s="107" t="s">
        <v>219</v>
      </c>
      <c r="HL28" s="108">
        <f t="shared" ref="HL28" si="1336">-HM$28*HL$3</f>
        <v>-14784.000000000002</v>
      </c>
      <c r="HM28" s="111">
        <v>0.14000000000000001</v>
      </c>
      <c r="HN28" s="44"/>
      <c r="HO28" s="107" t="s">
        <v>219</v>
      </c>
      <c r="HP28" s="108">
        <f t="shared" ref="HP28" si="1337">-HQ$28*HP$3</f>
        <v>-14784.000000000002</v>
      </c>
      <c r="HQ28" s="111">
        <v>0.14000000000000001</v>
      </c>
      <c r="HR28" s="44"/>
      <c r="HS28" s="107" t="s">
        <v>219</v>
      </c>
      <c r="HT28" s="108">
        <f t="shared" ref="HT28" si="1338">-HU$28*HT$3</f>
        <v>-14784.000000000002</v>
      </c>
      <c r="HU28" s="111">
        <v>0.14000000000000001</v>
      </c>
      <c r="HV28" s="44"/>
      <c r="HW28" s="107" t="s">
        <v>219</v>
      </c>
      <c r="HX28" s="108">
        <f t="shared" ref="HX28" si="1339">-HY$28*HX$3</f>
        <v>-14784.000000000002</v>
      </c>
      <c r="HY28" s="111">
        <v>0.14000000000000001</v>
      </c>
      <c r="HZ28" s="44"/>
      <c r="IA28" s="107" t="s">
        <v>219</v>
      </c>
      <c r="IB28" s="108">
        <f t="shared" ref="IB28" si="1340">-IC$28*IB$3</f>
        <v>-14784.000000000002</v>
      </c>
      <c r="IC28" s="111">
        <v>0.14000000000000001</v>
      </c>
      <c r="ID28" s="44"/>
      <c r="IE28" s="107" t="s">
        <v>219</v>
      </c>
      <c r="IF28" s="108">
        <f t="shared" ref="IF28" si="1341">-IG$28*IF$3</f>
        <v>-14784.000000000002</v>
      </c>
      <c r="IG28" s="111">
        <v>0.14000000000000001</v>
      </c>
      <c r="IH28" s="44"/>
      <c r="II28" s="107" t="s">
        <v>219</v>
      </c>
      <c r="IJ28" s="108">
        <f t="shared" ref="IJ28" si="1342">-IK$28*IJ$3</f>
        <v>-16128.000000000002</v>
      </c>
      <c r="IK28" s="111">
        <v>0.14000000000000001</v>
      </c>
      <c r="IL28" s="44"/>
      <c r="IM28" s="107" t="s">
        <v>219</v>
      </c>
      <c r="IN28" s="108">
        <f t="shared" ref="IN28" si="1343">-IO$28*IN$3</f>
        <v>-16128.000000000002</v>
      </c>
      <c r="IO28" s="111">
        <v>0.14000000000000001</v>
      </c>
      <c r="IP28" s="44"/>
      <c r="IQ28" s="107" t="s">
        <v>219</v>
      </c>
      <c r="IR28" s="108">
        <f t="shared" ref="IR28" si="1344">-IS$28*IR$3</f>
        <v>-16128.000000000002</v>
      </c>
      <c r="IS28" s="111">
        <v>0.14000000000000001</v>
      </c>
      <c r="IT28" s="44"/>
      <c r="IU28" s="107" t="s">
        <v>219</v>
      </c>
      <c r="IV28" s="108">
        <f t="shared" ref="IV28" si="1345">-IW$28*IV$3</f>
        <v>-16128.000000000002</v>
      </c>
      <c r="IW28" s="111">
        <v>0.14000000000000001</v>
      </c>
      <c r="IX28" s="44"/>
      <c r="IY28" s="107" t="s">
        <v>219</v>
      </c>
      <c r="IZ28" s="108">
        <f t="shared" ref="IZ28" si="1346">-JA$28*IZ$3</f>
        <v>-16128.000000000002</v>
      </c>
      <c r="JA28" s="111">
        <v>0.14000000000000001</v>
      </c>
      <c r="JB28" s="44"/>
      <c r="JC28" s="107" t="s">
        <v>219</v>
      </c>
      <c r="JD28" s="108">
        <f t="shared" ref="JD28" si="1347">-JE$28*JD$3</f>
        <v>-16128.000000000002</v>
      </c>
      <c r="JE28" s="111">
        <v>0.14000000000000001</v>
      </c>
      <c r="JF28" s="44"/>
      <c r="JG28" s="107" t="s">
        <v>219</v>
      </c>
      <c r="JH28" s="108">
        <f t="shared" ref="JH28" si="1348">-JI$28*JH$3</f>
        <v>-16128.000000000002</v>
      </c>
      <c r="JI28" s="111">
        <v>0.14000000000000001</v>
      </c>
      <c r="JJ28" s="44"/>
      <c r="JK28" s="107" t="s">
        <v>219</v>
      </c>
      <c r="JL28" s="108">
        <f t="shared" ref="JL28" si="1349">-JM$28*JL$3</f>
        <v>-17472</v>
      </c>
      <c r="JM28" s="111">
        <v>0.14000000000000001</v>
      </c>
      <c r="JN28" s="44"/>
      <c r="JO28" s="107" t="s">
        <v>219</v>
      </c>
      <c r="JP28" s="108">
        <f t="shared" ref="JP28" si="1350">-JQ$28*JP$3</f>
        <v>-17472</v>
      </c>
      <c r="JQ28" s="111">
        <v>0.14000000000000001</v>
      </c>
      <c r="JR28" s="44"/>
      <c r="JS28" s="107" t="s">
        <v>219</v>
      </c>
      <c r="JT28" s="108">
        <f t="shared" ref="JT28" si="1351">-JU$28*JT$3</f>
        <v>-17472</v>
      </c>
      <c r="JU28" s="111">
        <v>0.14000000000000001</v>
      </c>
      <c r="JV28" s="44"/>
      <c r="JW28" s="107" t="s">
        <v>219</v>
      </c>
      <c r="JX28" s="108">
        <f t="shared" ref="JX28" si="1352">-JY$28*JX$3</f>
        <v>-17472</v>
      </c>
      <c r="JY28" s="111">
        <v>0.14000000000000001</v>
      </c>
      <c r="JZ28" s="44"/>
      <c r="KA28" s="107" t="s">
        <v>219</v>
      </c>
      <c r="KB28" s="108">
        <f t="shared" ref="KB28" si="1353">-KC$28*KB$3</f>
        <v>-17472</v>
      </c>
      <c r="KC28" s="111">
        <v>0.14000000000000001</v>
      </c>
      <c r="KD28" s="44"/>
      <c r="KE28" s="107" t="s">
        <v>219</v>
      </c>
      <c r="KF28" s="108">
        <f t="shared" ref="KF28" si="1354">-KG$28*KF$3</f>
        <v>-17472</v>
      </c>
      <c r="KG28" s="111">
        <v>0.14000000000000001</v>
      </c>
      <c r="KH28" s="44"/>
    </row>
    <row r="29" spans="1:294" x14ac:dyDescent="0.25">
      <c r="H29" s="44"/>
      <c r="I29" s="44"/>
      <c r="K29" s="37"/>
      <c r="L29" s="44"/>
      <c r="M29" s="44"/>
      <c r="N29" s="44"/>
      <c r="O29" s="37"/>
      <c r="P29" s="44"/>
      <c r="Q29" s="44"/>
      <c r="R29" s="44"/>
      <c r="S29" s="37"/>
      <c r="T29" s="44"/>
      <c r="U29" s="44"/>
      <c r="V29" s="44"/>
      <c r="W29" s="37"/>
      <c r="X29" s="44"/>
      <c r="Y29" s="44"/>
      <c r="Z29" s="44"/>
      <c r="AA29" s="37"/>
      <c r="AB29" s="44"/>
      <c r="AC29" s="44"/>
      <c r="AD29" s="44"/>
      <c r="AE29" s="37"/>
      <c r="AF29" s="44"/>
      <c r="AG29" s="44"/>
      <c r="AH29" s="44"/>
      <c r="AI29" s="37"/>
      <c r="AJ29" s="44"/>
      <c r="AK29" s="44"/>
      <c r="AL29" s="44"/>
      <c r="AM29" s="37"/>
      <c r="AN29" s="44"/>
      <c r="AO29" s="44"/>
      <c r="AP29" s="44"/>
      <c r="AQ29" s="37"/>
      <c r="AR29" s="44"/>
      <c r="AS29" s="44"/>
      <c r="AT29" s="44"/>
      <c r="AU29" s="37"/>
      <c r="AV29" s="44"/>
      <c r="AW29" s="44"/>
      <c r="AX29" s="44"/>
      <c r="AY29" s="37"/>
      <c r="AZ29" s="44"/>
      <c r="BA29" s="44"/>
      <c r="BB29" s="44"/>
      <c r="BC29" s="37"/>
      <c r="BD29" s="44"/>
      <c r="BE29" s="44"/>
      <c r="BF29" s="44"/>
      <c r="BG29" s="37"/>
      <c r="BH29" s="44"/>
      <c r="BI29" s="44"/>
      <c r="BJ29" s="44"/>
      <c r="BK29" s="37"/>
      <c r="BL29" s="44"/>
      <c r="BM29" s="44"/>
      <c r="BN29" s="44"/>
      <c r="BO29" s="37"/>
      <c r="BP29" s="44"/>
      <c r="BQ29" s="44"/>
      <c r="BR29" s="44"/>
      <c r="BS29" s="37"/>
      <c r="BT29" s="44"/>
      <c r="BU29" s="44"/>
      <c r="BV29" s="44"/>
      <c r="BW29" s="37"/>
      <c r="BX29" s="44"/>
      <c r="BY29" s="44"/>
      <c r="BZ29" s="44"/>
      <c r="CA29" s="37"/>
      <c r="CB29" s="44"/>
      <c r="CC29" s="44"/>
      <c r="CD29" s="44"/>
      <c r="CE29" s="37"/>
      <c r="CF29" s="44"/>
      <c r="CG29" s="44"/>
      <c r="CH29" s="44"/>
      <c r="CI29" s="37"/>
      <c r="CJ29" s="44"/>
      <c r="CK29" s="44"/>
      <c r="CL29" s="44"/>
      <c r="CM29" s="37"/>
      <c r="CN29" s="44"/>
      <c r="CO29" s="44"/>
      <c r="CP29" s="44"/>
      <c r="CQ29" s="37"/>
      <c r="CR29" s="44"/>
      <c r="CS29" s="44"/>
      <c r="CT29" s="44"/>
      <c r="CU29" s="37"/>
      <c r="CV29" s="44"/>
      <c r="CW29" s="44"/>
      <c r="CX29" s="44"/>
      <c r="CY29" s="37"/>
      <c r="CZ29" s="44"/>
      <c r="DA29" s="44"/>
      <c r="DB29" s="44"/>
      <c r="DC29" s="37"/>
      <c r="DD29" s="44"/>
      <c r="DE29" s="44"/>
      <c r="DF29" s="44"/>
      <c r="DG29" s="37"/>
      <c r="DH29" s="44"/>
      <c r="DI29" s="44"/>
      <c r="DJ29" s="44"/>
      <c r="DK29" s="37"/>
      <c r="DL29" s="44"/>
      <c r="DM29" s="44"/>
      <c r="DN29" s="44"/>
      <c r="DO29" s="37"/>
      <c r="DP29" s="44"/>
      <c r="DQ29" s="44"/>
      <c r="DR29" s="44"/>
      <c r="DS29" s="37"/>
      <c r="DT29" s="44"/>
      <c r="DU29" s="44"/>
      <c r="DV29" s="44"/>
      <c r="DW29" s="37"/>
      <c r="DX29" s="44"/>
      <c r="DY29" s="44"/>
      <c r="DZ29" s="44"/>
      <c r="EA29" s="37"/>
      <c r="EB29" s="44"/>
      <c r="EC29" s="44"/>
      <c r="ED29" s="44"/>
      <c r="EE29" s="37"/>
      <c r="EF29" s="44"/>
      <c r="EG29" s="44"/>
      <c r="EH29" s="44"/>
      <c r="EI29" s="37"/>
      <c r="EJ29" s="44"/>
      <c r="EK29" s="44"/>
      <c r="EL29" s="44"/>
      <c r="EM29" s="37"/>
      <c r="EN29" s="44"/>
      <c r="EO29" s="44"/>
      <c r="EP29" s="44"/>
      <c r="EQ29" s="37"/>
      <c r="ER29" s="44"/>
      <c r="ES29" s="44"/>
      <c r="ET29" s="44"/>
      <c r="EU29" s="37"/>
      <c r="EV29" s="44"/>
      <c r="EW29" s="44"/>
      <c r="EX29" s="44"/>
      <c r="EY29" s="37"/>
      <c r="EZ29" s="44"/>
      <c r="FA29" s="44"/>
      <c r="FB29" s="44"/>
      <c r="FC29" s="37"/>
      <c r="FD29" s="44"/>
      <c r="FE29" s="44"/>
      <c r="FF29" s="44"/>
      <c r="FG29" s="37"/>
      <c r="FH29" s="44"/>
      <c r="FI29" s="44"/>
      <c r="FJ29" s="44"/>
      <c r="FK29" s="37"/>
      <c r="FL29" s="44"/>
      <c r="FM29" s="44"/>
      <c r="FN29" s="44"/>
      <c r="FO29" s="37"/>
      <c r="FP29" s="44"/>
      <c r="FQ29" s="44"/>
      <c r="FR29" s="44"/>
      <c r="FS29" s="37"/>
      <c r="FT29" s="44"/>
      <c r="FU29" s="44"/>
      <c r="FV29" s="44"/>
      <c r="FW29" s="37"/>
      <c r="FX29" s="44"/>
      <c r="FY29" s="44"/>
      <c r="FZ29" s="44"/>
      <c r="GA29" s="37"/>
      <c r="GB29" s="44"/>
      <c r="GC29" s="44"/>
      <c r="GD29" s="44"/>
      <c r="GE29" s="37"/>
      <c r="GF29" s="44"/>
      <c r="GG29" s="44"/>
      <c r="GH29" s="44"/>
      <c r="GI29" s="37"/>
      <c r="GJ29" s="44"/>
      <c r="GK29" s="44"/>
      <c r="GL29" s="44"/>
      <c r="GM29" s="37"/>
      <c r="GN29" s="44"/>
      <c r="GO29" s="44"/>
      <c r="GP29" s="44"/>
      <c r="GQ29" s="37"/>
      <c r="GR29" s="44"/>
      <c r="GS29" s="44"/>
      <c r="GT29" s="44"/>
      <c r="GU29" s="37"/>
      <c r="GV29" s="44"/>
      <c r="GW29" s="44"/>
      <c r="GX29" s="44"/>
      <c r="GY29" s="37"/>
      <c r="GZ29" s="44"/>
      <c r="HA29" s="44"/>
      <c r="HB29" s="44"/>
      <c r="HC29" s="37"/>
      <c r="HD29" s="44"/>
      <c r="HE29" s="44"/>
      <c r="HF29" s="44"/>
      <c r="HG29" s="37"/>
      <c r="HH29" s="44"/>
      <c r="HI29" s="44"/>
      <c r="HJ29" s="44"/>
      <c r="HK29" s="37"/>
      <c r="HL29" s="44"/>
      <c r="HM29" s="44"/>
      <c r="HN29" s="44"/>
      <c r="HO29" s="37"/>
      <c r="HP29" s="44"/>
      <c r="HQ29" s="44"/>
      <c r="HR29" s="44"/>
      <c r="HS29" s="37"/>
      <c r="HT29" s="44"/>
      <c r="HU29" s="44"/>
      <c r="HV29" s="44"/>
      <c r="HW29" s="37"/>
      <c r="HX29" s="44"/>
      <c r="HY29" s="44"/>
      <c r="HZ29" s="44"/>
      <c r="IA29" s="37"/>
      <c r="IB29" s="44"/>
      <c r="IC29" s="44"/>
      <c r="ID29" s="44"/>
      <c r="IE29" s="37"/>
      <c r="IF29" s="44"/>
      <c r="IG29" s="44"/>
      <c r="IH29" s="44"/>
      <c r="II29" s="37"/>
      <c r="IJ29" s="44"/>
      <c r="IK29" s="44"/>
      <c r="IL29" s="44"/>
      <c r="IM29" s="37"/>
      <c r="IN29" s="44"/>
      <c r="IO29" s="44"/>
      <c r="IP29" s="44"/>
      <c r="IQ29" s="37"/>
      <c r="IR29" s="44"/>
      <c r="IS29" s="44"/>
      <c r="IT29" s="44"/>
      <c r="IU29" s="37"/>
      <c r="IV29" s="44"/>
      <c r="IW29" s="44"/>
      <c r="IX29" s="44"/>
      <c r="IY29" s="37"/>
      <c r="IZ29" s="44"/>
      <c r="JA29" s="44"/>
      <c r="JB29" s="44"/>
      <c r="JC29" s="37"/>
      <c r="JD29" s="44"/>
      <c r="JE29" s="44"/>
      <c r="JF29" s="44"/>
      <c r="JG29" s="37"/>
      <c r="JH29" s="44"/>
      <c r="JI29" s="44"/>
      <c r="JJ29" s="44"/>
      <c r="JK29" s="37"/>
      <c r="JL29" s="44"/>
      <c r="JM29" s="44"/>
      <c r="JN29" s="44"/>
      <c r="JO29" s="37"/>
      <c r="JP29" s="44"/>
      <c r="JQ29" s="44"/>
      <c r="JR29" s="44"/>
      <c r="JS29" s="37"/>
      <c r="JT29" s="44"/>
      <c r="JU29" s="44"/>
      <c r="JV29" s="44"/>
      <c r="JW29" s="37"/>
      <c r="JX29" s="44"/>
      <c r="JY29" s="44"/>
      <c r="JZ29" s="44"/>
      <c r="KA29" s="37"/>
      <c r="KB29" s="44"/>
      <c r="KC29" s="44"/>
      <c r="KD29" s="44"/>
      <c r="KE29" s="37"/>
      <c r="KF29" s="44"/>
      <c r="KG29" s="44"/>
      <c r="KH29" s="44"/>
    </row>
    <row r="30" spans="1:294" x14ac:dyDescent="0.25">
      <c r="C30" s="1" t="s">
        <v>225</v>
      </c>
      <c r="D30" s="19">
        <f ca="1">SUM(D$10:D$28)</f>
        <v>-133101.995736524</v>
      </c>
      <c r="G30" s="1" t="s">
        <v>225</v>
      </c>
      <c r="H30" s="19">
        <f ca="1">SUM(H$10:H$28)</f>
        <v>-21701.995736523986</v>
      </c>
      <c r="I30" s="44"/>
      <c r="K30" s="1" t="s">
        <v>225</v>
      </c>
      <c r="L30" s="19">
        <f t="shared" ref="L30" ca="1" si="1355">SUM(L$10:L$28)</f>
        <v>-21701.995736523986</v>
      </c>
      <c r="M30" s="44"/>
      <c r="N30" s="44"/>
      <c r="O30" s="1" t="s">
        <v>225</v>
      </c>
      <c r="P30" s="19">
        <f t="shared" ref="P30" ca="1" si="1356">SUM(P$10:P$28)</f>
        <v>-50601.99573652399</v>
      </c>
      <c r="Q30" s="44"/>
      <c r="R30" s="44"/>
      <c r="S30" s="1" t="s">
        <v>225</v>
      </c>
      <c r="T30" s="19">
        <f t="shared" ref="T30" ca="1" si="1357">SUM(T$10:T$28)</f>
        <v>-21701.995736523986</v>
      </c>
      <c r="U30" s="44"/>
      <c r="V30" s="44"/>
      <c r="W30" s="1" t="s">
        <v>225</v>
      </c>
      <c r="X30" s="19">
        <f t="shared" ref="X30" ca="1" si="1358">SUM(X$10:X$28)</f>
        <v>-21701.995736523986</v>
      </c>
      <c r="Y30" s="44"/>
      <c r="Z30" s="44"/>
      <c r="AA30" s="1" t="s">
        <v>225</v>
      </c>
      <c r="AB30" s="19">
        <f t="shared" ref="AB30" ca="1" si="1359">SUM(AB$10:AB$28)</f>
        <v>-57752.395736523991</v>
      </c>
      <c r="AC30" s="44"/>
      <c r="AD30" s="44"/>
      <c r="AE30" s="1" t="s">
        <v>225</v>
      </c>
      <c r="AF30" s="19">
        <f t="shared" ref="AF30" ca="1" si="1360">SUM(AF$10:AF$28)</f>
        <v>-26531.795736523989</v>
      </c>
      <c r="AG30" s="44"/>
      <c r="AH30" s="44"/>
      <c r="AI30" s="1" t="s">
        <v>225</v>
      </c>
      <c r="AJ30" s="19">
        <f t="shared" ref="AJ30" ca="1" si="1361">SUM(AJ$10:AJ$28)</f>
        <v>-26531.795736523989</v>
      </c>
      <c r="AK30" s="44"/>
      <c r="AL30" s="44"/>
      <c r="AM30" s="1" t="s">
        <v>225</v>
      </c>
      <c r="AN30" s="19">
        <f t="shared" ref="AN30" ca="1" si="1362">SUM(AN$10:AN$28)</f>
        <v>-64731.795736523985</v>
      </c>
      <c r="AO30" s="44"/>
      <c r="AP30" s="44"/>
      <c r="AQ30" s="1" t="s">
        <v>225</v>
      </c>
      <c r="AR30" s="19">
        <f t="shared" ref="AR30" ca="1" si="1363">SUM(AR$10:AR$28)</f>
        <v>-26531.795736523989</v>
      </c>
      <c r="AS30" s="44"/>
      <c r="AT30" s="44"/>
      <c r="AU30" s="1" t="s">
        <v>225</v>
      </c>
      <c r="AV30" s="19">
        <f t="shared" ref="AV30" ca="1" si="1364">SUM(AV$10:AV$28)</f>
        <v>-27376.595736523988</v>
      </c>
      <c r="AW30" s="44"/>
      <c r="AX30" s="44"/>
      <c r="AY30" s="1" t="s">
        <v>225</v>
      </c>
      <c r="AZ30" s="19">
        <f t="shared" ref="AZ30" ca="1" si="1365">SUM(AZ$10:AZ$28)</f>
        <v>-68676.595736523988</v>
      </c>
      <c r="BA30" s="44"/>
      <c r="BB30" s="44"/>
      <c r="BC30" s="1" t="s">
        <v>225</v>
      </c>
      <c r="BD30" s="19">
        <f t="shared" ref="BD30" ca="1" si="1366">SUM(BD$10:BD$28)</f>
        <v>-27376.595736523988</v>
      </c>
      <c r="BE30" s="44"/>
      <c r="BF30" s="44"/>
      <c r="BG30" s="1" t="s">
        <v>225</v>
      </c>
      <c r="BH30" s="19">
        <f t="shared" ref="BH30" ca="1" si="1367">SUM(BH$10:BH$28)</f>
        <v>-31467.195736523987</v>
      </c>
      <c r="BI30" s="44"/>
      <c r="BJ30" s="44"/>
      <c r="BK30" s="1" t="s">
        <v>225</v>
      </c>
      <c r="BL30" s="19">
        <f t="shared" ref="BL30" ca="1" si="1368">SUM(BL$10:BL$28)</f>
        <v>-78967.19573652398</v>
      </c>
      <c r="BM30" s="44"/>
      <c r="BN30" s="44"/>
      <c r="BO30" s="1" t="s">
        <v>225</v>
      </c>
      <c r="BP30" s="19">
        <f t="shared" ref="BP30" ca="1" si="1369">SUM(BP$10:BP$28)</f>
        <v>-31467.195736523987</v>
      </c>
      <c r="BQ30" s="44"/>
      <c r="BR30" s="44"/>
      <c r="BS30" s="1" t="s">
        <v>225</v>
      </c>
      <c r="BT30" s="19">
        <f t="shared" ref="BT30" ca="1" si="1370">SUM(BT$10:BT$28)</f>
        <v>-31467.195736523987</v>
      </c>
      <c r="BU30" s="44"/>
      <c r="BV30" s="44"/>
      <c r="BW30" s="1" t="s">
        <v>225</v>
      </c>
      <c r="BX30" s="19">
        <f t="shared" ref="BX30" ca="1" si="1371">SUM(BX$10:BX$28)</f>
        <v>-82067.19573652398</v>
      </c>
      <c r="BY30" s="44"/>
      <c r="BZ30" s="44"/>
      <c r="CA30" s="1" t="s">
        <v>225</v>
      </c>
      <c r="CB30" s="19">
        <f t="shared" ref="CB30" ca="1" si="1372">SUM(CB$10:CB$28)</f>
        <v>-31467.195736523987</v>
      </c>
      <c r="CC30" s="44"/>
      <c r="CD30" s="44"/>
      <c r="CE30" s="1" t="s">
        <v>225</v>
      </c>
      <c r="CF30" s="19">
        <f t="shared" ref="CF30" ca="1" si="1373">SUM(CF$10:CF$28)</f>
        <v>-35557.795736523985</v>
      </c>
      <c r="CG30" s="44"/>
      <c r="CH30" s="44"/>
      <c r="CI30" s="1" t="s">
        <v>225</v>
      </c>
      <c r="CJ30" s="19">
        <f t="shared" ref="CJ30" ca="1" si="1374">SUM(CJ$10:CJ$28)</f>
        <v>-92357.795736524</v>
      </c>
      <c r="CK30" s="44"/>
      <c r="CL30" s="44"/>
      <c r="CM30" s="1" t="s">
        <v>225</v>
      </c>
      <c r="CN30" s="19">
        <f t="shared" ref="CN30" ca="1" si="1375">SUM(CN$10:CN$28)</f>
        <v>-35557.795736523985</v>
      </c>
      <c r="CO30" s="44"/>
      <c r="CP30" s="44"/>
      <c r="CQ30" s="1" t="s">
        <v>225</v>
      </c>
      <c r="CR30" s="19">
        <f t="shared" ref="CR30" ca="1" si="1376">SUM(CR$10:CR$28)</f>
        <v>-35557.795736523985</v>
      </c>
      <c r="CS30" s="44"/>
      <c r="CT30" s="44"/>
      <c r="CU30" s="1" t="s">
        <v>225</v>
      </c>
      <c r="CV30" s="19">
        <f t="shared" ref="CV30" ca="1" si="1377">SUM(CV$10:CV$28)</f>
        <v>-92357.795736524</v>
      </c>
      <c r="CW30" s="44"/>
      <c r="CX30" s="44"/>
      <c r="CY30" s="1" t="s">
        <v>225</v>
      </c>
      <c r="CZ30" s="19">
        <f t="shared" ref="CZ30" ca="1" si="1378">SUM(CZ$10:CZ$28)</f>
        <v>-35557.795736523985</v>
      </c>
      <c r="DA30" s="44"/>
      <c r="DB30" s="44"/>
      <c r="DC30" s="1" t="s">
        <v>225</v>
      </c>
      <c r="DD30" s="19">
        <f t="shared" ref="DD30" ca="1" si="1379">SUM(DD$10:DD$28)</f>
        <v>-35557.795736523985</v>
      </c>
      <c r="DE30" s="44"/>
      <c r="DF30" s="44"/>
      <c r="DG30" s="1" t="s">
        <v>225</v>
      </c>
      <c r="DH30" s="19">
        <f t="shared" ref="DH30" ca="1" si="1380">SUM(DH$10:DH$28)</f>
        <v>-105748.39573652399</v>
      </c>
      <c r="DI30" s="44"/>
      <c r="DJ30" s="44"/>
      <c r="DK30" s="1" t="s">
        <v>225</v>
      </c>
      <c r="DL30" s="19">
        <f t="shared" ref="DL30" ca="1" si="1381">SUM(DL$10:DL$28)</f>
        <v>-39648.395736523991</v>
      </c>
      <c r="DM30" s="44"/>
      <c r="DN30" s="44"/>
      <c r="DO30" s="1" t="s">
        <v>225</v>
      </c>
      <c r="DP30" s="19">
        <f t="shared" ref="DP30" ca="1" si="1382">SUM(DP$10:DP$28)</f>
        <v>-39648.395736523991</v>
      </c>
      <c r="DQ30" s="44"/>
      <c r="DR30" s="44"/>
      <c r="DS30" s="1" t="s">
        <v>225</v>
      </c>
      <c r="DT30" s="19">
        <f t="shared" ref="DT30" ca="1" si="1383">SUM(DT$10:DT$28)</f>
        <v>-105748.39573652399</v>
      </c>
      <c r="DU30" s="44"/>
      <c r="DV30" s="44"/>
      <c r="DW30" s="1" t="s">
        <v>225</v>
      </c>
      <c r="DX30" s="19">
        <f t="shared" ref="DX30" ca="1" si="1384">SUM(DX$10:DX$28)</f>
        <v>-40454.795736523985</v>
      </c>
      <c r="DY30" s="44"/>
      <c r="DZ30" s="44"/>
      <c r="EA30" s="1" t="s">
        <v>225</v>
      </c>
      <c r="EB30" s="19">
        <f t="shared" ref="EB30" ca="1" si="1385">SUM(EB$10:EB$28)</f>
        <v>-40454.795736523985</v>
      </c>
      <c r="EC30" s="44"/>
      <c r="ED30" s="44"/>
      <c r="EE30" s="1" t="s">
        <v>225</v>
      </c>
      <c r="EF30" s="19">
        <f t="shared" ref="EF30" ca="1" si="1386">SUM(EF$10:EF$28)</f>
        <v>-112754.79573652399</v>
      </c>
      <c r="EG30" s="44"/>
      <c r="EH30" s="44"/>
      <c r="EI30" s="1" t="s">
        <v>225</v>
      </c>
      <c r="EJ30" s="19">
        <f t="shared" ref="EJ30" ca="1" si="1387">SUM(EJ$10:EJ$28)</f>
        <v>-44660.595736523988</v>
      </c>
      <c r="EK30" s="44"/>
      <c r="EL30" s="44"/>
      <c r="EM30" s="1" t="s">
        <v>225</v>
      </c>
      <c r="EN30" s="19">
        <f t="shared" ref="EN30" ca="1" si="1388">SUM(EN$10:EN$28)</f>
        <v>-44660.595736523988</v>
      </c>
      <c r="EO30" s="44"/>
      <c r="EP30" s="44"/>
      <c r="EQ30" s="1" t="s">
        <v>225</v>
      </c>
      <c r="ER30" s="19">
        <f t="shared" ref="ER30" ca="1" si="1389">SUM(ER$10:ER$28)</f>
        <v>-120060.595736524</v>
      </c>
      <c r="ES30" s="44"/>
      <c r="ET30" s="44"/>
      <c r="EU30" s="1" t="s">
        <v>225</v>
      </c>
      <c r="EV30" s="19">
        <f t="shared" ref="EV30" ca="1" si="1390">SUM(EV$10:EV$28)</f>
        <v>-44660.595736523988</v>
      </c>
      <c r="EW30" s="44"/>
      <c r="EX30" s="44"/>
      <c r="EY30" s="1" t="s">
        <v>225</v>
      </c>
      <c r="EZ30" s="19">
        <f t="shared" ref="EZ30" ca="1" si="1391">SUM(EZ$10:EZ$28)</f>
        <v>-44660.595736523988</v>
      </c>
      <c r="FA30" s="44"/>
      <c r="FB30" s="44"/>
      <c r="FC30" s="1" t="s">
        <v>225</v>
      </c>
      <c r="FD30" s="19">
        <f t="shared" ref="FD30" ca="1" si="1392">SUM(FD$10:FD$28)</f>
        <v>-126260.595736524</v>
      </c>
      <c r="FE30" s="44"/>
      <c r="FF30" s="44"/>
      <c r="FG30" s="1" t="s">
        <v>225</v>
      </c>
      <c r="FH30" s="19">
        <f t="shared" ref="FH30" ca="1" si="1393">SUM(FH$10:FH$28)</f>
        <v>-48866.395736523991</v>
      </c>
      <c r="FI30" s="44"/>
      <c r="FJ30" s="44"/>
      <c r="FK30" s="1" t="s">
        <v>225</v>
      </c>
      <c r="FL30" s="19">
        <f t="shared" ref="FL30" ca="1" si="1394">SUM(FL$10:FL$28)</f>
        <v>-48866.395736523991</v>
      </c>
      <c r="FM30" s="44"/>
      <c r="FN30" s="44"/>
      <c r="FO30" s="1" t="s">
        <v>225</v>
      </c>
      <c r="FP30" s="19">
        <f t="shared" ref="FP30" ca="1" si="1395">SUM(FP$10:FP$28)</f>
        <v>-133566.39573652399</v>
      </c>
      <c r="FQ30" s="44"/>
      <c r="FR30" s="44"/>
      <c r="FS30" s="1" t="s">
        <v>225</v>
      </c>
      <c r="FT30" s="19">
        <f t="shared" ref="FT30" ca="1" si="1396">SUM(FT$10:FT$28)</f>
        <v>-48866.395736523991</v>
      </c>
      <c r="FU30" s="44"/>
      <c r="FV30" s="44"/>
      <c r="FW30" s="1" t="s">
        <v>225</v>
      </c>
      <c r="FX30" s="19">
        <f t="shared" ref="FX30" ca="1" si="1397">SUM(FX$10:FX$28)</f>
        <v>-48866.395736523991</v>
      </c>
      <c r="FY30" s="44"/>
      <c r="FZ30" s="44"/>
      <c r="GA30" s="1" t="s">
        <v>225</v>
      </c>
      <c r="GB30" s="19">
        <f t="shared" ref="GB30" ca="1" si="1398">SUM(GB$10:GB$28)</f>
        <v>-136666.39573652399</v>
      </c>
      <c r="GC30" s="44"/>
      <c r="GD30" s="44"/>
      <c r="GE30" s="1" t="s">
        <v>225</v>
      </c>
      <c r="GF30" s="19">
        <f t="shared" ref="GF30" ca="1" si="1399">SUM(GF$10:GF$28)</f>
        <v>-48866.395736523991</v>
      </c>
      <c r="GG30" s="44"/>
      <c r="GH30" s="44"/>
      <c r="GI30" s="1" t="s">
        <v>225</v>
      </c>
      <c r="GJ30" s="19">
        <f t="shared" ref="GJ30" ca="1" si="1400">SUM(GJ$10:GJ$28)</f>
        <v>-53072.195736523987</v>
      </c>
      <c r="GK30" s="44"/>
      <c r="GL30" s="44"/>
      <c r="GM30" s="1" t="s">
        <v>225</v>
      </c>
      <c r="GN30" s="19">
        <f t="shared" ref="GN30" ca="1" si="1401">SUM(GN$10:GN$28)</f>
        <v>-147072.19573652398</v>
      </c>
      <c r="GO30" s="44"/>
      <c r="GP30" s="44"/>
      <c r="GQ30" s="1" t="s">
        <v>225</v>
      </c>
      <c r="GR30" s="19">
        <f t="shared" ref="GR30" ca="1" si="1402">SUM(GR$10:GR$28)</f>
        <v>-53072.195736523987</v>
      </c>
      <c r="GS30" s="44"/>
      <c r="GT30" s="44"/>
      <c r="GU30" s="1" t="s">
        <v>225</v>
      </c>
      <c r="GV30" s="19">
        <f t="shared" ref="GV30" ca="1" si="1403">SUM(GV$10:GV$28)</f>
        <v>-53072.195736523987</v>
      </c>
      <c r="GW30" s="44"/>
      <c r="GX30" s="44"/>
      <c r="GY30" s="1" t="s">
        <v>225</v>
      </c>
      <c r="GZ30" s="19">
        <f t="shared" ref="GZ30" ca="1" si="1404">SUM(GZ$10:GZ$28)</f>
        <v>-147072.19573652398</v>
      </c>
      <c r="HA30" s="44"/>
      <c r="HB30" s="44"/>
      <c r="HC30" s="1" t="s">
        <v>225</v>
      </c>
      <c r="HD30" s="19">
        <f t="shared" ref="HD30" ca="1" si="1405">SUM(HD$10:HD$28)</f>
        <v>-53072.195736523987</v>
      </c>
      <c r="HE30" s="44"/>
      <c r="HF30" s="44"/>
      <c r="HG30" s="1" t="s">
        <v>225</v>
      </c>
      <c r="HH30" s="19">
        <f t="shared" ref="HH30" ca="1" si="1406">SUM(HH$10:HH$28)</f>
        <v>-53072.195736523987</v>
      </c>
      <c r="HI30" s="44"/>
      <c r="HJ30" s="44"/>
      <c r="HK30" s="1" t="s">
        <v>225</v>
      </c>
      <c r="HL30" s="19">
        <f t="shared" ref="HL30" ca="1" si="1407">SUM(HL$10:HL$28)</f>
        <v>-160577.995736524</v>
      </c>
      <c r="HM30" s="44"/>
      <c r="HN30" s="44"/>
      <c r="HO30" s="1" t="s">
        <v>225</v>
      </c>
      <c r="HP30" s="19">
        <f t="shared" ref="HP30" ca="1" si="1408">SUM(HP$10:HP$28)</f>
        <v>-57277.99573652399</v>
      </c>
      <c r="HQ30" s="44"/>
      <c r="HR30" s="44"/>
      <c r="HS30" s="1" t="s">
        <v>225</v>
      </c>
      <c r="HT30" s="19">
        <f t="shared" ref="HT30" ca="1" si="1409">SUM(HT$10:HT$28)</f>
        <v>-57277.99573652399</v>
      </c>
      <c r="HU30" s="44"/>
      <c r="HV30" s="44"/>
      <c r="HW30" s="1" t="s">
        <v>225</v>
      </c>
      <c r="HX30" s="19">
        <f t="shared" ref="HX30" ca="1" si="1410">SUM(HX$10:HX$28)</f>
        <v>-160577.995736524</v>
      </c>
      <c r="HY30" s="44"/>
      <c r="HZ30" s="44"/>
      <c r="IA30" s="1" t="s">
        <v>225</v>
      </c>
      <c r="IB30" s="19">
        <f t="shared" ref="IB30" ca="1" si="1411">SUM(IB$10:IB$28)</f>
        <v>-57277.99573652399</v>
      </c>
      <c r="IC30" s="44"/>
      <c r="ID30" s="44"/>
      <c r="IE30" s="1" t="s">
        <v>225</v>
      </c>
      <c r="IF30" s="19">
        <f t="shared" ref="IF30" ca="1" si="1412">SUM(IF$10:IF$28)</f>
        <v>-57277.99573652399</v>
      </c>
      <c r="IG30" s="44"/>
      <c r="IH30" s="44"/>
      <c r="II30" s="1" t="s">
        <v>225</v>
      </c>
      <c r="IJ30" s="19">
        <f t="shared" ref="IJ30" ca="1" si="1413">SUM(IJ$10:IJ$28)</f>
        <v>-174083.79573652401</v>
      </c>
      <c r="IK30" s="44"/>
      <c r="IL30" s="44"/>
      <c r="IM30" s="1" t="s">
        <v>225</v>
      </c>
      <c r="IN30" s="19">
        <f t="shared" ref="IN30" ca="1" si="1414">SUM(IN$10:IN$28)</f>
        <v>-61483.795736523985</v>
      </c>
      <c r="IO30" s="44"/>
      <c r="IP30" s="44"/>
      <c r="IQ30" s="1" t="s">
        <v>225</v>
      </c>
      <c r="IR30" s="19">
        <f t="shared" ref="IR30" ca="1" si="1415">SUM(IR$10:IR$28)</f>
        <v>-61483.795736523985</v>
      </c>
      <c r="IS30" s="44"/>
      <c r="IT30" s="44"/>
      <c r="IU30" s="1" t="s">
        <v>225</v>
      </c>
      <c r="IV30" s="19">
        <f t="shared" ref="IV30" ca="1" si="1416">SUM(IV$10:IV$28)</f>
        <v>-174083.79573652401</v>
      </c>
      <c r="IW30" s="44"/>
      <c r="IX30" s="44"/>
      <c r="IY30" s="1" t="s">
        <v>225</v>
      </c>
      <c r="IZ30" s="19">
        <f t="shared" ref="IZ30" ca="1" si="1417">SUM(IZ$10:IZ$28)</f>
        <v>-61483.795736523985</v>
      </c>
      <c r="JA30" s="44"/>
      <c r="JB30" s="44"/>
      <c r="JC30" s="1" t="s">
        <v>225</v>
      </c>
      <c r="JD30" s="19">
        <f t="shared" ref="JD30" ca="1" si="1418">SUM(JD$10:JD$28)</f>
        <v>-61483.795736523985</v>
      </c>
      <c r="JE30" s="44"/>
      <c r="JF30" s="44"/>
      <c r="JG30" s="1" t="s">
        <v>225</v>
      </c>
      <c r="JH30" s="19">
        <f t="shared" ref="JH30" ca="1" si="1419">SUM(JH$10:JH$28)</f>
        <v>-180283.79573652401</v>
      </c>
      <c r="JI30" s="44"/>
      <c r="JJ30" s="44"/>
      <c r="JK30" s="1" t="s">
        <v>225</v>
      </c>
      <c r="JL30" s="19">
        <f t="shared" ref="JL30" ca="1" si="1420">SUM(JL$10:JL$28)</f>
        <v>-65689.595736523988</v>
      </c>
      <c r="JM30" s="44"/>
      <c r="JN30" s="44"/>
      <c r="JO30" s="1" t="s">
        <v>225</v>
      </c>
      <c r="JP30" s="19">
        <f t="shared" ref="JP30" ca="1" si="1421">SUM(JP$10:JP$28)</f>
        <v>-65689.595736523988</v>
      </c>
      <c r="JQ30" s="44"/>
      <c r="JR30" s="44"/>
      <c r="JS30" s="1" t="s">
        <v>225</v>
      </c>
      <c r="JT30" s="19">
        <f t="shared" ref="JT30" ca="1" si="1422">SUM(JT$10:JT$28)</f>
        <v>-187589.59573652397</v>
      </c>
      <c r="JU30" s="44"/>
      <c r="JV30" s="44"/>
      <c r="JW30" s="1" t="s">
        <v>225</v>
      </c>
      <c r="JX30" s="19">
        <f t="shared" ref="JX30" ca="1" si="1423">SUM(JX$10:JX$28)</f>
        <v>-65689.595736523988</v>
      </c>
      <c r="JY30" s="44"/>
      <c r="JZ30" s="44"/>
      <c r="KA30" s="1" t="s">
        <v>225</v>
      </c>
      <c r="KB30" s="19">
        <f t="shared" ref="KB30" ca="1" si="1424">SUM(KB$10:KB$28)</f>
        <v>-65689.595736523988</v>
      </c>
      <c r="KC30" s="44"/>
      <c r="KD30" s="44"/>
      <c r="KE30" s="1" t="s">
        <v>225</v>
      </c>
      <c r="KF30" s="19">
        <f t="shared" ref="KF30" ca="1" si="1425">SUM(KF$10:KF$28)</f>
        <v>-106989.59573652399</v>
      </c>
      <c r="KG30" s="44"/>
      <c r="KH30" s="44"/>
    </row>
    <row r="31" spans="1:294" x14ac:dyDescent="0.25">
      <c r="C31" s="1" t="s">
        <v>227</v>
      </c>
      <c r="D31" s="19">
        <f ca="1">D$7+D$30</f>
        <v>-104301.995736524</v>
      </c>
      <c r="G31" s="1" t="s">
        <v>227</v>
      </c>
      <c r="H31" s="19">
        <f ca="1">H$7+H$30</f>
        <v>7098.0042634760139</v>
      </c>
      <c r="I31" s="44"/>
      <c r="K31" s="1" t="s">
        <v>227</v>
      </c>
      <c r="L31" s="19">
        <f t="shared" ref="L31" ca="1" si="1426">L$7+L$30</f>
        <v>7098.0042634760139</v>
      </c>
      <c r="M31" s="44"/>
      <c r="N31" s="44"/>
      <c r="O31" s="1" t="s">
        <v>227</v>
      </c>
      <c r="P31" s="19">
        <f t="shared" ref="P31" ca="1" si="1427">P$7+P$30</f>
        <v>-21801.99573652399</v>
      </c>
      <c r="Q31" s="44"/>
      <c r="R31" s="44"/>
      <c r="S31" s="1" t="s">
        <v>227</v>
      </c>
      <c r="T31" s="19">
        <f t="shared" ref="T31" ca="1" si="1428">T$7+T$30</f>
        <v>7098.0042634760139</v>
      </c>
      <c r="U31" s="44"/>
      <c r="V31" s="44"/>
      <c r="W31" s="1" t="s">
        <v>227</v>
      </c>
      <c r="X31" s="19">
        <f t="shared" ref="X31" ca="1" si="1429">X$7+X$30</f>
        <v>7098.0042634760139</v>
      </c>
      <c r="Y31" s="44"/>
      <c r="Z31" s="44"/>
      <c r="AA31" s="1" t="s">
        <v>227</v>
      </c>
      <c r="AB31" s="19">
        <f t="shared" ref="AB31" ca="1" si="1430">AB$7+AB$30</f>
        <v>-28952.395736523991</v>
      </c>
      <c r="AC31" s="44"/>
      <c r="AD31" s="44"/>
      <c r="AE31" s="1" t="s">
        <v>227</v>
      </c>
      <c r="AF31" s="19">
        <f t="shared" ref="AF31" ca="1" si="1431">AF$7+AF$30</f>
        <v>11868.204263476011</v>
      </c>
      <c r="AG31" s="44"/>
      <c r="AH31" s="44"/>
      <c r="AI31" s="1" t="s">
        <v>227</v>
      </c>
      <c r="AJ31" s="19">
        <f t="shared" ref="AJ31" ca="1" si="1432">AJ$7+AJ$30</f>
        <v>11868.204263476011</v>
      </c>
      <c r="AK31" s="44"/>
      <c r="AL31" s="44"/>
      <c r="AM31" s="1" t="s">
        <v>227</v>
      </c>
      <c r="AN31" s="19">
        <f t="shared" ref="AN31" ca="1" si="1433">AN$7+AN$30</f>
        <v>-26331.795736523985</v>
      </c>
      <c r="AO31" s="44"/>
      <c r="AP31" s="44"/>
      <c r="AQ31" s="1" t="s">
        <v>227</v>
      </c>
      <c r="AR31" s="19">
        <f t="shared" ref="AR31" ca="1" si="1434">AR$7+AR$30</f>
        <v>11868.204263476011</v>
      </c>
      <c r="AS31" s="44"/>
      <c r="AT31" s="44"/>
      <c r="AU31" s="1" t="s">
        <v>227</v>
      </c>
      <c r="AV31" s="19">
        <f t="shared" ref="AV31" ca="1" si="1435">AV$7+AV$30</f>
        <v>11023.404263476012</v>
      </c>
      <c r="AW31" s="44"/>
      <c r="AX31" s="44"/>
      <c r="AY31" s="1" t="s">
        <v>227</v>
      </c>
      <c r="AZ31" s="19">
        <f t="shared" ref="AZ31" ca="1" si="1436">AZ$7+AZ$30</f>
        <v>-30276.595736523988</v>
      </c>
      <c r="BA31" s="44"/>
      <c r="BB31" s="44"/>
      <c r="BC31" s="1" t="s">
        <v>227</v>
      </c>
      <c r="BD31" s="19">
        <f t="shared" ref="BD31" ca="1" si="1437">BD$7+BD$30</f>
        <v>11023.404263476012</v>
      </c>
      <c r="BE31" s="44"/>
      <c r="BF31" s="44"/>
      <c r="BG31" s="1" t="s">
        <v>227</v>
      </c>
      <c r="BH31" s="19">
        <f t="shared" ref="BH31" ca="1" si="1438">BH$7+BH$30</f>
        <v>16532.804263476013</v>
      </c>
      <c r="BI31" s="44"/>
      <c r="BJ31" s="44"/>
      <c r="BK31" s="1" t="s">
        <v>227</v>
      </c>
      <c r="BL31" s="19">
        <f t="shared" ref="BL31" ca="1" si="1439">BL$7+BL$30</f>
        <v>-30967.19573652398</v>
      </c>
      <c r="BM31" s="44"/>
      <c r="BN31" s="44"/>
      <c r="BO31" s="1" t="s">
        <v>227</v>
      </c>
      <c r="BP31" s="19">
        <f t="shared" ref="BP31" ca="1" si="1440">BP$7+BP$30</f>
        <v>16532.804263476013</v>
      </c>
      <c r="BQ31" s="44"/>
      <c r="BR31" s="44"/>
      <c r="BS31" s="1" t="s">
        <v>227</v>
      </c>
      <c r="BT31" s="19">
        <f t="shared" ref="BT31" ca="1" si="1441">BT$7+BT$30</f>
        <v>16532.804263476013</v>
      </c>
      <c r="BU31" s="44"/>
      <c r="BV31" s="44"/>
      <c r="BW31" s="1" t="s">
        <v>227</v>
      </c>
      <c r="BX31" s="19">
        <f t="shared" ref="BX31" ca="1" si="1442">BX$7+BX$30</f>
        <v>-34067.19573652398</v>
      </c>
      <c r="BY31" s="44"/>
      <c r="BZ31" s="44"/>
      <c r="CA31" s="1" t="s">
        <v>227</v>
      </c>
      <c r="CB31" s="19">
        <f t="shared" ref="CB31" ca="1" si="1443">CB$7+CB$30</f>
        <v>16532.804263476013</v>
      </c>
      <c r="CC31" s="44"/>
      <c r="CD31" s="44"/>
      <c r="CE31" s="1" t="s">
        <v>227</v>
      </c>
      <c r="CF31" s="19">
        <f t="shared" ref="CF31" ca="1" si="1444">CF$7+CF$30</f>
        <v>22042.204263476015</v>
      </c>
      <c r="CG31" s="44"/>
      <c r="CH31" s="44"/>
      <c r="CI31" s="1" t="s">
        <v>227</v>
      </c>
      <c r="CJ31" s="19">
        <f t="shared" ref="CJ31" ca="1" si="1445">CJ$7+CJ$30</f>
        <v>-34757.795736524</v>
      </c>
      <c r="CK31" s="44"/>
      <c r="CL31" s="44"/>
      <c r="CM31" s="1" t="s">
        <v>227</v>
      </c>
      <c r="CN31" s="19">
        <f t="shared" ref="CN31" ca="1" si="1446">CN$7+CN$30</f>
        <v>22042.204263476015</v>
      </c>
      <c r="CO31" s="44"/>
      <c r="CP31" s="44"/>
      <c r="CQ31" s="1" t="s">
        <v>227</v>
      </c>
      <c r="CR31" s="19">
        <f t="shared" ref="CR31" ca="1" si="1447">CR$7+CR$30</f>
        <v>22042.204263476015</v>
      </c>
      <c r="CS31" s="44"/>
      <c r="CT31" s="44"/>
      <c r="CU31" s="1" t="s">
        <v>227</v>
      </c>
      <c r="CV31" s="19">
        <f t="shared" ref="CV31" ca="1" si="1448">CV$7+CV$30</f>
        <v>-34757.795736524</v>
      </c>
      <c r="CW31" s="44"/>
      <c r="CX31" s="44"/>
      <c r="CY31" s="1" t="s">
        <v>227</v>
      </c>
      <c r="CZ31" s="19">
        <f t="shared" ref="CZ31" ca="1" si="1449">CZ$7+CZ$30</f>
        <v>22042.204263476015</v>
      </c>
      <c r="DA31" s="44"/>
      <c r="DB31" s="44"/>
      <c r="DC31" s="1" t="s">
        <v>227</v>
      </c>
      <c r="DD31" s="19">
        <f t="shared" ref="DD31" ca="1" si="1450">DD$7+DD$30</f>
        <v>22042.204263476015</v>
      </c>
      <c r="DE31" s="44"/>
      <c r="DF31" s="44"/>
      <c r="DG31" s="1" t="s">
        <v>227</v>
      </c>
      <c r="DH31" s="19">
        <f t="shared" ref="DH31" ca="1" si="1451">DH$7+DH$30</f>
        <v>-38548.395736523991</v>
      </c>
      <c r="DI31" s="44"/>
      <c r="DJ31" s="44"/>
      <c r="DK31" s="1" t="s">
        <v>227</v>
      </c>
      <c r="DL31" s="19">
        <f t="shared" ref="DL31" ca="1" si="1452">DL$7+DL$30</f>
        <v>27551.604263476009</v>
      </c>
      <c r="DM31" s="44"/>
      <c r="DN31" s="44"/>
      <c r="DO31" s="1" t="s">
        <v>227</v>
      </c>
      <c r="DP31" s="19">
        <f t="shared" ref="DP31" ca="1" si="1453">DP$7+DP$30</f>
        <v>27551.604263476009</v>
      </c>
      <c r="DQ31" s="44"/>
      <c r="DR31" s="44"/>
      <c r="DS31" s="1" t="s">
        <v>227</v>
      </c>
      <c r="DT31" s="19">
        <f t="shared" ref="DT31" ca="1" si="1454">DT$7+DT$30</f>
        <v>-38548.395736523991</v>
      </c>
      <c r="DU31" s="44"/>
      <c r="DV31" s="44"/>
      <c r="DW31" s="1" t="s">
        <v>227</v>
      </c>
      <c r="DX31" s="19">
        <f t="shared" ref="DX31" ca="1" si="1455">DX$7+DX$30</f>
        <v>26745.204263476015</v>
      </c>
      <c r="DY31" s="44"/>
      <c r="DZ31" s="44"/>
      <c r="EA31" s="1" t="s">
        <v>227</v>
      </c>
      <c r="EB31" s="19">
        <f t="shared" ref="EB31" ca="1" si="1456">EB$7+EB$30</f>
        <v>26745.204263476015</v>
      </c>
      <c r="EC31" s="44"/>
      <c r="ED31" s="44"/>
      <c r="EE31" s="1" t="s">
        <v>227</v>
      </c>
      <c r="EF31" s="19">
        <f t="shared" ref="EF31" ca="1" si="1457">EF$7+EF$30</f>
        <v>-45554.795736523985</v>
      </c>
      <c r="EG31" s="44"/>
      <c r="EH31" s="44"/>
      <c r="EI31" s="1" t="s">
        <v>227</v>
      </c>
      <c r="EJ31" s="19">
        <f t="shared" ref="EJ31" ca="1" si="1458">EJ$7+EJ$30</f>
        <v>32139.404263476012</v>
      </c>
      <c r="EK31" s="44"/>
      <c r="EL31" s="44"/>
      <c r="EM31" s="1" t="s">
        <v>227</v>
      </c>
      <c r="EN31" s="19">
        <f t="shared" ref="EN31" ca="1" si="1459">EN$7+EN$30</f>
        <v>32139.404263476012</v>
      </c>
      <c r="EO31" s="44"/>
      <c r="EP31" s="44"/>
      <c r="EQ31" s="1" t="s">
        <v>227</v>
      </c>
      <c r="ER31" s="19">
        <f t="shared" ref="ER31" ca="1" si="1460">ER$7+ER$30</f>
        <v>-43260.595736524003</v>
      </c>
      <c r="ES31" s="44"/>
      <c r="ET31" s="44"/>
      <c r="EU31" s="1" t="s">
        <v>227</v>
      </c>
      <c r="EV31" s="19">
        <f t="shared" ref="EV31" ca="1" si="1461">EV$7+EV$30</f>
        <v>32139.404263476012</v>
      </c>
      <c r="EW31" s="44"/>
      <c r="EX31" s="44"/>
      <c r="EY31" s="1" t="s">
        <v>227</v>
      </c>
      <c r="EZ31" s="19">
        <f t="shared" ref="EZ31" ca="1" si="1462">EZ$7+EZ$30</f>
        <v>32139.404263476012</v>
      </c>
      <c r="FA31" s="44"/>
      <c r="FB31" s="44"/>
      <c r="FC31" s="1" t="s">
        <v>227</v>
      </c>
      <c r="FD31" s="19">
        <f t="shared" ref="FD31" ca="1" si="1463">FD$7+FD$30</f>
        <v>-49460.595736524003</v>
      </c>
      <c r="FE31" s="44"/>
      <c r="FF31" s="44"/>
      <c r="FG31" s="1" t="s">
        <v>227</v>
      </c>
      <c r="FH31" s="19">
        <f t="shared" ref="FH31" ca="1" si="1464">FH$7+FH$30</f>
        <v>37533.604263476009</v>
      </c>
      <c r="FI31" s="44"/>
      <c r="FJ31" s="44"/>
      <c r="FK31" s="1" t="s">
        <v>227</v>
      </c>
      <c r="FL31" s="19">
        <f t="shared" ref="FL31" ca="1" si="1465">FL$7+FL$30</f>
        <v>37533.604263476009</v>
      </c>
      <c r="FM31" s="44"/>
      <c r="FN31" s="44"/>
      <c r="FO31" s="1" t="s">
        <v>227</v>
      </c>
      <c r="FP31" s="19">
        <f t="shared" ref="FP31" ca="1" si="1466">FP$7+FP$30</f>
        <v>-47166.395736523991</v>
      </c>
      <c r="FQ31" s="44"/>
      <c r="FR31" s="44"/>
      <c r="FS31" s="1" t="s">
        <v>227</v>
      </c>
      <c r="FT31" s="19">
        <f t="shared" ref="FT31" ca="1" si="1467">FT$7+FT$30</f>
        <v>37533.604263476009</v>
      </c>
      <c r="FU31" s="44"/>
      <c r="FV31" s="44"/>
      <c r="FW31" s="1" t="s">
        <v>227</v>
      </c>
      <c r="FX31" s="19">
        <f t="shared" ref="FX31" ca="1" si="1468">FX$7+FX$30</f>
        <v>37533.604263476009</v>
      </c>
      <c r="FY31" s="44"/>
      <c r="FZ31" s="44"/>
      <c r="GA31" s="1" t="s">
        <v>227</v>
      </c>
      <c r="GB31" s="19">
        <f t="shared" ref="GB31" ca="1" si="1469">GB$7+GB$30</f>
        <v>-50266.395736523991</v>
      </c>
      <c r="GC31" s="44"/>
      <c r="GD31" s="44"/>
      <c r="GE31" s="1" t="s">
        <v>227</v>
      </c>
      <c r="GF31" s="19">
        <f t="shared" ref="GF31" ca="1" si="1470">GF$7+GF$30</f>
        <v>37533.604263476009</v>
      </c>
      <c r="GG31" s="44"/>
      <c r="GH31" s="44"/>
      <c r="GI31" s="1" t="s">
        <v>227</v>
      </c>
      <c r="GJ31" s="19">
        <f t="shared" ref="GJ31" ca="1" si="1471">GJ$7+GJ$30</f>
        <v>42927.804263476013</v>
      </c>
      <c r="GK31" s="44"/>
      <c r="GL31" s="44"/>
      <c r="GM31" s="1" t="s">
        <v>227</v>
      </c>
      <c r="GN31" s="19">
        <f t="shared" ref="GN31" ca="1" si="1472">GN$7+GN$30</f>
        <v>-51072.19573652398</v>
      </c>
      <c r="GO31" s="44"/>
      <c r="GP31" s="44"/>
      <c r="GQ31" s="1" t="s">
        <v>227</v>
      </c>
      <c r="GR31" s="19">
        <f t="shared" ref="GR31" ca="1" si="1473">GR$7+GR$30</f>
        <v>42927.804263476013</v>
      </c>
      <c r="GS31" s="44"/>
      <c r="GT31" s="44"/>
      <c r="GU31" s="1" t="s">
        <v>227</v>
      </c>
      <c r="GV31" s="19">
        <f t="shared" ref="GV31" ca="1" si="1474">GV$7+GV$30</f>
        <v>42927.804263476013</v>
      </c>
      <c r="GW31" s="44"/>
      <c r="GX31" s="44"/>
      <c r="GY31" s="1" t="s">
        <v>227</v>
      </c>
      <c r="GZ31" s="19">
        <f t="shared" ref="GZ31" ca="1" si="1475">GZ$7+GZ$30</f>
        <v>-51072.19573652398</v>
      </c>
      <c r="HA31" s="44"/>
      <c r="HB31" s="44"/>
      <c r="HC31" s="1" t="s">
        <v>227</v>
      </c>
      <c r="HD31" s="19">
        <f t="shared" ref="HD31" ca="1" si="1476">HD$7+HD$30</f>
        <v>42927.804263476013</v>
      </c>
      <c r="HE31" s="44"/>
      <c r="HF31" s="44"/>
      <c r="HG31" s="1" t="s">
        <v>227</v>
      </c>
      <c r="HH31" s="19">
        <f t="shared" ref="HH31" ca="1" si="1477">HH$7+HH$30</f>
        <v>42927.804263476013</v>
      </c>
      <c r="HI31" s="44"/>
      <c r="HJ31" s="44"/>
      <c r="HK31" s="1" t="s">
        <v>227</v>
      </c>
      <c r="HL31" s="19">
        <f t="shared" ref="HL31" ca="1" si="1478">HL$7+HL$30</f>
        <v>-54977.995736523997</v>
      </c>
      <c r="HM31" s="44"/>
      <c r="HN31" s="44"/>
      <c r="HO31" s="1" t="s">
        <v>227</v>
      </c>
      <c r="HP31" s="19">
        <f t="shared" ref="HP31" ca="1" si="1479">HP$7+HP$30</f>
        <v>48322.00426347601</v>
      </c>
      <c r="HQ31" s="44"/>
      <c r="HR31" s="44"/>
      <c r="HS31" s="1" t="s">
        <v>227</v>
      </c>
      <c r="HT31" s="19">
        <f t="shared" ref="HT31" ca="1" si="1480">HT$7+HT$30</f>
        <v>48322.00426347601</v>
      </c>
      <c r="HU31" s="44"/>
      <c r="HV31" s="44"/>
      <c r="HW31" s="1" t="s">
        <v>227</v>
      </c>
      <c r="HX31" s="19">
        <f t="shared" ref="HX31" ca="1" si="1481">HX$7+HX$30</f>
        <v>-54977.995736523997</v>
      </c>
      <c r="HY31" s="44"/>
      <c r="HZ31" s="44"/>
      <c r="IA31" s="1" t="s">
        <v>227</v>
      </c>
      <c r="IB31" s="19">
        <f t="shared" ref="IB31" ca="1" si="1482">IB$7+IB$30</f>
        <v>48322.00426347601</v>
      </c>
      <c r="IC31" s="44"/>
      <c r="ID31" s="44"/>
      <c r="IE31" s="1" t="s">
        <v>227</v>
      </c>
      <c r="IF31" s="19">
        <f t="shared" ref="IF31" ca="1" si="1483">IF$7+IF$30</f>
        <v>48322.00426347601</v>
      </c>
      <c r="IG31" s="44"/>
      <c r="IH31" s="44"/>
      <c r="II31" s="1" t="s">
        <v>227</v>
      </c>
      <c r="IJ31" s="19">
        <f t="shared" ref="IJ31" ca="1" si="1484">IJ$7+IJ$30</f>
        <v>-58883.795736524015</v>
      </c>
      <c r="IK31" s="44"/>
      <c r="IL31" s="44"/>
      <c r="IM31" s="1" t="s">
        <v>227</v>
      </c>
      <c r="IN31" s="19">
        <f t="shared" ref="IN31" ca="1" si="1485">IN$7+IN$30</f>
        <v>53716.204263476015</v>
      </c>
      <c r="IO31" s="44"/>
      <c r="IP31" s="44"/>
      <c r="IQ31" s="1" t="s">
        <v>227</v>
      </c>
      <c r="IR31" s="19">
        <f t="shared" ref="IR31" ca="1" si="1486">IR$7+IR$30</f>
        <v>53716.204263476015</v>
      </c>
      <c r="IS31" s="44"/>
      <c r="IT31" s="44"/>
      <c r="IU31" s="1" t="s">
        <v>227</v>
      </c>
      <c r="IV31" s="19">
        <f t="shared" ref="IV31" ca="1" si="1487">IV$7+IV$30</f>
        <v>-58883.795736524015</v>
      </c>
      <c r="IW31" s="44"/>
      <c r="IX31" s="44"/>
      <c r="IY31" s="1" t="s">
        <v>227</v>
      </c>
      <c r="IZ31" s="19">
        <f t="shared" ref="IZ31" ca="1" si="1488">IZ$7+IZ$30</f>
        <v>53716.204263476015</v>
      </c>
      <c r="JA31" s="44"/>
      <c r="JB31" s="44"/>
      <c r="JC31" s="1" t="s">
        <v>227</v>
      </c>
      <c r="JD31" s="19">
        <f t="shared" ref="JD31" ca="1" si="1489">JD$7+JD$30</f>
        <v>53716.204263476015</v>
      </c>
      <c r="JE31" s="44"/>
      <c r="JF31" s="44"/>
      <c r="JG31" s="1" t="s">
        <v>227</v>
      </c>
      <c r="JH31" s="19">
        <f t="shared" ref="JH31" ca="1" si="1490">JH$7+JH$30</f>
        <v>-65083.795736524015</v>
      </c>
      <c r="JI31" s="44"/>
      <c r="JJ31" s="44"/>
      <c r="JK31" s="1" t="s">
        <v>227</v>
      </c>
      <c r="JL31" s="19">
        <f t="shared" ref="JL31" ca="1" si="1491">JL$7+JL$30</f>
        <v>59110.404263476012</v>
      </c>
      <c r="JM31" s="44"/>
      <c r="JN31" s="44"/>
      <c r="JO31" s="1" t="s">
        <v>227</v>
      </c>
      <c r="JP31" s="19">
        <f t="shared" ref="JP31" ca="1" si="1492">JP$7+JP$30</f>
        <v>59110.404263476012</v>
      </c>
      <c r="JQ31" s="44"/>
      <c r="JR31" s="44"/>
      <c r="JS31" s="1" t="s">
        <v>227</v>
      </c>
      <c r="JT31" s="19">
        <f t="shared" ref="JT31" ca="1" si="1493">JT$7+JT$30</f>
        <v>-62789.595736523974</v>
      </c>
      <c r="JU31" s="44"/>
      <c r="JV31" s="44"/>
      <c r="JW31" s="1" t="s">
        <v>227</v>
      </c>
      <c r="JX31" s="19">
        <f t="shared" ref="JX31" ca="1" si="1494">JX$7+JX$30</f>
        <v>59110.404263476012</v>
      </c>
      <c r="JY31" s="44"/>
      <c r="JZ31" s="44"/>
      <c r="KA31" s="1" t="s">
        <v>227</v>
      </c>
      <c r="KB31" s="19">
        <f t="shared" ref="KB31" ca="1" si="1495">KB$7+KB$30</f>
        <v>59110.404263476012</v>
      </c>
      <c r="KC31" s="44"/>
      <c r="KD31" s="44"/>
      <c r="KE31" s="1" t="s">
        <v>227</v>
      </c>
      <c r="KF31" s="19">
        <f t="shared" ref="KF31" ca="1" si="1496">KF$7+KF$30</f>
        <v>17810.404263476012</v>
      </c>
      <c r="KG31" s="44"/>
      <c r="KH31" s="44"/>
    </row>
    <row r="32" spans="1:294" x14ac:dyDescent="0.25">
      <c r="H32" s="44"/>
      <c r="I32" s="44"/>
      <c r="K32" s="37"/>
      <c r="L32" s="44"/>
      <c r="M32" s="44"/>
      <c r="N32" s="44"/>
      <c r="O32" s="37"/>
      <c r="P32" s="44"/>
      <c r="Q32" s="44"/>
      <c r="R32" s="44"/>
      <c r="S32" s="37"/>
      <c r="T32" s="44"/>
      <c r="U32" s="44"/>
      <c r="V32" s="44"/>
      <c r="W32" s="37"/>
      <c r="X32" s="44"/>
      <c r="Y32" s="44"/>
      <c r="Z32" s="44"/>
      <c r="AA32" s="37"/>
      <c r="AB32" s="44"/>
      <c r="AC32" s="44"/>
      <c r="AD32" s="44"/>
      <c r="AE32" s="37"/>
      <c r="AF32" s="44"/>
      <c r="AG32" s="44"/>
      <c r="AH32" s="44"/>
      <c r="AI32" s="37"/>
      <c r="AJ32" s="44"/>
      <c r="AK32" s="44"/>
      <c r="AL32" s="44"/>
      <c r="AM32" s="37"/>
      <c r="AN32" s="44"/>
      <c r="AO32" s="44"/>
      <c r="AP32" s="44"/>
      <c r="AQ32" s="37"/>
      <c r="AR32" s="44"/>
      <c r="AS32" s="44"/>
      <c r="AT32" s="44"/>
      <c r="AU32" s="37"/>
      <c r="AV32" s="44"/>
      <c r="AW32" s="44"/>
      <c r="AX32" s="44"/>
      <c r="AY32" s="37"/>
      <c r="AZ32" s="44"/>
      <c r="BA32" s="44"/>
      <c r="BB32" s="44"/>
      <c r="BC32" s="37"/>
      <c r="BD32" s="44"/>
      <c r="BE32" s="44"/>
      <c r="BF32" s="44"/>
      <c r="BG32" s="37"/>
      <c r="BH32" s="44"/>
      <c r="BI32" s="44"/>
      <c r="BJ32" s="44"/>
      <c r="BK32" s="37"/>
      <c r="BL32" s="44"/>
      <c r="BM32" s="44"/>
      <c r="BN32" s="44"/>
      <c r="BO32" s="37"/>
      <c r="BP32" s="44"/>
      <c r="BQ32" s="44"/>
      <c r="BR32" s="44"/>
      <c r="BS32" s="37"/>
      <c r="BT32" s="44"/>
      <c r="BU32" s="44"/>
      <c r="BV32" s="44"/>
      <c r="BW32" s="37"/>
      <c r="BX32" s="44"/>
      <c r="BY32" s="44"/>
      <c r="BZ32" s="44"/>
      <c r="CA32" s="37"/>
      <c r="CB32" s="44"/>
      <c r="CC32" s="44"/>
      <c r="CD32" s="44"/>
      <c r="CE32" s="37"/>
      <c r="CF32" s="44"/>
      <c r="CG32" s="44"/>
      <c r="CH32" s="44"/>
      <c r="CI32" s="37"/>
      <c r="CJ32" s="44"/>
      <c r="CK32" s="44"/>
      <c r="CL32" s="44"/>
      <c r="CM32" s="37"/>
      <c r="CN32" s="44"/>
      <c r="CO32" s="44"/>
      <c r="CP32" s="44"/>
      <c r="CQ32" s="37"/>
      <c r="CR32" s="44"/>
      <c r="CS32" s="44"/>
      <c r="CT32" s="44"/>
      <c r="CU32" s="37"/>
      <c r="CV32" s="44"/>
      <c r="CW32" s="44"/>
      <c r="CX32" s="44"/>
      <c r="CY32" s="37"/>
      <c r="CZ32" s="44"/>
      <c r="DA32" s="44"/>
      <c r="DB32" s="44"/>
      <c r="DC32" s="37"/>
      <c r="DD32" s="44"/>
      <c r="DE32" s="44"/>
      <c r="DF32" s="44"/>
      <c r="DG32" s="37"/>
      <c r="DH32" s="44"/>
      <c r="DI32" s="44"/>
      <c r="DJ32" s="44"/>
      <c r="DK32" s="37"/>
      <c r="DL32" s="44"/>
      <c r="DM32" s="44"/>
      <c r="DN32" s="44"/>
      <c r="DO32" s="37"/>
      <c r="DP32" s="44"/>
      <c r="DQ32" s="44"/>
      <c r="DR32" s="44"/>
      <c r="DS32" s="37"/>
      <c r="DT32" s="44"/>
      <c r="DU32" s="44"/>
      <c r="DV32" s="44"/>
      <c r="DW32" s="37"/>
      <c r="DX32" s="44"/>
      <c r="DY32" s="44"/>
      <c r="DZ32" s="44"/>
      <c r="EA32" s="37"/>
      <c r="EB32" s="44"/>
      <c r="EC32" s="44"/>
      <c r="ED32" s="44"/>
      <c r="EE32" s="37"/>
      <c r="EF32" s="44"/>
      <c r="EG32" s="44"/>
      <c r="EH32" s="44"/>
      <c r="EI32" s="37"/>
      <c r="EJ32" s="44"/>
      <c r="EK32" s="44"/>
      <c r="EL32" s="44"/>
      <c r="EM32" s="37"/>
      <c r="EN32" s="44"/>
      <c r="EO32" s="44"/>
      <c r="EP32" s="44"/>
      <c r="EQ32" s="37"/>
      <c r="ER32" s="44"/>
      <c r="ES32" s="44"/>
      <c r="ET32" s="44"/>
      <c r="EU32" s="37"/>
      <c r="EV32" s="44"/>
      <c r="EW32" s="44"/>
      <c r="EX32" s="44"/>
      <c r="EY32" s="37"/>
      <c r="EZ32" s="44"/>
      <c r="FA32" s="44"/>
      <c r="FB32" s="44"/>
      <c r="FC32" s="37"/>
      <c r="FD32" s="44"/>
      <c r="FE32" s="44"/>
      <c r="FF32" s="44"/>
      <c r="FG32" s="37"/>
      <c r="FH32" s="44"/>
      <c r="FI32" s="44"/>
      <c r="FJ32" s="44"/>
      <c r="FK32" s="37"/>
      <c r="FL32" s="44"/>
      <c r="FM32" s="44"/>
      <c r="FN32" s="44"/>
      <c r="FO32" s="37"/>
      <c r="FP32" s="44"/>
      <c r="FQ32" s="44"/>
      <c r="FR32" s="44"/>
      <c r="FS32" s="37"/>
      <c r="FT32" s="44"/>
      <c r="FU32" s="44"/>
      <c r="FV32" s="44"/>
      <c r="FW32" s="37"/>
      <c r="FX32" s="44"/>
      <c r="FY32" s="44"/>
      <c r="FZ32" s="44"/>
      <c r="GA32" s="37"/>
      <c r="GB32" s="44"/>
      <c r="GC32" s="44"/>
      <c r="GD32" s="44"/>
      <c r="GE32" s="37"/>
      <c r="GF32" s="44"/>
      <c r="GG32" s="44"/>
      <c r="GH32" s="44"/>
      <c r="GI32" s="37"/>
      <c r="GJ32" s="44"/>
      <c r="GK32" s="44"/>
      <c r="GL32" s="44"/>
      <c r="GM32" s="37"/>
      <c r="GN32" s="44"/>
      <c r="GO32" s="44"/>
      <c r="GP32" s="44"/>
      <c r="GQ32" s="37"/>
      <c r="GR32" s="44"/>
      <c r="GS32" s="44"/>
      <c r="GT32" s="44"/>
      <c r="GU32" s="37"/>
      <c r="GV32" s="44"/>
      <c r="GW32" s="44"/>
      <c r="GX32" s="44"/>
      <c r="GY32" s="37"/>
      <c r="GZ32" s="44"/>
      <c r="HA32" s="44"/>
      <c r="HB32" s="44"/>
      <c r="HC32" s="37"/>
      <c r="HD32" s="44"/>
      <c r="HE32" s="44"/>
      <c r="HF32" s="44"/>
      <c r="HG32" s="37"/>
      <c r="HH32" s="44"/>
      <c r="HI32" s="44"/>
      <c r="HJ32" s="44"/>
      <c r="HK32" s="37"/>
      <c r="HL32" s="44"/>
      <c r="HM32" s="44"/>
      <c r="HN32" s="44"/>
      <c r="HO32" s="37"/>
      <c r="HP32" s="44"/>
      <c r="HQ32" s="44"/>
      <c r="HR32" s="44"/>
      <c r="HS32" s="37"/>
      <c r="HT32" s="44"/>
      <c r="HU32" s="44"/>
      <c r="HV32" s="44"/>
      <c r="HW32" s="37"/>
      <c r="HX32" s="44"/>
      <c r="HY32" s="44"/>
      <c r="HZ32" s="44"/>
      <c r="IA32" s="37"/>
      <c r="IB32" s="44"/>
      <c r="IC32" s="44"/>
      <c r="ID32" s="44"/>
      <c r="IE32" s="37"/>
      <c r="IF32" s="44"/>
      <c r="IG32" s="44"/>
      <c r="IH32" s="44"/>
      <c r="II32" s="37"/>
      <c r="IJ32" s="44"/>
      <c r="IK32" s="44"/>
      <c r="IL32" s="44"/>
      <c r="IM32" s="37"/>
      <c r="IN32" s="44"/>
      <c r="IO32" s="44"/>
      <c r="IP32" s="44"/>
      <c r="IQ32" s="37"/>
      <c r="IR32" s="44"/>
      <c r="IS32" s="44"/>
      <c r="IT32" s="44"/>
      <c r="IU32" s="37"/>
      <c r="IV32" s="44"/>
      <c r="IW32" s="44"/>
      <c r="IX32" s="44"/>
      <c r="IY32" s="37"/>
      <c r="IZ32" s="44"/>
      <c r="JA32" s="44"/>
      <c r="JB32" s="44"/>
      <c r="JC32" s="37"/>
      <c r="JD32" s="44"/>
      <c r="JE32" s="44"/>
      <c r="JF32" s="44"/>
      <c r="JG32" s="37"/>
      <c r="JH32" s="44"/>
      <c r="JI32" s="44"/>
      <c r="JJ32" s="44"/>
      <c r="JK32" s="37"/>
      <c r="JL32" s="44"/>
      <c r="JM32" s="44"/>
      <c r="JN32" s="44"/>
      <c r="JO32" s="37"/>
      <c r="JP32" s="44"/>
      <c r="JQ32" s="44"/>
      <c r="JR32" s="44"/>
      <c r="JS32" s="37"/>
      <c r="JT32" s="44"/>
      <c r="JU32" s="44"/>
      <c r="JV32" s="44"/>
      <c r="JW32" s="37"/>
      <c r="JX32" s="44"/>
      <c r="JY32" s="44"/>
      <c r="JZ32" s="44"/>
      <c r="KA32" s="37"/>
      <c r="KB32" s="44"/>
      <c r="KC32" s="44"/>
      <c r="KD32" s="44"/>
      <c r="KE32" s="37"/>
      <c r="KF32" s="44"/>
      <c r="KG32" s="44"/>
      <c r="KH32" s="44"/>
    </row>
    <row r="33" spans="1:294" x14ac:dyDescent="0.25">
      <c r="C33" s="1" t="s">
        <v>221</v>
      </c>
      <c r="D33" s="63">
        <f ca="1">D$31</f>
        <v>-104301.995736524</v>
      </c>
      <c r="G33" s="1" t="s">
        <v>221</v>
      </c>
      <c r="H33" s="63">
        <f ca="1">D$33+H31</f>
        <v>-97203.99147304798</v>
      </c>
      <c r="I33" s="44"/>
      <c r="K33" s="1" t="s">
        <v>221</v>
      </c>
      <c r="L33" s="63">
        <f t="shared" ref="L33" ca="1" si="1497">H$33+L31</f>
        <v>-90105.987209571962</v>
      </c>
      <c r="M33" s="44"/>
      <c r="N33" s="44"/>
      <c r="O33" s="1" t="s">
        <v>221</v>
      </c>
      <c r="P33" s="63">
        <f t="shared" ref="P33" ca="1" si="1498">L$33+P31</f>
        <v>-111907.98294609596</v>
      </c>
      <c r="Q33" s="44"/>
      <c r="R33" s="44"/>
      <c r="S33" s="1" t="s">
        <v>221</v>
      </c>
      <c r="T33" s="63">
        <f t="shared" ref="T33" ca="1" si="1499">P$33+T31</f>
        <v>-104809.97868261994</v>
      </c>
      <c r="U33" s="44"/>
      <c r="V33" s="44"/>
      <c r="W33" s="1" t="s">
        <v>221</v>
      </c>
      <c r="X33" s="63">
        <f t="shared" ref="X33" ca="1" si="1500">T$33+X31</f>
        <v>-97711.974419143924</v>
      </c>
      <c r="Y33" s="44"/>
      <c r="Z33" s="44"/>
      <c r="AA33" s="1" t="s">
        <v>221</v>
      </c>
      <c r="AB33" s="63">
        <f t="shared" ref="AB33" ca="1" si="1501">X$33+AB31</f>
        <v>-126664.37015566792</v>
      </c>
      <c r="AC33" s="44"/>
      <c r="AD33" s="44"/>
      <c r="AE33" s="1" t="s">
        <v>221</v>
      </c>
      <c r="AF33" s="63">
        <f t="shared" ref="AF33" ca="1" si="1502">AB$33+AF31</f>
        <v>-114796.1658921919</v>
      </c>
      <c r="AG33" s="44"/>
      <c r="AH33" s="44"/>
      <c r="AI33" s="1" t="s">
        <v>221</v>
      </c>
      <c r="AJ33" s="63">
        <f t="shared" ref="AJ33" ca="1" si="1503">AF$33+AJ31</f>
        <v>-102927.96162871589</v>
      </c>
      <c r="AK33" s="44"/>
      <c r="AL33" s="44"/>
      <c r="AM33" s="1" t="s">
        <v>221</v>
      </c>
      <c r="AN33" s="63">
        <f t="shared" ref="AN33" ca="1" si="1504">AJ$33+AN31</f>
        <v>-129259.75736523987</v>
      </c>
      <c r="AO33" s="44"/>
      <c r="AP33" s="44"/>
      <c r="AQ33" s="1" t="s">
        <v>221</v>
      </c>
      <c r="AR33" s="63">
        <f t="shared" ref="AR33" ca="1" si="1505">AN$33+AR31</f>
        <v>-117391.55310176386</v>
      </c>
      <c r="AS33" s="44"/>
      <c r="AT33" s="44"/>
      <c r="AU33" s="1" t="s">
        <v>221</v>
      </c>
      <c r="AV33" s="63">
        <f t="shared" ref="AV33" ca="1" si="1506">AR$33+AV31</f>
        <v>-106368.14883828785</v>
      </c>
      <c r="AW33" s="44"/>
      <c r="AX33" s="44"/>
      <c r="AY33" s="1" t="s">
        <v>221</v>
      </c>
      <c r="AZ33" s="63">
        <f t="shared" ref="AZ33" ca="1" si="1507">AV$33+AZ31</f>
        <v>-136644.74457481183</v>
      </c>
      <c r="BA33" s="44"/>
      <c r="BB33" s="44"/>
      <c r="BC33" s="1" t="s">
        <v>221</v>
      </c>
      <c r="BD33" s="63">
        <f t="shared" ref="BD33" ca="1" si="1508">AZ$33+BD31</f>
        <v>-125621.34031133582</v>
      </c>
      <c r="BE33" s="44"/>
      <c r="BF33" s="44"/>
      <c r="BG33" s="1" t="s">
        <v>221</v>
      </c>
      <c r="BH33" s="63">
        <f t="shared" ref="BH33" ca="1" si="1509">BD$33+BH31</f>
        <v>-109088.53604785982</v>
      </c>
      <c r="BI33" s="44"/>
      <c r="BJ33" s="44"/>
      <c r="BK33" s="1" t="s">
        <v>221</v>
      </c>
      <c r="BL33" s="63">
        <f t="shared" ref="BL33" ca="1" si="1510">BH$33+BL31</f>
        <v>-140055.7317843838</v>
      </c>
      <c r="BM33" s="44"/>
      <c r="BN33" s="44"/>
      <c r="BO33" s="1" t="s">
        <v>221</v>
      </c>
      <c r="BP33" s="63">
        <f t="shared" ref="BP33" ca="1" si="1511">BL$33+BP31</f>
        <v>-123522.92752090778</v>
      </c>
      <c r="BQ33" s="44"/>
      <c r="BR33" s="44"/>
      <c r="BS33" s="1" t="s">
        <v>221</v>
      </c>
      <c r="BT33" s="63">
        <f t="shared" ref="BT33" ca="1" si="1512">BP$33+BT31</f>
        <v>-106990.12325743175</v>
      </c>
      <c r="BU33" s="44"/>
      <c r="BV33" s="44"/>
      <c r="BW33" s="1" t="s">
        <v>221</v>
      </c>
      <c r="BX33" s="63">
        <f t="shared" ref="BX33" ca="1" si="1513">BT$33+BX31</f>
        <v>-141057.31899395573</v>
      </c>
      <c r="BY33" s="44"/>
      <c r="BZ33" s="44"/>
      <c r="CA33" s="1" t="s">
        <v>221</v>
      </c>
      <c r="CB33" s="63">
        <f t="shared" ref="CB33" ca="1" si="1514">BX$33+CB31</f>
        <v>-124524.51473047971</v>
      </c>
      <c r="CC33" s="44"/>
      <c r="CD33" s="44"/>
      <c r="CE33" s="1" t="s">
        <v>221</v>
      </c>
      <c r="CF33" s="63">
        <f t="shared" ref="CF33" ca="1" si="1515">CB$33+CF31</f>
        <v>-102482.3104670037</v>
      </c>
      <c r="CG33" s="44"/>
      <c r="CH33" s="44"/>
      <c r="CI33" s="1" t="s">
        <v>221</v>
      </c>
      <c r="CJ33" s="63">
        <f t="shared" ref="CJ33" ca="1" si="1516">CF$33+CJ31</f>
        <v>-137240.10620352771</v>
      </c>
      <c r="CK33" s="44"/>
      <c r="CL33" s="44"/>
      <c r="CM33" s="1" t="s">
        <v>221</v>
      </c>
      <c r="CN33" s="63">
        <f t="shared" ref="CN33" ca="1" si="1517">CJ$33+CN31</f>
        <v>-115197.9019400517</v>
      </c>
      <c r="CO33" s="44"/>
      <c r="CP33" s="44"/>
      <c r="CQ33" s="1" t="s">
        <v>221</v>
      </c>
      <c r="CR33" s="63">
        <f t="shared" ref="CR33" ca="1" si="1518">CN$33+CR31</f>
        <v>-93155.697676575684</v>
      </c>
      <c r="CS33" s="44"/>
      <c r="CT33" s="44"/>
      <c r="CU33" s="1" t="s">
        <v>221</v>
      </c>
      <c r="CV33" s="63">
        <f t="shared" ref="CV33" ca="1" si="1519">CR$33+CV31</f>
        <v>-127913.49341309968</v>
      </c>
      <c r="CW33" s="44"/>
      <c r="CX33" s="44"/>
      <c r="CY33" s="1" t="s">
        <v>221</v>
      </c>
      <c r="CZ33" s="63">
        <f t="shared" ref="CZ33" ca="1" si="1520">CV$33+CZ31</f>
        <v>-105871.28914962367</v>
      </c>
      <c r="DA33" s="44"/>
      <c r="DB33" s="44"/>
      <c r="DC33" s="1" t="s">
        <v>221</v>
      </c>
      <c r="DD33" s="63">
        <f t="shared" ref="DD33" ca="1" si="1521">CZ$33+DD31</f>
        <v>-83829.084886147655</v>
      </c>
      <c r="DE33" s="44"/>
      <c r="DF33" s="44"/>
      <c r="DG33" s="1" t="s">
        <v>221</v>
      </c>
      <c r="DH33" s="63">
        <f t="shared" ref="DH33" ca="1" si="1522">DD$33+DH31</f>
        <v>-122377.48062267165</v>
      </c>
      <c r="DI33" s="44"/>
      <c r="DJ33" s="44"/>
      <c r="DK33" s="1" t="s">
        <v>221</v>
      </c>
      <c r="DL33" s="63">
        <f t="shared" ref="DL33" ca="1" si="1523">DH$33+DL31</f>
        <v>-94825.876359195638</v>
      </c>
      <c r="DM33" s="44"/>
      <c r="DN33" s="44"/>
      <c r="DO33" s="1" t="s">
        <v>221</v>
      </c>
      <c r="DP33" s="63">
        <f t="shared" ref="DP33" ca="1" si="1524">DL$33+DP31</f>
        <v>-67274.272095719629</v>
      </c>
      <c r="DQ33" s="44"/>
      <c r="DR33" s="44"/>
      <c r="DS33" s="1" t="s">
        <v>221</v>
      </c>
      <c r="DT33" s="63">
        <f t="shared" ref="DT33" ca="1" si="1525">DP$33+DT31</f>
        <v>-105822.66783224362</v>
      </c>
      <c r="DU33" s="44"/>
      <c r="DV33" s="44"/>
      <c r="DW33" s="1" t="s">
        <v>221</v>
      </c>
      <c r="DX33" s="63">
        <f t="shared" ref="DX33" ca="1" si="1526">DT$33+DX31</f>
        <v>-79077.463568767605</v>
      </c>
      <c r="DY33" s="44"/>
      <c r="DZ33" s="44"/>
      <c r="EA33" s="1" t="s">
        <v>221</v>
      </c>
      <c r="EB33" s="63">
        <f t="shared" ref="EB33" ca="1" si="1527">DX$33+EB31</f>
        <v>-52332.259305291591</v>
      </c>
      <c r="EC33" s="44"/>
      <c r="ED33" s="44"/>
      <c r="EE33" s="1" t="s">
        <v>221</v>
      </c>
      <c r="EF33" s="63">
        <f t="shared" ref="EF33" ca="1" si="1528">EB$33+EF31</f>
        <v>-97887.055041815576</v>
      </c>
      <c r="EG33" s="44"/>
      <c r="EH33" s="44"/>
      <c r="EI33" s="1" t="s">
        <v>221</v>
      </c>
      <c r="EJ33" s="63">
        <f t="shared" ref="EJ33" ca="1" si="1529">EF$33+EJ31</f>
        <v>-65747.650778339565</v>
      </c>
      <c r="EK33" s="44"/>
      <c r="EL33" s="44"/>
      <c r="EM33" s="1" t="s">
        <v>221</v>
      </c>
      <c r="EN33" s="63">
        <f t="shared" ref="EN33" ca="1" si="1530">EJ$33+EN31</f>
        <v>-33608.246514863553</v>
      </c>
      <c r="EO33" s="44"/>
      <c r="EP33" s="44"/>
      <c r="EQ33" s="1" t="s">
        <v>221</v>
      </c>
      <c r="ER33" s="63">
        <f t="shared" ref="ER33" ca="1" si="1531">EN$33+ER31</f>
        <v>-76868.842251387556</v>
      </c>
      <c r="ES33" s="44"/>
      <c r="ET33" s="44"/>
      <c r="EU33" s="1" t="s">
        <v>221</v>
      </c>
      <c r="EV33" s="63">
        <f t="shared" ref="EV33" ca="1" si="1532">ER$33+EV31</f>
        <v>-44729.437987911544</v>
      </c>
      <c r="EW33" s="44"/>
      <c r="EX33" s="44"/>
      <c r="EY33" s="1" t="s">
        <v>221</v>
      </c>
      <c r="EZ33" s="63">
        <f t="shared" ref="EZ33" ca="1" si="1533">EV$33+EZ31</f>
        <v>-12590.033724435532</v>
      </c>
      <c r="FA33" s="44"/>
      <c r="FB33" s="44"/>
      <c r="FC33" s="1" t="s">
        <v>221</v>
      </c>
      <c r="FD33" s="63">
        <f t="shared" ref="FD33" ca="1" si="1534">EZ$33+FD31</f>
        <v>-62050.629460959535</v>
      </c>
      <c r="FE33" s="44"/>
      <c r="FF33" s="44"/>
      <c r="FG33" s="1" t="s">
        <v>221</v>
      </c>
      <c r="FH33" s="63">
        <f t="shared" ref="FH33" ca="1" si="1535">FD$33+FH31</f>
        <v>-24517.025197483526</v>
      </c>
      <c r="FI33" s="44"/>
      <c r="FJ33" s="44"/>
      <c r="FK33" s="1" t="s">
        <v>221</v>
      </c>
      <c r="FL33" s="63">
        <f t="shared" ref="FL33" ca="1" si="1536">FH$33+FL31</f>
        <v>13016.579065992482</v>
      </c>
      <c r="FM33" s="44"/>
      <c r="FN33" s="44"/>
      <c r="FO33" s="1" t="s">
        <v>221</v>
      </c>
      <c r="FP33" s="63">
        <f t="shared" ref="FP33" ca="1" si="1537">FL$33+FP31</f>
        <v>-34149.816670531509</v>
      </c>
      <c r="FQ33" s="44"/>
      <c r="FR33" s="44"/>
      <c r="FS33" s="1" t="s">
        <v>221</v>
      </c>
      <c r="FT33" s="63">
        <f t="shared" ref="FT33" ca="1" si="1538">FP$33+FT31</f>
        <v>3383.7875929444999</v>
      </c>
      <c r="FU33" s="44"/>
      <c r="FV33" s="44"/>
      <c r="FW33" s="1" t="s">
        <v>221</v>
      </c>
      <c r="FX33" s="63">
        <f t="shared" ref="FX33" ca="1" si="1539">FT$33+FX31</f>
        <v>40917.391856420509</v>
      </c>
      <c r="FY33" s="44"/>
      <c r="FZ33" s="44"/>
      <c r="GA33" s="1" t="s">
        <v>221</v>
      </c>
      <c r="GB33" s="63">
        <f t="shared" ref="GB33" ca="1" si="1540">FX$33+GB31</f>
        <v>-9349.0038801034825</v>
      </c>
      <c r="GC33" s="44"/>
      <c r="GD33" s="44"/>
      <c r="GE33" s="1" t="s">
        <v>221</v>
      </c>
      <c r="GF33" s="63">
        <f t="shared" ref="GF33" ca="1" si="1541">GB$33+GF31</f>
        <v>28184.600383372526</v>
      </c>
      <c r="GG33" s="44"/>
      <c r="GH33" s="44"/>
      <c r="GI33" s="1" t="s">
        <v>221</v>
      </c>
      <c r="GJ33" s="63">
        <f t="shared" ref="GJ33" ca="1" si="1542">GF$33+GJ31</f>
        <v>71112.404646848532</v>
      </c>
      <c r="GK33" s="44"/>
      <c r="GL33" s="44"/>
      <c r="GM33" s="1" t="s">
        <v>221</v>
      </c>
      <c r="GN33" s="63">
        <f t="shared" ref="GN33" ca="1" si="1543">GJ$33+GN31</f>
        <v>20040.208910324553</v>
      </c>
      <c r="GO33" s="44"/>
      <c r="GP33" s="44"/>
      <c r="GQ33" s="1" t="s">
        <v>221</v>
      </c>
      <c r="GR33" s="63">
        <f t="shared" ref="GR33" ca="1" si="1544">GN$33+GR31</f>
        <v>62968.013173800566</v>
      </c>
      <c r="GS33" s="44"/>
      <c r="GT33" s="44"/>
      <c r="GU33" s="1" t="s">
        <v>221</v>
      </c>
      <c r="GV33" s="63">
        <f t="shared" ref="GV33" ca="1" si="1545">GR$33+GV31</f>
        <v>105895.81743727658</v>
      </c>
      <c r="GW33" s="44"/>
      <c r="GX33" s="44"/>
      <c r="GY33" s="1" t="s">
        <v>221</v>
      </c>
      <c r="GZ33" s="63">
        <f t="shared" ref="GZ33" ca="1" si="1546">GV$33+GZ31</f>
        <v>54823.621700752599</v>
      </c>
      <c r="HA33" s="44"/>
      <c r="HB33" s="44"/>
      <c r="HC33" s="1" t="s">
        <v>221</v>
      </c>
      <c r="HD33" s="63">
        <f t="shared" ref="HD33" ca="1" si="1547">GZ$33+HD31</f>
        <v>97751.425964228605</v>
      </c>
      <c r="HE33" s="44"/>
      <c r="HF33" s="44"/>
      <c r="HG33" s="1" t="s">
        <v>221</v>
      </c>
      <c r="HH33" s="63">
        <f t="shared" ref="HH33" ca="1" si="1548">HD$33+HH31</f>
        <v>140679.23022770463</v>
      </c>
      <c r="HI33" s="44"/>
      <c r="HJ33" s="44"/>
      <c r="HK33" s="1" t="s">
        <v>221</v>
      </c>
      <c r="HL33" s="63">
        <f t="shared" ref="HL33" ca="1" si="1549">HH$33+HL31</f>
        <v>85701.234491180629</v>
      </c>
      <c r="HM33" s="44"/>
      <c r="HN33" s="44"/>
      <c r="HO33" s="1" t="s">
        <v>221</v>
      </c>
      <c r="HP33" s="63">
        <f t="shared" ref="HP33" ca="1" si="1550">HL$33+HP31</f>
        <v>134023.23875465663</v>
      </c>
      <c r="HQ33" s="44"/>
      <c r="HR33" s="44"/>
      <c r="HS33" s="1" t="s">
        <v>221</v>
      </c>
      <c r="HT33" s="63">
        <f t="shared" ref="HT33" ca="1" si="1551">HP$33+HT31</f>
        <v>182345.24301813263</v>
      </c>
      <c r="HU33" s="44"/>
      <c r="HV33" s="44"/>
      <c r="HW33" s="1" t="s">
        <v>221</v>
      </c>
      <c r="HX33" s="63">
        <f t="shared" ref="HX33" ca="1" si="1552">HT$33+HX31</f>
        <v>127367.24728160864</v>
      </c>
      <c r="HY33" s="44"/>
      <c r="HZ33" s="44"/>
      <c r="IA33" s="1" t="s">
        <v>221</v>
      </c>
      <c r="IB33" s="63">
        <f t="shared" ref="IB33" ca="1" si="1553">HX$33+IB31</f>
        <v>175689.25154508464</v>
      </c>
      <c r="IC33" s="44"/>
      <c r="ID33" s="44"/>
      <c r="IE33" s="1" t="s">
        <v>221</v>
      </c>
      <c r="IF33" s="63">
        <f t="shared" ref="IF33" ca="1" si="1554">IB$33+IF31</f>
        <v>224011.25580856064</v>
      </c>
      <c r="IG33" s="44"/>
      <c r="IH33" s="44"/>
      <c r="II33" s="1" t="s">
        <v>221</v>
      </c>
      <c r="IJ33" s="63">
        <f t="shared" ref="IJ33" ca="1" si="1555">IF$33+IJ31</f>
        <v>165127.46007203663</v>
      </c>
      <c r="IK33" s="44"/>
      <c r="IL33" s="44"/>
      <c r="IM33" s="1" t="s">
        <v>221</v>
      </c>
      <c r="IN33" s="63">
        <f t="shared" ref="IN33" ca="1" si="1556">IJ$33+IN31</f>
        <v>218843.66433551264</v>
      </c>
      <c r="IO33" s="44"/>
      <c r="IP33" s="44"/>
      <c r="IQ33" s="1" t="s">
        <v>221</v>
      </c>
      <c r="IR33" s="63">
        <f t="shared" ref="IR33" ca="1" si="1557">IN$33+IR31</f>
        <v>272559.86859898863</v>
      </c>
      <c r="IS33" s="44"/>
      <c r="IT33" s="44"/>
      <c r="IU33" s="1" t="s">
        <v>221</v>
      </c>
      <c r="IV33" s="63">
        <f t="shared" ref="IV33" ca="1" si="1558">IR$33+IV31</f>
        <v>213676.07286246461</v>
      </c>
      <c r="IW33" s="44"/>
      <c r="IX33" s="44"/>
      <c r="IY33" s="1" t="s">
        <v>221</v>
      </c>
      <c r="IZ33" s="63">
        <f t="shared" ref="IZ33" ca="1" si="1559">IV$33+IZ31</f>
        <v>267392.27712594066</v>
      </c>
      <c r="JA33" s="44"/>
      <c r="JB33" s="44"/>
      <c r="JC33" s="1" t="s">
        <v>221</v>
      </c>
      <c r="JD33" s="63">
        <f t="shared" ref="JD33" ca="1" si="1560">IZ$33+JD31</f>
        <v>321108.48138941667</v>
      </c>
      <c r="JE33" s="44"/>
      <c r="JF33" s="44"/>
      <c r="JG33" s="1" t="s">
        <v>221</v>
      </c>
      <c r="JH33" s="63">
        <f t="shared" ref="JH33" ca="1" si="1561">JD$33+JH31</f>
        <v>256024.68565289266</v>
      </c>
      <c r="JI33" s="44"/>
      <c r="JJ33" s="44"/>
      <c r="JK33" s="1" t="s">
        <v>221</v>
      </c>
      <c r="JL33" s="63">
        <f t="shared" ref="JL33" ca="1" si="1562">JH$33+JL31</f>
        <v>315135.08991636866</v>
      </c>
      <c r="JM33" s="44"/>
      <c r="JN33" s="44"/>
      <c r="JO33" s="1" t="s">
        <v>221</v>
      </c>
      <c r="JP33" s="63">
        <f t="shared" ref="JP33" ca="1" si="1563">JL$33+JP31</f>
        <v>374245.49417984468</v>
      </c>
      <c r="JQ33" s="44"/>
      <c r="JR33" s="44"/>
      <c r="JS33" s="1" t="s">
        <v>221</v>
      </c>
      <c r="JT33" s="63">
        <f t="shared" ref="JT33" ca="1" si="1564">JP$33+JT31</f>
        <v>311455.89844332071</v>
      </c>
      <c r="JU33" s="44"/>
      <c r="JV33" s="44"/>
      <c r="JW33" s="1" t="s">
        <v>221</v>
      </c>
      <c r="JX33" s="63">
        <f t="shared" ref="JX33" ca="1" si="1565">JT$33+JX31</f>
        <v>370566.30270679673</v>
      </c>
      <c r="JY33" s="44"/>
      <c r="JZ33" s="44"/>
      <c r="KA33" s="1" t="s">
        <v>221</v>
      </c>
      <c r="KB33" s="63">
        <f t="shared" ref="KB33" ca="1" si="1566">JX$33+KB31</f>
        <v>429676.70697027276</v>
      </c>
      <c r="KC33" s="44"/>
      <c r="KD33" s="44"/>
      <c r="KE33" s="1" t="s">
        <v>221</v>
      </c>
      <c r="KF33" s="63">
        <f t="shared" ref="KF33" ca="1" si="1567">KB$33+KF31</f>
        <v>447487.11123374879</v>
      </c>
      <c r="KG33" s="44"/>
      <c r="KH33" s="44"/>
    </row>
    <row r="35" spans="1:294" x14ac:dyDescent="0.25">
      <c r="A35" s="119" t="s">
        <v>1</v>
      </c>
      <c r="B35" s="119" t="s">
        <v>1</v>
      </c>
      <c r="C35" s="119" t="s">
        <v>1</v>
      </c>
      <c r="D35" s="120"/>
      <c r="E35" s="120"/>
      <c r="F35" s="120"/>
      <c r="G35" s="119" t="s">
        <v>1</v>
      </c>
      <c r="H35" s="119" t="s">
        <v>1</v>
      </c>
      <c r="I35" s="119" t="s">
        <v>1</v>
      </c>
      <c r="J35" s="119" t="s">
        <v>1</v>
      </c>
      <c r="K35" s="119" t="s">
        <v>1</v>
      </c>
      <c r="L35" s="119" t="s">
        <v>1</v>
      </c>
      <c r="M35" s="119" t="s">
        <v>1</v>
      </c>
      <c r="N35" s="119" t="s">
        <v>1</v>
      </c>
      <c r="O35" s="119" t="s">
        <v>1</v>
      </c>
      <c r="P35" s="119" t="s">
        <v>1</v>
      </c>
      <c r="Q35" s="119" t="s">
        <v>1</v>
      </c>
      <c r="R35" s="119" t="s">
        <v>1</v>
      </c>
      <c r="S35" s="119" t="s">
        <v>1</v>
      </c>
      <c r="T35" s="119" t="s">
        <v>1</v>
      </c>
      <c r="U35" s="119" t="s">
        <v>1</v>
      </c>
      <c r="V35" s="119" t="s">
        <v>1</v>
      </c>
      <c r="W35" s="119" t="s">
        <v>1</v>
      </c>
      <c r="X35" s="119" t="s">
        <v>1</v>
      </c>
      <c r="Y35" s="119" t="s">
        <v>1</v>
      </c>
      <c r="Z35" s="119" t="s">
        <v>1</v>
      </c>
      <c r="AA35" s="119" t="s">
        <v>1</v>
      </c>
      <c r="AB35" s="119" t="s">
        <v>1</v>
      </c>
      <c r="AC35" s="119" t="s">
        <v>1</v>
      </c>
      <c r="AD35" s="119" t="s">
        <v>1</v>
      </c>
      <c r="AE35" s="119" t="s">
        <v>1</v>
      </c>
      <c r="AF35" s="119" t="s">
        <v>1</v>
      </c>
      <c r="AG35" s="119" t="s">
        <v>1</v>
      </c>
      <c r="AH35" s="119" t="s">
        <v>1</v>
      </c>
      <c r="AI35" s="119" t="s">
        <v>1</v>
      </c>
      <c r="AJ35" s="119" t="s">
        <v>1</v>
      </c>
      <c r="AK35" s="119" t="s">
        <v>1</v>
      </c>
      <c r="AL35" s="119" t="s">
        <v>1</v>
      </c>
      <c r="AM35" s="119" t="s">
        <v>1</v>
      </c>
      <c r="AN35" s="119" t="s">
        <v>1</v>
      </c>
      <c r="AO35" s="119" t="s">
        <v>1</v>
      </c>
      <c r="AP35" s="119" t="s">
        <v>1</v>
      </c>
      <c r="AQ35" s="119" t="s">
        <v>1</v>
      </c>
      <c r="AR35" s="119" t="s">
        <v>1</v>
      </c>
      <c r="AS35" s="119" t="s">
        <v>1</v>
      </c>
      <c r="AT35" s="119" t="s">
        <v>1</v>
      </c>
      <c r="AU35" s="119" t="s">
        <v>1</v>
      </c>
      <c r="AV35" s="119" t="s">
        <v>1</v>
      </c>
      <c r="AW35" s="119" t="s">
        <v>1</v>
      </c>
      <c r="AX35" s="119" t="s">
        <v>1</v>
      </c>
      <c r="AY35" s="119" t="s">
        <v>1</v>
      </c>
      <c r="AZ35" s="119" t="s">
        <v>1</v>
      </c>
      <c r="BA35" s="119" t="s">
        <v>1</v>
      </c>
      <c r="BB35" s="119" t="s">
        <v>1</v>
      </c>
      <c r="BC35" s="119" t="s">
        <v>1</v>
      </c>
      <c r="BD35" s="119" t="s">
        <v>1</v>
      </c>
      <c r="BE35" s="119" t="s">
        <v>1</v>
      </c>
      <c r="BF35" s="119" t="s">
        <v>1</v>
      </c>
      <c r="BG35" s="119" t="s">
        <v>1</v>
      </c>
      <c r="BH35" s="119" t="s">
        <v>1</v>
      </c>
      <c r="BI35" s="119" t="s">
        <v>1</v>
      </c>
      <c r="BJ35" s="119" t="s">
        <v>1</v>
      </c>
      <c r="BK35" s="119" t="s">
        <v>1</v>
      </c>
      <c r="BL35" s="119" t="s">
        <v>1</v>
      </c>
      <c r="BM35" s="119" t="s">
        <v>1</v>
      </c>
      <c r="BN35" s="119" t="s">
        <v>1</v>
      </c>
      <c r="BO35" s="119" t="s">
        <v>1</v>
      </c>
      <c r="BP35" s="119" t="s">
        <v>1</v>
      </c>
      <c r="BQ35" s="119" t="s">
        <v>1</v>
      </c>
      <c r="BR35" s="119" t="s">
        <v>1</v>
      </c>
      <c r="BS35" s="119" t="s">
        <v>1</v>
      </c>
      <c r="BT35" s="119" t="s">
        <v>1</v>
      </c>
      <c r="BU35" s="119" t="s">
        <v>1</v>
      </c>
      <c r="BV35" s="119" t="s">
        <v>1</v>
      </c>
      <c r="BW35" s="119" t="s">
        <v>1</v>
      </c>
      <c r="BX35" s="119" t="s">
        <v>1</v>
      </c>
      <c r="BY35" s="119" t="s">
        <v>1</v>
      </c>
      <c r="BZ35" s="119" t="s">
        <v>1</v>
      </c>
      <c r="CA35" s="119" t="s">
        <v>1</v>
      </c>
      <c r="CB35" s="119" t="s">
        <v>1</v>
      </c>
      <c r="CC35" s="119" t="s">
        <v>1</v>
      </c>
      <c r="CD35" s="119" t="s">
        <v>1</v>
      </c>
      <c r="CE35" s="119" t="s">
        <v>1</v>
      </c>
      <c r="CF35" s="119" t="s">
        <v>1</v>
      </c>
      <c r="CG35" s="119" t="s">
        <v>1</v>
      </c>
      <c r="CH35" s="119" t="s">
        <v>1</v>
      </c>
      <c r="CI35" s="119" t="s">
        <v>1</v>
      </c>
      <c r="CJ35" s="119" t="s">
        <v>1</v>
      </c>
      <c r="CK35" s="119" t="s">
        <v>1</v>
      </c>
      <c r="CL35" s="119" t="s">
        <v>1</v>
      </c>
      <c r="CM35" s="119" t="s">
        <v>1</v>
      </c>
      <c r="CN35" s="119" t="s">
        <v>1</v>
      </c>
      <c r="CO35" s="119" t="s">
        <v>1</v>
      </c>
      <c r="CP35" s="119" t="s">
        <v>1</v>
      </c>
      <c r="CQ35" s="119" t="s">
        <v>1</v>
      </c>
      <c r="CR35" s="119" t="s">
        <v>1</v>
      </c>
      <c r="CS35" s="119" t="s">
        <v>1</v>
      </c>
      <c r="CT35" s="119" t="s">
        <v>1</v>
      </c>
      <c r="CU35" s="119" t="s">
        <v>1</v>
      </c>
      <c r="CV35" s="119" t="s">
        <v>1</v>
      </c>
      <c r="CW35" s="119" t="s">
        <v>1</v>
      </c>
    </row>
    <row r="36" spans="1:294" x14ac:dyDescent="0.25">
      <c r="C36" s="125" t="s">
        <v>242</v>
      </c>
      <c r="G36" s="37" t="s">
        <v>232</v>
      </c>
      <c r="H36" s="44"/>
    </row>
    <row r="37" spans="1:294" x14ac:dyDescent="0.25">
      <c r="C37" s="122">
        <v>0.01</v>
      </c>
    </row>
    <row r="38" spans="1:294" x14ac:dyDescent="0.25">
      <c r="C38" s="121">
        <f ca="1">NPV($C$37,H31:KF31)+D31</f>
        <v>211843.51731043751</v>
      </c>
      <c r="J38" s="35"/>
    </row>
    <row r="39" spans="1:294" x14ac:dyDescent="0.25">
      <c r="E39" s="35"/>
    </row>
    <row r="42" spans="1:294" x14ac:dyDescent="0.25">
      <c r="D42" s="37"/>
    </row>
    <row r="44" spans="1:294" x14ac:dyDescent="0.25">
      <c r="D44" s="66"/>
    </row>
  </sheetData>
  <phoneticPr fontId="22" type="noConversion"/>
  <conditionalFormatting sqref="A30:XFD33">
    <cfRule type="cellIs" dxfId="15" priority="4" operator="lessThanOrEqual">
      <formula>0</formula>
    </cfRule>
  </conditionalFormatting>
  <conditionalFormatting sqref="C33 G33 K33 O33 S33 W33 AA33 AE33 AI33 AM33 AQ33 AU33 AY33 BC33 BG33 BK33 BO33 BS33 BW33 CA33 CE33 CI33 CM33 CQ33 CU33 CY33 DC33 DG33 DK33 DO33 DS33 DW33 EA33 EE33 EI33 EM33 EQ33 EU33 EY33 FC33 FG33 FK33 FO33 FS33 FW33 GA33 GE33 GI33 GM33 GQ33 GU33 GY33 HC33 HG33 HK33 HO33 HS33 HW33 IA33 IE33 II33 IM33 IQ33 IU33 IY33 JC33 JG33 JK33 JO33 JS33 JW33 KA33 KE33">
    <cfRule type="cellIs" dxfId="14" priority="1" operator="lessThanOrEqual">
      <formula>0</formula>
    </cfRule>
  </conditionalFormatting>
  <pageMargins left="0.511811024" right="0.511811024" top="0.78740157499999996" bottom="0.78740157499999996" header="0.31496062000000002" footer="0.31496062000000002"/>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9061-106D-47CF-8A19-998B66B9D2CC}">
  <dimension ref="A1:C13"/>
  <sheetViews>
    <sheetView showGridLines="0" workbookViewId="0">
      <selection activeCell="H22" sqref="H22"/>
    </sheetView>
  </sheetViews>
  <sheetFormatPr defaultColWidth="9.109375" defaultRowHeight="13.8" x14ac:dyDescent="0.25"/>
  <cols>
    <col min="1" max="1" width="28.88671875" style="35" customWidth="1"/>
    <col min="2" max="2" width="35.44140625" style="35" bestFit="1" customWidth="1"/>
    <col min="3" max="3" width="12.5546875" style="35" customWidth="1"/>
    <col min="4" max="4" width="9.109375" style="35" customWidth="1"/>
    <col min="5" max="7" width="9.109375" style="35"/>
    <col min="8" max="8" width="15.33203125" style="35" customWidth="1"/>
    <col min="9" max="16384" width="9.109375" style="35"/>
  </cols>
  <sheetData>
    <row r="1" spans="1:3" x14ac:dyDescent="0.25">
      <c r="A1" s="123" t="s">
        <v>233</v>
      </c>
      <c r="B1" s="123" t="s">
        <v>241</v>
      </c>
      <c r="C1" s="123" t="s">
        <v>234</v>
      </c>
    </row>
    <row r="2" spans="1:3" x14ac:dyDescent="0.25">
      <c r="A2" s="44" t="s">
        <v>235</v>
      </c>
      <c r="B2" s="51">
        <v>0</v>
      </c>
      <c r="C2" s="61">
        <v>4.4999999999999998E-2</v>
      </c>
    </row>
    <row r="3" spans="1:3" x14ac:dyDescent="0.25">
      <c r="A3" s="44" t="s">
        <v>236</v>
      </c>
      <c r="B3" s="51">
        <v>180000.01</v>
      </c>
      <c r="C3" s="61">
        <v>7.8E-2</v>
      </c>
    </row>
    <row r="4" spans="1:3" x14ac:dyDescent="0.25">
      <c r="A4" s="44" t="s">
        <v>237</v>
      </c>
      <c r="B4" s="51">
        <v>360000.01</v>
      </c>
      <c r="C4" s="46">
        <v>0.1</v>
      </c>
    </row>
    <row r="5" spans="1:3" x14ac:dyDescent="0.25">
      <c r="A5" s="44" t="s">
        <v>238</v>
      </c>
      <c r="B5" s="51">
        <v>720000.01</v>
      </c>
      <c r="C5" s="61">
        <v>0.112</v>
      </c>
    </row>
    <row r="6" spans="1:3" x14ac:dyDescent="0.25">
      <c r="A6" s="44" t="s">
        <v>239</v>
      </c>
      <c r="B6" s="51">
        <v>1800000.01</v>
      </c>
      <c r="C6" s="61">
        <v>0.14699999999999999</v>
      </c>
    </row>
    <row r="7" spans="1:3" x14ac:dyDescent="0.25">
      <c r="A7" s="44" t="s">
        <v>240</v>
      </c>
      <c r="B7" s="51">
        <v>3600000.01</v>
      </c>
      <c r="C7" s="46">
        <v>0.3</v>
      </c>
    </row>
    <row r="13" spans="1:3" x14ac:dyDescent="0.25">
      <c r="C13" s="124"/>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F22F-08BE-4411-BF44-FA7067751074}">
  <dimension ref="A2:H29"/>
  <sheetViews>
    <sheetView showGridLines="0" workbookViewId="0">
      <selection activeCell="M27" sqref="M27"/>
    </sheetView>
  </sheetViews>
  <sheetFormatPr defaultColWidth="9.109375" defaultRowHeight="13.8" x14ac:dyDescent="0.25"/>
  <cols>
    <col min="1" max="5" width="15.5546875" style="44" customWidth="1"/>
    <col min="6" max="6" width="7.88671875" style="35" bestFit="1" customWidth="1"/>
    <col min="7" max="7" width="16.5546875" style="35" bestFit="1" customWidth="1"/>
    <col min="8" max="8" width="28.88671875" style="35" bestFit="1" customWidth="1"/>
    <col min="9" max="16384" width="9.109375" style="35"/>
  </cols>
  <sheetData>
    <row r="2" spans="1:8" x14ac:dyDescent="0.25">
      <c r="A2" s="123" t="s">
        <v>243</v>
      </c>
      <c r="B2" s="123" t="s">
        <v>244</v>
      </c>
      <c r="C2" s="123" t="s">
        <v>245</v>
      </c>
      <c r="D2" s="123" t="s">
        <v>246</v>
      </c>
      <c r="E2" s="123" t="s">
        <v>247</v>
      </c>
      <c r="F2" s="123" t="s">
        <v>185</v>
      </c>
      <c r="G2" s="123" t="s">
        <v>248</v>
      </c>
      <c r="H2" s="123" t="s">
        <v>249</v>
      </c>
    </row>
    <row r="3" spans="1:8" x14ac:dyDescent="0.25">
      <c r="A3" s="63">
        <v>0</v>
      </c>
      <c r="B3" s="63">
        <f>A3*G3</f>
        <v>0</v>
      </c>
      <c r="C3" s="63">
        <v>2000</v>
      </c>
      <c r="D3" s="63">
        <f>A3*H3</f>
        <v>0</v>
      </c>
      <c r="E3" s="63">
        <f>SUM(D3+C3)</f>
        <v>2000</v>
      </c>
      <c r="F3" s="63">
        <f>B3-E3</f>
        <v>-2000</v>
      </c>
      <c r="G3" s="63">
        <f>'Fluxo de Caixa'!$A$3</f>
        <v>40</v>
      </c>
      <c r="H3" s="63">
        <v>31</v>
      </c>
    </row>
    <row r="4" spans="1:8" x14ac:dyDescent="0.25">
      <c r="A4" s="63">
        <v>50</v>
      </c>
      <c r="B4" s="63">
        <f t="shared" ref="B4:B9" si="0">A4*G4</f>
        <v>2000</v>
      </c>
      <c r="C4" s="63">
        <v>2000</v>
      </c>
      <c r="D4" s="63">
        <f t="shared" ref="D4:D9" si="1">A4*H4</f>
        <v>1550</v>
      </c>
      <c r="E4" s="63">
        <f t="shared" ref="E4:E9" si="2">SUM(D4+C4)</f>
        <v>3550</v>
      </c>
      <c r="F4" s="63">
        <f t="shared" ref="F4:F9" si="3">B4-E4</f>
        <v>-1550</v>
      </c>
      <c r="G4" s="63">
        <f>'Fluxo de Caixa'!$A$3</f>
        <v>40</v>
      </c>
      <c r="H4" s="63">
        <v>31</v>
      </c>
    </row>
    <row r="5" spans="1:8" x14ac:dyDescent="0.25">
      <c r="A5" s="63">
        <v>100</v>
      </c>
      <c r="B5" s="63">
        <f t="shared" si="0"/>
        <v>4000</v>
      </c>
      <c r="C5" s="63">
        <v>2000</v>
      </c>
      <c r="D5" s="63">
        <f t="shared" si="1"/>
        <v>3100</v>
      </c>
      <c r="E5" s="63">
        <f t="shared" si="2"/>
        <v>5100</v>
      </c>
      <c r="F5" s="63">
        <f t="shared" si="3"/>
        <v>-1100</v>
      </c>
      <c r="G5" s="63">
        <f>'Fluxo de Caixa'!$A$3</f>
        <v>40</v>
      </c>
      <c r="H5" s="63">
        <v>31</v>
      </c>
    </row>
    <row r="6" spans="1:8" x14ac:dyDescent="0.25">
      <c r="A6" s="63">
        <v>150</v>
      </c>
      <c r="B6" s="63">
        <f t="shared" si="0"/>
        <v>6000</v>
      </c>
      <c r="C6" s="63">
        <v>2000</v>
      </c>
      <c r="D6" s="63">
        <f t="shared" si="1"/>
        <v>4650</v>
      </c>
      <c r="E6" s="63">
        <f t="shared" si="2"/>
        <v>6650</v>
      </c>
      <c r="F6" s="63">
        <f t="shared" si="3"/>
        <v>-650</v>
      </c>
      <c r="G6" s="63">
        <f>'Fluxo de Caixa'!$A$3</f>
        <v>40</v>
      </c>
      <c r="H6" s="63">
        <v>31</v>
      </c>
    </row>
    <row r="7" spans="1:8" x14ac:dyDescent="0.25">
      <c r="A7" s="63">
        <v>200</v>
      </c>
      <c r="B7" s="63">
        <f t="shared" si="0"/>
        <v>8000</v>
      </c>
      <c r="C7" s="63">
        <v>2000</v>
      </c>
      <c r="D7" s="63">
        <f t="shared" si="1"/>
        <v>6200</v>
      </c>
      <c r="E7" s="63">
        <f t="shared" si="2"/>
        <v>8200</v>
      </c>
      <c r="F7" s="63">
        <f t="shared" si="3"/>
        <v>-200</v>
      </c>
      <c r="G7" s="63">
        <f>'Fluxo de Caixa'!$A$3</f>
        <v>40</v>
      </c>
      <c r="H7" s="63">
        <v>31</v>
      </c>
    </row>
    <row r="8" spans="1:8" x14ac:dyDescent="0.25">
      <c r="A8" s="63">
        <v>250</v>
      </c>
      <c r="B8" s="63">
        <f t="shared" si="0"/>
        <v>10000</v>
      </c>
      <c r="C8" s="63">
        <v>2000</v>
      </c>
      <c r="D8" s="63">
        <f t="shared" si="1"/>
        <v>7750</v>
      </c>
      <c r="E8" s="63">
        <f t="shared" si="2"/>
        <v>9750</v>
      </c>
      <c r="F8" s="63">
        <f t="shared" si="3"/>
        <v>250</v>
      </c>
      <c r="G8" s="63">
        <f>'Fluxo de Caixa'!$A$3</f>
        <v>40</v>
      </c>
      <c r="H8" s="63">
        <v>31</v>
      </c>
    </row>
    <row r="9" spans="1:8" x14ac:dyDescent="0.25">
      <c r="A9" s="63">
        <v>300</v>
      </c>
      <c r="B9" s="63">
        <f t="shared" si="0"/>
        <v>12000</v>
      </c>
      <c r="C9" s="63">
        <v>2000</v>
      </c>
      <c r="D9" s="63">
        <f t="shared" si="1"/>
        <v>9300</v>
      </c>
      <c r="E9" s="63">
        <f t="shared" si="2"/>
        <v>11300</v>
      </c>
      <c r="F9" s="63">
        <f t="shared" si="3"/>
        <v>700</v>
      </c>
      <c r="G9" s="63">
        <f>'Fluxo de Caixa'!$A$3</f>
        <v>40</v>
      </c>
      <c r="H9" s="63">
        <v>31</v>
      </c>
    </row>
    <row r="10" spans="1:8" x14ac:dyDescent="0.25">
      <c r="A10" s="63"/>
      <c r="B10" s="63"/>
      <c r="C10" s="63"/>
      <c r="D10" s="63"/>
      <c r="E10" s="63"/>
      <c r="F10" s="63"/>
      <c r="G10" s="63"/>
      <c r="H10" s="63"/>
    </row>
    <row r="11" spans="1:8" x14ac:dyDescent="0.25">
      <c r="A11" s="63"/>
      <c r="B11" s="63"/>
      <c r="C11" s="63"/>
      <c r="D11" s="63"/>
      <c r="E11" s="63"/>
      <c r="F11" s="63"/>
      <c r="G11" s="63"/>
      <c r="H11" s="63"/>
    </row>
    <row r="12" spans="1:8" x14ac:dyDescent="0.25">
      <c r="A12" s="63"/>
      <c r="B12" s="63"/>
      <c r="C12" s="63"/>
      <c r="D12" s="63"/>
      <c r="E12" s="63"/>
      <c r="F12" s="63"/>
      <c r="G12" s="63"/>
      <c r="H12" s="63"/>
    </row>
    <row r="13" spans="1:8" x14ac:dyDescent="0.25">
      <c r="A13" s="63"/>
      <c r="B13" s="63"/>
      <c r="C13" s="63"/>
      <c r="D13" s="63"/>
      <c r="E13" s="63"/>
      <c r="F13" s="63"/>
      <c r="G13" s="63"/>
      <c r="H13" s="63"/>
    </row>
    <row r="14" spans="1:8" x14ac:dyDescent="0.25">
      <c r="A14" s="63"/>
      <c r="B14" s="63"/>
      <c r="C14" s="63"/>
      <c r="D14" s="63"/>
      <c r="E14" s="63"/>
      <c r="F14" s="63"/>
      <c r="G14" s="63"/>
      <c r="H14" s="63"/>
    </row>
    <row r="15" spans="1:8" x14ac:dyDescent="0.25">
      <c r="A15" s="63"/>
      <c r="B15" s="63"/>
      <c r="C15" s="63"/>
      <c r="D15" s="63"/>
      <c r="E15" s="63"/>
      <c r="F15" s="63"/>
      <c r="G15" s="63"/>
      <c r="H15" s="63"/>
    </row>
    <row r="16" spans="1:8" x14ac:dyDescent="0.25">
      <c r="A16" s="63"/>
      <c r="B16" s="63"/>
      <c r="C16" s="63"/>
      <c r="D16" s="63"/>
      <c r="E16" s="63"/>
      <c r="F16" s="63"/>
      <c r="G16" s="63"/>
      <c r="H16" s="63"/>
    </row>
    <row r="17" spans="1:8" x14ac:dyDescent="0.25">
      <c r="A17" s="63"/>
      <c r="B17" s="63"/>
      <c r="C17" s="63"/>
      <c r="D17" s="63"/>
      <c r="E17" s="63"/>
      <c r="F17" s="63"/>
      <c r="G17" s="63"/>
      <c r="H17" s="63"/>
    </row>
    <row r="18" spans="1:8" x14ac:dyDescent="0.25">
      <c r="A18" s="63"/>
      <c r="B18" s="63"/>
      <c r="C18" s="63"/>
      <c r="D18" s="63"/>
      <c r="E18" s="63"/>
      <c r="F18" s="63"/>
      <c r="G18" s="63"/>
      <c r="H18" s="63"/>
    </row>
    <row r="19" spans="1:8" x14ac:dyDescent="0.25">
      <c r="A19" s="63"/>
      <c r="B19" s="63"/>
      <c r="C19" s="63"/>
      <c r="D19" s="63"/>
      <c r="E19" s="63"/>
      <c r="F19" s="63"/>
      <c r="G19" s="63"/>
      <c r="H19" s="63"/>
    </row>
    <row r="20" spans="1:8" x14ac:dyDescent="0.25">
      <c r="A20" s="63"/>
      <c r="B20" s="63"/>
      <c r="C20" s="63"/>
      <c r="D20" s="63"/>
      <c r="E20" s="63"/>
      <c r="F20" s="63"/>
      <c r="G20" s="63"/>
      <c r="H20" s="63"/>
    </row>
    <row r="21" spans="1:8" x14ac:dyDescent="0.25">
      <c r="A21" s="63"/>
      <c r="B21" s="63"/>
      <c r="C21" s="63"/>
      <c r="D21" s="63"/>
      <c r="E21" s="63"/>
      <c r="F21" s="63"/>
      <c r="G21" s="63"/>
      <c r="H21" s="63"/>
    </row>
    <row r="22" spans="1:8" x14ac:dyDescent="0.25">
      <c r="A22" s="63"/>
      <c r="B22" s="63"/>
      <c r="C22" s="63"/>
      <c r="D22" s="63"/>
      <c r="E22" s="63"/>
      <c r="F22" s="63"/>
      <c r="G22" s="63"/>
      <c r="H22" s="63"/>
    </row>
    <row r="23" spans="1:8" x14ac:dyDescent="0.25">
      <c r="A23" s="63"/>
      <c r="B23" s="63"/>
      <c r="C23" s="63"/>
      <c r="D23" s="63"/>
      <c r="E23" s="63"/>
      <c r="F23" s="63"/>
      <c r="G23" s="63"/>
      <c r="H23" s="63"/>
    </row>
    <row r="24" spans="1:8" x14ac:dyDescent="0.25">
      <c r="A24" s="63"/>
      <c r="B24" s="63"/>
      <c r="C24" s="63"/>
      <c r="D24" s="63"/>
      <c r="E24" s="63"/>
      <c r="F24" s="63"/>
      <c r="G24" s="63"/>
      <c r="H24" s="63"/>
    </row>
    <row r="25" spans="1:8" x14ac:dyDescent="0.25">
      <c r="A25" s="63"/>
      <c r="B25" s="63"/>
      <c r="C25" s="63"/>
      <c r="D25" s="63"/>
      <c r="E25" s="63"/>
      <c r="F25" s="63"/>
      <c r="G25" s="63"/>
      <c r="H25" s="63"/>
    </row>
    <row r="26" spans="1:8" x14ac:dyDescent="0.25">
      <c r="A26" s="63"/>
      <c r="B26" s="63"/>
      <c r="C26" s="63"/>
      <c r="D26" s="63"/>
      <c r="E26" s="63"/>
      <c r="F26" s="63"/>
      <c r="G26" s="63"/>
      <c r="H26" s="63"/>
    </row>
    <row r="27" spans="1:8" x14ac:dyDescent="0.25">
      <c r="A27" s="63"/>
      <c r="B27" s="63"/>
      <c r="C27" s="63"/>
      <c r="D27" s="63"/>
      <c r="E27" s="63"/>
      <c r="F27" s="63"/>
      <c r="G27" s="63"/>
      <c r="H27" s="63"/>
    </row>
    <row r="28" spans="1:8" x14ac:dyDescent="0.25">
      <c r="A28" s="63"/>
      <c r="B28" s="63"/>
      <c r="C28" s="63"/>
      <c r="D28" s="63"/>
      <c r="E28" s="63"/>
      <c r="F28" s="63"/>
      <c r="G28" s="63"/>
      <c r="H28" s="63"/>
    </row>
    <row r="29" spans="1:8" x14ac:dyDescent="0.25">
      <c r="A29" s="63"/>
      <c r="B29" s="63"/>
      <c r="C29" s="63"/>
      <c r="D29" s="63"/>
      <c r="E29" s="63"/>
      <c r="F29" s="63"/>
      <c r="G29" s="63"/>
      <c r="H29" s="63"/>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1B3D-85D4-4CF4-91C7-CBA85E24A44E}">
  <dimension ref="A1:KC54"/>
  <sheetViews>
    <sheetView showGridLines="0" tabSelected="1" zoomScaleNormal="100" workbookViewId="0">
      <selection activeCell="A3" sqref="A3"/>
    </sheetView>
  </sheetViews>
  <sheetFormatPr defaultColWidth="8.88671875" defaultRowHeight="13.8" outlineLevelRow="1" x14ac:dyDescent="0.25"/>
  <cols>
    <col min="1" max="1" width="30.88671875" style="44" bestFit="1" customWidth="1"/>
    <col min="2" max="2" width="2.33203125" style="35" bestFit="1" customWidth="1"/>
    <col min="3" max="3" width="27.5546875" style="37" bestFit="1" customWidth="1"/>
    <col min="4" max="4" width="14" style="44" bestFit="1" customWidth="1"/>
    <col min="5" max="5" width="16.44140625" style="44" bestFit="1" customWidth="1"/>
    <col min="6" max="6" width="3.6640625" style="44" customWidth="1"/>
    <col min="7" max="7" width="23.6640625" style="37" customWidth="1"/>
    <col min="8" max="8" width="11.44140625" style="35" bestFit="1" customWidth="1"/>
    <col min="9" max="9" width="16.44140625" style="35" bestFit="1" customWidth="1"/>
    <col min="10" max="10" width="2.88671875" style="44" bestFit="1" customWidth="1"/>
    <col min="11" max="11" width="23.88671875" style="35" bestFit="1" customWidth="1"/>
    <col min="12" max="12" width="11.44140625" style="35" bestFit="1" customWidth="1"/>
    <col min="13" max="13" width="16.44140625" style="35" bestFit="1" customWidth="1"/>
    <col min="14" max="14" width="2.33203125" style="35" bestFit="1" customWidth="1"/>
    <col min="15" max="15" width="23.88671875" style="35" bestFit="1" customWidth="1"/>
    <col min="16" max="16" width="11.44140625" style="35" bestFit="1" customWidth="1"/>
    <col min="17" max="17" width="16.44140625" style="35" bestFit="1" customWidth="1"/>
    <col min="18" max="18" width="2.33203125" style="35" bestFit="1" customWidth="1"/>
    <col min="19" max="19" width="23.88671875" style="35" bestFit="1" customWidth="1"/>
    <col min="20" max="20" width="11.44140625" style="35" bestFit="1" customWidth="1"/>
    <col min="21" max="21" width="16.44140625" style="35" bestFit="1" customWidth="1"/>
    <col min="22" max="22" width="2.33203125" style="35" bestFit="1" customWidth="1"/>
    <col min="23" max="23" width="23.88671875" style="35" bestFit="1" customWidth="1"/>
    <col min="24" max="24" width="11.44140625" style="35" bestFit="1" customWidth="1"/>
    <col min="25" max="25" width="16.44140625" style="35" bestFit="1" customWidth="1"/>
    <col min="26" max="26" width="2.33203125" style="35" bestFit="1" customWidth="1"/>
    <col min="27" max="27" width="23.88671875" style="35" bestFit="1" customWidth="1"/>
    <col min="28" max="28" width="11.44140625" style="35" bestFit="1" customWidth="1"/>
    <col min="29" max="29" width="16.44140625" style="35" bestFit="1" customWidth="1"/>
    <col min="30" max="30" width="2.33203125" style="35" bestFit="1" customWidth="1"/>
    <col min="31" max="31" width="23.88671875" style="35" bestFit="1" customWidth="1"/>
    <col min="32" max="32" width="11.44140625" style="35" bestFit="1" customWidth="1"/>
    <col min="33" max="33" width="16.44140625" style="35" bestFit="1" customWidth="1"/>
    <col min="34" max="34" width="2.33203125" style="35" bestFit="1" customWidth="1"/>
    <col min="35" max="35" width="23.88671875" style="35" bestFit="1" customWidth="1"/>
    <col min="36" max="36" width="11.44140625" style="35" bestFit="1" customWidth="1"/>
    <col min="37" max="37" width="16.44140625" style="35" bestFit="1" customWidth="1"/>
    <col min="38" max="38" width="2.33203125" style="35" bestFit="1" customWidth="1"/>
    <col min="39" max="39" width="23.88671875" style="35" bestFit="1" customWidth="1"/>
    <col min="40" max="40" width="11.44140625" style="35" bestFit="1" customWidth="1"/>
    <col min="41" max="41" width="16.44140625" style="35" bestFit="1" customWidth="1"/>
    <col min="42" max="42" width="2.33203125" style="35" bestFit="1" customWidth="1"/>
    <col min="43" max="43" width="23.88671875" style="35" bestFit="1" customWidth="1"/>
    <col min="44" max="44" width="11.44140625" style="35" bestFit="1" customWidth="1"/>
    <col min="45" max="45" width="16.44140625" style="35" bestFit="1" customWidth="1"/>
    <col min="46" max="46" width="2.33203125" style="35" bestFit="1" customWidth="1"/>
    <col min="47" max="47" width="23.88671875" style="35" bestFit="1" customWidth="1"/>
    <col min="48" max="48" width="11.44140625" style="35" bestFit="1" customWidth="1"/>
    <col min="49" max="49" width="16.44140625" style="35" bestFit="1" customWidth="1"/>
    <col min="50" max="50" width="2.33203125" style="35" bestFit="1" customWidth="1"/>
    <col min="51" max="51" width="23.88671875" style="35" bestFit="1" customWidth="1"/>
    <col min="52" max="52" width="11.44140625" style="35" bestFit="1" customWidth="1"/>
    <col min="53" max="53" width="16.44140625" style="35" bestFit="1" customWidth="1"/>
    <col min="54" max="54" width="2.33203125" style="35" bestFit="1" customWidth="1"/>
    <col min="55" max="55" width="23.88671875" style="35" bestFit="1" customWidth="1"/>
    <col min="56" max="56" width="11.44140625" style="35" bestFit="1" customWidth="1"/>
    <col min="57" max="57" width="16.44140625" style="35" bestFit="1" customWidth="1"/>
    <col min="58" max="58" width="2.33203125" style="35" bestFit="1" customWidth="1"/>
    <col min="59" max="59" width="23.88671875" style="35" bestFit="1" customWidth="1"/>
    <col min="60" max="60" width="11.44140625" style="35" bestFit="1" customWidth="1"/>
    <col min="61" max="61" width="16.44140625" style="35" bestFit="1" customWidth="1"/>
    <col min="62" max="62" width="2.33203125" style="35" bestFit="1" customWidth="1"/>
    <col min="63" max="63" width="23.88671875" style="35" bestFit="1" customWidth="1"/>
    <col min="64" max="64" width="11.44140625" style="35" bestFit="1" customWidth="1"/>
    <col min="65" max="65" width="16.44140625" style="35" bestFit="1" customWidth="1"/>
    <col min="66" max="66" width="2.33203125" style="35" bestFit="1" customWidth="1"/>
    <col min="67" max="67" width="23.88671875" style="35" bestFit="1" customWidth="1"/>
    <col min="68" max="68" width="11.44140625" style="35" bestFit="1" customWidth="1"/>
    <col min="69" max="69" width="16.44140625" style="35" bestFit="1" customWidth="1"/>
    <col min="70" max="70" width="2.33203125" style="35" bestFit="1" customWidth="1"/>
    <col min="71" max="71" width="23.88671875" style="35" bestFit="1" customWidth="1"/>
    <col min="72" max="72" width="11.44140625" style="35" bestFit="1" customWidth="1"/>
    <col min="73" max="73" width="16.44140625" style="35" bestFit="1" customWidth="1"/>
    <col min="74" max="74" width="2.33203125" style="35" bestFit="1" customWidth="1"/>
    <col min="75" max="75" width="23.88671875" style="35" bestFit="1" customWidth="1"/>
    <col min="76" max="76" width="11.33203125" style="35" bestFit="1" customWidth="1"/>
    <col min="77" max="77" width="16.44140625" style="35" bestFit="1" customWidth="1"/>
    <col min="78" max="78" width="2.33203125" style="35" bestFit="1" customWidth="1"/>
    <col min="79" max="79" width="23.88671875" style="35" bestFit="1" customWidth="1"/>
    <col min="80" max="80" width="11.33203125" style="35" bestFit="1" customWidth="1"/>
    <col min="81" max="81" width="16.44140625" style="35" bestFit="1" customWidth="1"/>
    <col min="82" max="82" width="2.33203125" style="35" bestFit="1" customWidth="1"/>
    <col min="83" max="83" width="23.88671875" style="35" bestFit="1" customWidth="1"/>
    <col min="84" max="84" width="11.33203125" style="35" bestFit="1" customWidth="1"/>
    <col min="85" max="85" width="16.44140625" style="35" bestFit="1" customWidth="1"/>
    <col min="86" max="86" width="2.33203125" style="35" bestFit="1" customWidth="1"/>
    <col min="87" max="87" width="23.88671875" style="35" bestFit="1" customWidth="1"/>
    <col min="88" max="88" width="11.33203125" style="35" bestFit="1" customWidth="1"/>
    <col min="89" max="89" width="16.44140625" style="35" bestFit="1" customWidth="1"/>
    <col min="90" max="90" width="2.33203125" style="35" bestFit="1" customWidth="1"/>
    <col min="91" max="91" width="23.88671875" style="35" bestFit="1" customWidth="1"/>
    <col min="92" max="92" width="11.33203125" style="35" bestFit="1" customWidth="1"/>
    <col min="93" max="93" width="16.44140625" style="35" bestFit="1" customWidth="1"/>
    <col min="94" max="94" width="2.33203125" style="35" bestFit="1" customWidth="1"/>
    <col min="95" max="95" width="23.88671875" style="35" bestFit="1" customWidth="1"/>
    <col min="96" max="96" width="11.44140625" style="35" bestFit="1" customWidth="1"/>
    <col min="97" max="97" width="16.44140625" style="35" bestFit="1" customWidth="1"/>
    <col min="98" max="98" width="2.33203125" style="35" bestFit="1" customWidth="1"/>
    <col min="99" max="99" width="23.6640625" style="35" customWidth="1"/>
    <col min="100" max="100" width="11.44140625" style="35" bestFit="1" customWidth="1"/>
    <col min="101" max="101" width="16.44140625" style="35" bestFit="1" customWidth="1"/>
    <col min="102" max="102" width="8.88671875" style="35"/>
    <col min="103" max="103" width="23.88671875" style="35" bestFit="1" customWidth="1"/>
    <col min="104" max="104" width="11.44140625" style="35" bestFit="1" customWidth="1"/>
    <col min="105" max="105" width="16.44140625" style="35" bestFit="1" customWidth="1"/>
    <col min="106" max="106" width="8.88671875" style="35"/>
    <col min="107" max="107" width="23.88671875" style="35" bestFit="1" customWidth="1"/>
    <col min="108" max="108" width="11.44140625" style="35" bestFit="1" customWidth="1"/>
    <col min="109" max="109" width="16.44140625" style="35" bestFit="1" customWidth="1"/>
    <col min="110" max="110" width="8.88671875" style="35"/>
    <col min="111" max="111" width="23.88671875" style="35" bestFit="1" customWidth="1"/>
    <col min="112" max="112" width="11.44140625" style="35" bestFit="1" customWidth="1"/>
    <col min="113" max="113" width="16.44140625" style="35" bestFit="1" customWidth="1"/>
    <col min="114" max="114" width="8.88671875" style="35"/>
    <col min="115" max="115" width="23.88671875" style="35" bestFit="1" customWidth="1"/>
    <col min="116" max="116" width="11.44140625" style="35" bestFit="1" customWidth="1"/>
    <col min="117" max="117" width="16.44140625" style="35" bestFit="1" customWidth="1"/>
    <col min="118" max="118" width="8.88671875" style="35"/>
    <col min="119" max="119" width="23.88671875" style="35" bestFit="1" customWidth="1"/>
    <col min="120" max="120" width="11.44140625" style="35" bestFit="1" customWidth="1"/>
    <col min="121" max="121" width="16.44140625" style="35" bestFit="1" customWidth="1"/>
    <col min="122" max="122" width="8.88671875" style="35"/>
    <col min="123" max="123" width="23.88671875" style="35" bestFit="1" customWidth="1"/>
    <col min="124" max="124" width="11.44140625" style="35" bestFit="1" customWidth="1"/>
    <col min="125" max="125" width="16.44140625" style="35" bestFit="1" customWidth="1"/>
    <col min="126" max="126" width="8.88671875" style="35"/>
    <col min="127" max="127" width="23.88671875" style="35" bestFit="1" customWidth="1"/>
    <col min="128" max="128" width="11.44140625" style="35" bestFit="1" customWidth="1"/>
    <col min="129" max="129" width="16.44140625" style="35" bestFit="1" customWidth="1"/>
    <col min="130" max="130" width="8.88671875" style="35"/>
    <col min="131" max="131" width="23.88671875" style="35" bestFit="1" customWidth="1"/>
    <col min="132" max="132" width="11.44140625" style="35" bestFit="1" customWidth="1"/>
    <col min="133" max="133" width="16.44140625" style="35" bestFit="1" customWidth="1"/>
    <col min="134" max="134" width="8.88671875" style="35"/>
    <col min="135" max="135" width="23.88671875" style="35" bestFit="1" customWidth="1"/>
    <col min="136" max="136" width="11.44140625" style="35" bestFit="1" customWidth="1"/>
    <col min="137" max="137" width="16.44140625" style="35" bestFit="1" customWidth="1"/>
    <col min="138" max="138" width="8.88671875" style="35"/>
    <col min="139" max="139" width="23.88671875" style="35" bestFit="1" customWidth="1"/>
    <col min="140" max="140" width="11.44140625" style="35" bestFit="1" customWidth="1"/>
    <col min="141" max="141" width="16.44140625" style="35" bestFit="1" customWidth="1"/>
    <col min="142" max="142" width="8.88671875" style="35"/>
    <col min="143" max="143" width="23.88671875" style="35" bestFit="1" customWidth="1"/>
    <col min="144" max="144" width="11.44140625" style="35" bestFit="1" customWidth="1"/>
    <col min="145" max="145" width="16.44140625" style="35" bestFit="1" customWidth="1"/>
    <col min="146" max="146" width="8.88671875" style="35"/>
    <col min="147" max="147" width="23.88671875" style="35" bestFit="1" customWidth="1"/>
    <col min="148" max="148" width="11.44140625" style="35" bestFit="1" customWidth="1"/>
    <col min="149" max="149" width="16.44140625" style="35" bestFit="1" customWidth="1"/>
    <col min="150" max="150" width="8.88671875" style="35"/>
    <col min="151" max="151" width="23.88671875" style="35" bestFit="1" customWidth="1"/>
    <col min="152" max="152" width="10.109375" style="35" bestFit="1" customWidth="1"/>
    <col min="153" max="153" width="16.44140625" style="35" bestFit="1" customWidth="1"/>
    <col min="154" max="154" width="8.88671875" style="35"/>
    <col min="155" max="155" width="23.88671875" style="35" bestFit="1" customWidth="1"/>
    <col min="156" max="156" width="10.109375" style="35" bestFit="1" customWidth="1"/>
    <col min="157" max="157" width="16.44140625" style="35" bestFit="1" customWidth="1"/>
    <col min="158" max="158" width="8.88671875" style="35"/>
    <col min="159" max="159" width="23.88671875" style="35" bestFit="1" customWidth="1"/>
    <col min="160" max="160" width="11.33203125" style="35" bestFit="1" customWidth="1"/>
    <col min="161" max="161" width="16.44140625" style="35" bestFit="1" customWidth="1"/>
    <col min="162" max="162" width="8.88671875" style="35"/>
    <col min="163" max="163" width="23.88671875" style="35" bestFit="1" customWidth="1"/>
    <col min="164" max="164" width="10.5546875" style="35" bestFit="1" customWidth="1"/>
    <col min="165" max="165" width="16.44140625" style="35" bestFit="1" customWidth="1"/>
    <col min="166" max="166" width="8.88671875" style="35"/>
    <col min="167" max="167" width="23.88671875" style="35" bestFit="1" customWidth="1"/>
    <col min="168" max="168" width="10.5546875" style="35" bestFit="1" customWidth="1"/>
    <col min="169" max="169" width="16.44140625" style="35" bestFit="1" customWidth="1"/>
    <col min="170" max="170" width="8.88671875" style="35"/>
    <col min="171" max="171" width="23.88671875" style="35" bestFit="1" customWidth="1"/>
    <col min="172" max="172" width="11.33203125" style="35" bestFit="1" customWidth="1"/>
    <col min="173" max="173" width="16.44140625" style="35" bestFit="1" customWidth="1"/>
    <col min="174" max="174" width="8.88671875" style="35"/>
    <col min="175" max="175" width="23.88671875" style="35" bestFit="1" customWidth="1"/>
    <col min="176" max="176" width="10.5546875" style="35" bestFit="1" customWidth="1"/>
    <col min="177" max="177" width="16.44140625" style="35" bestFit="1" customWidth="1"/>
    <col min="178" max="178" width="8.88671875" style="35"/>
    <col min="179" max="179" width="23.88671875" style="35" bestFit="1" customWidth="1"/>
    <col min="180" max="180" width="10.5546875" style="35" bestFit="1" customWidth="1"/>
    <col min="181" max="181" width="16.44140625" style="35" bestFit="1" customWidth="1"/>
    <col min="182" max="182" width="8.88671875" style="35"/>
    <col min="183" max="183" width="23.88671875" style="35" bestFit="1" customWidth="1"/>
    <col min="184" max="184" width="11.33203125" style="35" bestFit="1" customWidth="1"/>
    <col min="185" max="185" width="16.44140625" style="35" bestFit="1" customWidth="1"/>
    <col min="186" max="186" width="8.88671875" style="35"/>
    <col min="187" max="187" width="23.88671875" style="35" bestFit="1" customWidth="1"/>
    <col min="188" max="188" width="13.33203125" style="35" bestFit="1" customWidth="1"/>
    <col min="189" max="189" width="16.44140625" style="35" bestFit="1" customWidth="1"/>
    <col min="190" max="190" width="8.88671875" style="35"/>
    <col min="191" max="191" width="23.88671875" style="35" bestFit="1" customWidth="1"/>
    <col min="192" max="192" width="11.44140625" style="35" bestFit="1" customWidth="1"/>
    <col min="193" max="193" width="16.44140625" style="35" bestFit="1" customWidth="1"/>
    <col min="194" max="194" width="8.88671875" style="35"/>
    <col min="195" max="195" width="23.88671875" style="35" bestFit="1" customWidth="1"/>
    <col min="196" max="196" width="11.44140625" style="35" bestFit="1" customWidth="1"/>
    <col min="197" max="197" width="16.44140625" style="35" bestFit="1" customWidth="1"/>
    <col min="198" max="198" width="8.88671875" style="35"/>
    <col min="199" max="199" width="23.88671875" style="35" bestFit="1" customWidth="1"/>
    <col min="200" max="200" width="11.44140625" style="35" bestFit="1" customWidth="1"/>
    <col min="201" max="201" width="16.44140625" style="35" bestFit="1" customWidth="1"/>
    <col min="202" max="202" width="8.88671875" style="35"/>
    <col min="203" max="203" width="23.88671875" style="35" bestFit="1" customWidth="1"/>
    <col min="204" max="204" width="11.44140625" style="35" bestFit="1" customWidth="1"/>
    <col min="205" max="205" width="16.44140625" style="35" bestFit="1" customWidth="1"/>
    <col min="206" max="206" width="8.88671875" style="35"/>
    <col min="207" max="207" width="23.88671875" style="35" bestFit="1" customWidth="1"/>
    <col min="208" max="208" width="11.44140625" style="35" bestFit="1" customWidth="1"/>
    <col min="209" max="209" width="16.44140625" style="35" bestFit="1" customWidth="1"/>
    <col min="210" max="210" width="8.88671875" style="35"/>
    <col min="211" max="211" width="23.88671875" style="35" bestFit="1" customWidth="1"/>
    <col min="212" max="212" width="11.44140625" style="35" bestFit="1" customWidth="1"/>
    <col min="213" max="213" width="16.44140625" style="35" bestFit="1" customWidth="1"/>
    <col min="214" max="214" width="8.88671875" style="35"/>
    <col min="215" max="215" width="23.88671875" style="35" bestFit="1" customWidth="1"/>
    <col min="216" max="216" width="11.44140625" style="35" bestFit="1" customWidth="1"/>
    <col min="217" max="217" width="16.44140625" style="35" bestFit="1" customWidth="1"/>
    <col min="218" max="218" width="8.88671875" style="35"/>
    <col min="219" max="219" width="23.88671875" style="35" bestFit="1" customWidth="1"/>
    <col min="220" max="220" width="11.44140625" style="35" bestFit="1" customWidth="1"/>
    <col min="221" max="221" width="16.44140625" style="35" bestFit="1" customWidth="1"/>
    <col min="222" max="222" width="8.88671875" style="35"/>
    <col min="223" max="223" width="23.88671875" style="35" bestFit="1" customWidth="1"/>
    <col min="224" max="224" width="10.5546875" style="35" bestFit="1" customWidth="1"/>
    <col min="225" max="225" width="16.44140625" style="35" bestFit="1" customWidth="1"/>
    <col min="226" max="226" width="8.88671875" style="35"/>
    <col min="227" max="227" width="23.88671875" style="35" bestFit="1" customWidth="1"/>
    <col min="228" max="228" width="10.5546875" style="35" bestFit="1" customWidth="1"/>
    <col min="229" max="229" width="16.44140625" style="35" bestFit="1" customWidth="1"/>
    <col min="230" max="230" width="8.88671875" style="35"/>
    <col min="231" max="231" width="23.88671875" style="35" bestFit="1" customWidth="1"/>
    <col min="232" max="232" width="11.33203125" style="35" bestFit="1" customWidth="1"/>
    <col min="233" max="233" width="16.44140625" style="35" bestFit="1" customWidth="1"/>
    <col min="234" max="234" width="8.88671875" style="35"/>
    <col min="235" max="235" width="23.88671875" style="35" bestFit="1" customWidth="1"/>
    <col min="236" max="236" width="10.5546875" style="35" bestFit="1" customWidth="1"/>
    <col min="237" max="237" width="16.44140625" style="35" bestFit="1" customWidth="1"/>
    <col min="238" max="238" width="8.88671875" style="35"/>
    <col min="239" max="239" width="23.88671875" style="35" bestFit="1" customWidth="1"/>
    <col min="240" max="240" width="10.5546875" style="35" bestFit="1" customWidth="1"/>
    <col min="241" max="241" width="16.44140625" style="35" bestFit="1" customWidth="1"/>
    <col min="242" max="242" width="8.88671875" style="35"/>
    <col min="243" max="243" width="23.88671875" style="35" bestFit="1" customWidth="1"/>
    <col min="244" max="244" width="11.44140625" style="35" bestFit="1" customWidth="1"/>
    <col min="245" max="245" width="16.44140625" style="35" bestFit="1" customWidth="1"/>
    <col min="246" max="246" width="8.88671875" style="35"/>
    <col min="247" max="247" width="23.88671875" style="35" bestFit="1" customWidth="1"/>
    <col min="248" max="248" width="10.5546875" style="35" bestFit="1" customWidth="1"/>
    <col min="249" max="249" width="16.44140625" style="35" bestFit="1" customWidth="1"/>
    <col min="250" max="250" width="8.88671875" style="35"/>
    <col min="251" max="251" width="23.88671875" style="35" bestFit="1" customWidth="1"/>
    <col min="252" max="252" width="10.5546875" style="35" bestFit="1" customWidth="1"/>
    <col min="253" max="253" width="16.44140625" style="35" bestFit="1" customWidth="1"/>
    <col min="254" max="254" width="8.88671875" style="35"/>
    <col min="255" max="255" width="23.88671875" style="35" bestFit="1" customWidth="1"/>
    <col min="256" max="256" width="11.33203125" style="35" bestFit="1" customWidth="1"/>
    <col min="257" max="257" width="16.44140625" style="35" bestFit="1" customWidth="1"/>
    <col min="258" max="258" width="8.88671875" style="35"/>
    <col min="259" max="259" width="23.88671875" style="35" bestFit="1" customWidth="1"/>
    <col min="260" max="260" width="10.5546875" style="35" bestFit="1" customWidth="1"/>
    <col min="261" max="261" width="16.44140625" style="35" bestFit="1" customWidth="1"/>
    <col min="262" max="262" width="8.88671875" style="35"/>
    <col min="263" max="263" width="23.88671875" style="35" bestFit="1" customWidth="1"/>
    <col min="264" max="264" width="10.5546875" style="35" bestFit="1" customWidth="1"/>
    <col min="265" max="265" width="16.44140625" style="35" bestFit="1" customWidth="1"/>
    <col min="266" max="266" width="8.88671875" style="35"/>
    <col min="267" max="267" width="23.88671875" style="35" bestFit="1" customWidth="1"/>
    <col min="268" max="268" width="11.33203125" style="35" bestFit="1" customWidth="1"/>
    <col min="269" max="269" width="16.44140625" style="35" bestFit="1" customWidth="1"/>
    <col min="270" max="270" width="8.88671875" style="35"/>
    <col min="271" max="271" width="23.88671875" style="35" bestFit="1" customWidth="1"/>
    <col min="272" max="272" width="10.5546875" style="35" bestFit="1" customWidth="1"/>
    <col min="273" max="273" width="16.44140625" style="35" bestFit="1" customWidth="1"/>
    <col min="274" max="274" width="8.88671875" style="35"/>
    <col min="275" max="275" width="23.88671875" style="35" bestFit="1" customWidth="1"/>
    <col min="276" max="276" width="10.5546875" style="35" bestFit="1" customWidth="1"/>
    <col min="277" max="277" width="16.44140625" style="35" bestFit="1" customWidth="1"/>
    <col min="278" max="278" width="8.88671875" style="35"/>
    <col min="279" max="279" width="23.88671875" style="35" bestFit="1" customWidth="1"/>
    <col min="280" max="280" width="11.44140625" style="35" bestFit="1" customWidth="1"/>
    <col min="281" max="281" width="16.44140625" style="35" bestFit="1" customWidth="1"/>
    <col min="282" max="282" width="8.88671875" style="35"/>
    <col min="283" max="283" width="23.88671875" style="35" bestFit="1" customWidth="1"/>
    <col min="284" max="284" width="10.5546875" style="35" bestFit="1" customWidth="1"/>
    <col min="285" max="285" width="16.44140625" style="35" bestFit="1" customWidth="1"/>
    <col min="286" max="286" width="8.88671875" style="35"/>
    <col min="287" max="287" width="23.88671875" style="35" bestFit="1" customWidth="1"/>
    <col min="288" max="288" width="10.5546875" style="35" bestFit="1" customWidth="1"/>
    <col min="289" max="289" width="16.44140625" style="35" bestFit="1" customWidth="1"/>
    <col min="290" max="290" width="8.88671875" style="35"/>
    <col min="291" max="291" width="23.6640625" style="35" bestFit="1" customWidth="1"/>
    <col min="292" max="292" width="11.33203125" style="35" bestFit="1" customWidth="1"/>
    <col min="293" max="293" width="16.33203125" style="35" bestFit="1" customWidth="1"/>
    <col min="294" max="16384" width="8.88671875" style="35"/>
  </cols>
  <sheetData>
    <row r="1" spans="1:289" x14ac:dyDescent="0.25">
      <c r="A1" s="96" t="s">
        <v>207</v>
      </c>
      <c r="C1" s="95">
        <v>0</v>
      </c>
      <c r="D1" s="126"/>
      <c r="E1" s="63"/>
      <c r="F1" s="63"/>
      <c r="G1" s="95">
        <f>C$1+1</f>
        <v>1</v>
      </c>
      <c r="H1" s="127"/>
      <c r="I1" s="63"/>
      <c r="J1" s="63"/>
      <c r="K1" s="95">
        <f>G$1+1</f>
        <v>2</v>
      </c>
      <c r="L1" s="127"/>
      <c r="M1" s="63"/>
      <c r="N1" s="63"/>
      <c r="O1" s="95">
        <f t="shared" ref="O1" si="0">K$1+1</f>
        <v>3</v>
      </c>
      <c r="P1" s="127"/>
      <c r="Q1" s="63"/>
      <c r="R1" s="63"/>
      <c r="S1" s="95">
        <f t="shared" ref="S1" si="1">O$1+1</f>
        <v>4</v>
      </c>
      <c r="T1" s="127"/>
      <c r="U1" s="63"/>
      <c r="V1" s="63"/>
      <c r="W1" s="95">
        <f t="shared" ref="W1" si="2">S$1+1</f>
        <v>5</v>
      </c>
      <c r="X1" s="127"/>
      <c r="Y1" s="63"/>
      <c r="Z1" s="63"/>
      <c r="AA1" s="95">
        <f t="shared" ref="AA1" si="3">W$1+1</f>
        <v>6</v>
      </c>
      <c r="AB1" s="127"/>
      <c r="AC1" s="63"/>
      <c r="AD1" s="63"/>
      <c r="AE1" s="95">
        <f t="shared" ref="AE1" si="4">AA$1+1</f>
        <v>7</v>
      </c>
      <c r="AF1" s="127"/>
      <c r="AG1" s="63"/>
      <c r="AH1" s="63"/>
      <c r="AI1" s="95">
        <f t="shared" ref="AI1" si="5">AE$1+1</f>
        <v>8</v>
      </c>
      <c r="AJ1" s="127"/>
      <c r="AK1" s="63"/>
      <c r="AL1" s="63"/>
      <c r="AM1" s="95">
        <f t="shared" ref="AM1" si="6">AI$1+1</f>
        <v>9</v>
      </c>
      <c r="AN1" s="127"/>
      <c r="AO1" s="63"/>
      <c r="AP1" s="63"/>
      <c r="AQ1" s="95">
        <f t="shared" ref="AQ1" si="7">AM$1+1</f>
        <v>10</v>
      </c>
      <c r="AR1" s="127"/>
      <c r="AS1" s="63"/>
      <c r="AT1" s="63"/>
      <c r="AU1" s="95">
        <f t="shared" ref="AU1" si="8">AQ$1+1</f>
        <v>11</v>
      </c>
      <c r="AV1" s="127"/>
      <c r="AW1" s="63"/>
      <c r="AX1" s="63"/>
      <c r="AY1" s="95">
        <f t="shared" ref="AY1" si="9">AU$1+1</f>
        <v>12</v>
      </c>
      <c r="AZ1" s="127"/>
      <c r="BA1" s="63"/>
      <c r="BB1" s="63"/>
      <c r="BC1" s="95">
        <f t="shared" ref="BC1" si="10">AY$1+1</f>
        <v>13</v>
      </c>
      <c r="BD1" s="127"/>
      <c r="BE1" s="63"/>
      <c r="BF1" s="63"/>
      <c r="BG1" s="95">
        <f t="shared" ref="BG1" si="11">BC$1+1</f>
        <v>14</v>
      </c>
      <c r="BH1" s="127"/>
      <c r="BI1" s="63"/>
      <c r="BJ1" s="63"/>
      <c r="BK1" s="95">
        <f t="shared" ref="BK1" si="12">BG$1+1</f>
        <v>15</v>
      </c>
      <c r="BL1" s="127"/>
      <c r="BM1" s="63"/>
      <c r="BN1" s="63"/>
      <c r="BO1" s="95">
        <f t="shared" ref="BO1" si="13">BK$1+1</f>
        <v>16</v>
      </c>
      <c r="BP1" s="127"/>
      <c r="BQ1" s="63"/>
      <c r="BR1" s="63"/>
      <c r="BS1" s="95">
        <f t="shared" ref="BS1" si="14">BO$1+1</f>
        <v>17</v>
      </c>
      <c r="BT1" s="127"/>
      <c r="BU1" s="63"/>
      <c r="BV1" s="63"/>
      <c r="BW1" s="95">
        <f t="shared" ref="BW1" si="15">BS$1+1</f>
        <v>18</v>
      </c>
      <c r="BX1" s="127"/>
      <c r="BY1" s="63"/>
      <c r="BZ1" s="63"/>
      <c r="CA1" s="95">
        <f t="shared" ref="CA1" si="16">BW$1+1</f>
        <v>19</v>
      </c>
      <c r="CB1" s="127"/>
      <c r="CC1" s="63"/>
      <c r="CD1" s="63"/>
      <c r="CE1" s="95">
        <f t="shared" ref="CE1" si="17">CA$1+1</f>
        <v>20</v>
      </c>
      <c r="CF1" s="127"/>
      <c r="CG1" s="63"/>
      <c r="CH1" s="63"/>
      <c r="CI1" s="95">
        <f t="shared" ref="CI1" si="18">CE$1+1</f>
        <v>21</v>
      </c>
      <c r="CJ1" s="127"/>
      <c r="CK1" s="63"/>
      <c r="CL1" s="63"/>
      <c r="CM1" s="95">
        <f t="shared" ref="CM1" si="19">CI$1+1</f>
        <v>22</v>
      </c>
      <c r="CN1" s="127"/>
      <c r="CO1" s="63"/>
      <c r="CP1" s="63"/>
      <c r="CQ1" s="95">
        <f t="shared" ref="CQ1" si="20">CM$1+1</f>
        <v>23</v>
      </c>
      <c r="CR1" s="127"/>
      <c r="CS1" s="63"/>
      <c r="CT1" s="63"/>
      <c r="CU1" s="95">
        <f t="shared" ref="CU1" si="21">CQ$1+1</f>
        <v>24</v>
      </c>
      <c r="CV1" s="127"/>
      <c r="CW1" s="63"/>
      <c r="CX1" s="63"/>
      <c r="CY1" s="95">
        <f t="shared" ref="CY1" si="22">CU$1+1</f>
        <v>25</v>
      </c>
      <c r="CZ1" s="127"/>
      <c r="DA1" s="63"/>
      <c r="DB1" s="63"/>
      <c r="DC1" s="95">
        <f t="shared" ref="DC1" si="23">CY$1+1</f>
        <v>26</v>
      </c>
      <c r="DD1" s="127"/>
      <c r="DE1" s="63"/>
      <c r="DF1" s="63"/>
      <c r="DG1" s="95">
        <f t="shared" ref="DG1" si="24">DC$1+1</f>
        <v>27</v>
      </c>
      <c r="DH1" s="127"/>
      <c r="DI1" s="63"/>
      <c r="DJ1" s="63"/>
      <c r="DK1" s="95">
        <f t="shared" ref="DK1" si="25">DG$1+1</f>
        <v>28</v>
      </c>
      <c r="DL1" s="127"/>
      <c r="DM1" s="63"/>
      <c r="DN1" s="63"/>
      <c r="DO1" s="95">
        <f t="shared" ref="DO1" si="26">DK$1+1</f>
        <v>29</v>
      </c>
      <c r="DP1" s="127"/>
      <c r="DQ1" s="63"/>
      <c r="DR1" s="63"/>
      <c r="DS1" s="95">
        <f t="shared" ref="DS1" si="27">DO$1+1</f>
        <v>30</v>
      </c>
      <c r="DT1" s="127"/>
      <c r="DU1" s="63"/>
      <c r="DV1" s="63"/>
      <c r="DW1" s="95">
        <f t="shared" ref="DW1" si="28">DS$1+1</f>
        <v>31</v>
      </c>
      <c r="DX1" s="127"/>
      <c r="DY1" s="63"/>
      <c r="DZ1" s="63"/>
      <c r="EA1" s="95">
        <f t="shared" ref="EA1" si="29">DW$1+1</f>
        <v>32</v>
      </c>
      <c r="EB1" s="127"/>
      <c r="EC1" s="63"/>
      <c r="ED1" s="63"/>
      <c r="EE1" s="95">
        <f t="shared" ref="EE1" si="30">EA$1+1</f>
        <v>33</v>
      </c>
      <c r="EF1" s="127"/>
      <c r="EG1" s="63"/>
      <c r="EH1" s="63"/>
      <c r="EI1" s="95">
        <f t="shared" ref="EI1" si="31">EE$1+1</f>
        <v>34</v>
      </c>
      <c r="EJ1" s="127"/>
      <c r="EK1" s="63"/>
      <c r="EL1" s="63"/>
      <c r="EM1" s="95">
        <f t="shared" ref="EM1" si="32">EI$1+1</f>
        <v>35</v>
      </c>
      <c r="EN1" s="127"/>
      <c r="EO1" s="63"/>
      <c r="EP1" s="63"/>
      <c r="EQ1" s="95">
        <f t="shared" ref="EQ1" si="33">EM$1+1</f>
        <v>36</v>
      </c>
      <c r="ER1" s="127"/>
      <c r="ES1" s="63"/>
      <c r="ET1" s="63"/>
      <c r="EU1" s="95">
        <f t="shared" ref="EU1" si="34">EQ$1+1</f>
        <v>37</v>
      </c>
      <c r="EV1" s="127"/>
      <c r="EW1" s="63"/>
      <c r="EX1" s="63"/>
      <c r="EY1" s="95">
        <f t="shared" ref="EY1" si="35">EU$1+1</f>
        <v>38</v>
      </c>
      <c r="EZ1" s="127"/>
      <c r="FA1" s="63"/>
      <c r="FB1" s="63"/>
      <c r="FC1" s="95">
        <f t="shared" ref="FC1" si="36">EY$1+1</f>
        <v>39</v>
      </c>
      <c r="FD1" s="127"/>
      <c r="FE1" s="63"/>
      <c r="FF1" s="63"/>
      <c r="FG1" s="95">
        <f t="shared" ref="FG1" si="37">FC$1+1</f>
        <v>40</v>
      </c>
      <c r="FH1" s="127"/>
      <c r="FI1" s="63"/>
      <c r="FJ1" s="63"/>
      <c r="FK1" s="95">
        <f t="shared" ref="FK1" si="38">FG$1+1</f>
        <v>41</v>
      </c>
      <c r="FL1" s="127"/>
      <c r="FM1" s="63"/>
      <c r="FN1" s="63"/>
      <c r="FO1" s="95">
        <f t="shared" ref="FO1" si="39">FK$1+1</f>
        <v>42</v>
      </c>
      <c r="FP1" s="127"/>
      <c r="FQ1" s="63"/>
      <c r="FR1" s="63"/>
      <c r="FS1" s="95">
        <f t="shared" ref="FS1" si="40">FO$1+1</f>
        <v>43</v>
      </c>
      <c r="FT1" s="127"/>
      <c r="FU1" s="63"/>
      <c r="FV1" s="63"/>
      <c r="FW1" s="95">
        <f t="shared" ref="FW1" si="41">FS$1+1</f>
        <v>44</v>
      </c>
      <c r="FX1" s="127"/>
      <c r="FY1" s="63"/>
      <c r="FZ1" s="63"/>
      <c r="GA1" s="95">
        <f t="shared" ref="GA1" si="42">FW$1+1</f>
        <v>45</v>
      </c>
      <c r="GB1" s="127"/>
      <c r="GC1" s="63"/>
      <c r="GD1" s="63"/>
      <c r="GE1" s="95">
        <f t="shared" ref="GE1" si="43">GA$1+1</f>
        <v>46</v>
      </c>
      <c r="GF1" s="127"/>
      <c r="GG1" s="63"/>
      <c r="GH1" s="63"/>
      <c r="GI1" s="95">
        <f t="shared" ref="GI1" si="44">GE$1+1</f>
        <v>47</v>
      </c>
      <c r="GJ1" s="127"/>
      <c r="GK1" s="63"/>
      <c r="GL1" s="63"/>
      <c r="GM1" s="95">
        <f t="shared" ref="GM1" si="45">GI$1+1</f>
        <v>48</v>
      </c>
      <c r="GN1" s="127"/>
      <c r="GO1" s="63"/>
      <c r="GP1" s="63"/>
      <c r="GQ1" s="95">
        <f t="shared" ref="GQ1" si="46">GM$1+1</f>
        <v>49</v>
      </c>
      <c r="GR1" s="127"/>
      <c r="GS1" s="63"/>
      <c r="GT1" s="63"/>
      <c r="GU1" s="95">
        <f t="shared" ref="GU1" si="47">GQ$1+1</f>
        <v>50</v>
      </c>
      <c r="GV1" s="127"/>
      <c r="GW1" s="63"/>
      <c r="GX1" s="63"/>
      <c r="GY1" s="95">
        <f t="shared" ref="GY1" si="48">GU$1+1</f>
        <v>51</v>
      </c>
      <c r="GZ1" s="127"/>
      <c r="HA1" s="63"/>
      <c r="HB1" s="63"/>
      <c r="HC1" s="95">
        <f t="shared" ref="HC1" si="49">GY$1+1</f>
        <v>52</v>
      </c>
      <c r="HD1" s="127"/>
      <c r="HE1" s="63"/>
      <c r="HF1" s="63"/>
      <c r="HG1" s="95">
        <f t="shared" ref="HG1" si="50">HC$1+1</f>
        <v>53</v>
      </c>
      <c r="HH1" s="127"/>
      <c r="HI1" s="63"/>
      <c r="HJ1" s="63"/>
      <c r="HK1" s="95">
        <f t="shared" ref="HK1" si="51">HG$1+1</f>
        <v>54</v>
      </c>
      <c r="HL1" s="127"/>
      <c r="HM1" s="63"/>
      <c r="HN1" s="63"/>
      <c r="HO1" s="95">
        <f t="shared" ref="HO1" si="52">HK$1+1</f>
        <v>55</v>
      </c>
      <c r="HP1" s="127"/>
      <c r="HQ1" s="63"/>
      <c r="HR1" s="63"/>
      <c r="HS1" s="95">
        <f t="shared" ref="HS1" si="53">HO$1+1</f>
        <v>56</v>
      </c>
      <c r="HT1" s="127"/>
      <c r="HU1" s="63"/>
      <c r="HV1" s="63"/>
      <c r="HW1" s="95">
        <f t="shared" ref="HW1" si="54">HS$1+1</f>
        <v>57</v>
      </c>
      <c r="HX1" s="127"/>
      <c r="HY1" s="63"/>
      <c r="HZ1" s="63"/>
      <c r="IA1" s="95">
        <f t="shared" ref="IA1" si="55">HW$1+1</f>
        <v>58</v>
      </c>
      <c r="IB1" s="127"/>
      <c r="IC1" s="63"/>
      <c r="ID1" s="63"/>
      <c r="IE1" s="95">
        <f t="shared" ref="IE1" si="56">IA$1+1</f>
        <v>59</v>
      </c>
      <c r="IF1" s="127"/>
      <c r="IG1" s="63"/>
      <c r="IH1" s="63"/>
      <c r="II1" s="95">
        <f t="shared" ref="II1" si="57">IE$1+1</f>
        <v>60</v>
      </c>
      <c r="IJ1" s="127"/>
      <c r="IK1" s="63"/>
      <c r="IL1" s="63"/>
      <c r="IM1" s="95">
        <f t="shared" ref="IM1" si="58">II$1+1</f>
        <v>61</v>
      </c>
      <c r="IN1" s="127"/>
      <c r="IO1" s="63"/>
      <c r="IP1" s="63"/>
      <c r="IQ1" s="95">
        <f t="shared" ref="IQ1" si="59">IM$1+1</f>
        <v>62</v>
      </c>
      <c r="IR1" s="127"/>
      <c r="IS1" s="63"/>
      <c r="IT1" s="63"/>
      <c r="IU1" s="95">
        <f t="shared" ref="IU1" si="60">IQ$1+1</f>
        <v>63</v>
      </c>
      <c r="IV1" s="127"/>
      <c r="IW1" s="63"/>
      <c r="IX1" s="63"/>
      <c r="IY1" s="95">
        <f t="shared" ref="IY1" si="61">IU$1+1</f>
        <v>64</v>
      </c>
      <c r="IZ1" s="127"/>
      <c r="JA1" s="63"/>
      <c r="JB1" s="63"/>
      <c r="JC1" s="95">
        <f t="shared" ref="JC1" si="62">IY$1+1</f>
        <v>65</v>
      </c>
      <c r="JD1" s="127"/>
      <c r="JE1" s="63"/>
      <c r="JF1" s="63"/>
      <c r="JG1" s="95">
        <f t="shared" ref="JG1" si="63">JC$1+1</f>
        <v>66</v>
      </c>
      <c r="JH1" s="127"/>
      <c r="JI1" s="63"/>
      <c r="JJ1" s="63"/>
      <c r="JK1" s="95">
        <f t="shared" ref="JK1" si="64">JG$1+1</f>
        <v>67</v>
      </c>
      <c r="JL1" s="127"/>
      <c r="JM1" s="63"/>
      <c r="JN1" s="63"/>
      <c r="JO1" s="95">
        <f t="shared" ref="JO1" si="65">JK$1+1</f>
        <v>68</v>
      </c>
      <c r="JP1" s="127"/>
      <c r="JQ1" s="63"/>
      <c r="JR1" s="63"/>
      <c r="JS1" s="95">
        <f t="shared" ref="JS1" si="66">JO$1+1</f>
        <v>69</v>
      </c>
      <c r="JT1" s="127"/>
      <c r="JU1" s="63"/>
      <c r="JV1" s="63"/>
      <c r="JW1" s="95">
        <f t="shared" ref="JW1" si="67">JS$1+1</f>
        <v>70</v>
      </c>
      <c r="JX1" s="127"/>
      <c r="JY1" s="63"/>
      <c r="JZ1" s="63"/>
      <c r="KA1" s="95">
        <f t="shared" ref="KA1" si="68">JW$1+1</f>
        <v>71</v>
      </c>
      <c r="KB1" s="127"/>
      <c r="KC1" s="63"/>
    </row>
    <row r="2" spans="1:289" x14ac:dyDescent="0.25">
      <c r="A2" s="96"/>
      <c r="C2" s="95"/>
      <c r="D2" s="97">
        <f ca="1">OFFSET($D$50, 0, (COLUMN()-4)/4)</f>
        <v>2948.2548082906578</v>
      </c>
      <c r="E2" s="63"/>
      <c r="F2" s="63"/>
      <c r="G2" s="95"/>
      <c r="H2" s="97">
        <f ca="1">OFFSET($D$50, 0, (COLUMN()-4)/4)</f>
        <v>2758.8365282257714</v>
      </c>
      <c r="I2" s="63"/>
      <c r="J2" s="63"/>
      <c r="K2" s="95"/>
      <c r="L2" s="97">
        <f ca="1">OFFSET($D$50, 0, (COLUMN()-4)/4)</f>
        <v>2558.031309649748</v>
      </c>
      <c r="M2" s="63"/>
      <c r="N2" s="63"/>
      <c r="O2" s="95"/>
      <c r="P2" s="97">
        <f ca="1">OFFSET($D$50, 0, (COLUMN()-4)/4)</f>
        <v>2542.5917538815775</v>
      </c>
      <c r="Q2" s="63"/>
      <c r="R2" s="63"/>
      <c r="S2" s="95"/>
      <c r="T2" s="97">
        <f ca="1">OFFSET($D$50, 0, (COLUMN()-4)/4)</f>
        <v>2566.0520950679984</v>
      </c>
      <c r="U2" s="63"/>
      <c r="V2" s="63"/>
      <c r="W2" s="95"/>
      <c r="X2" s="97">
        <f ca="1">OFFSET($D$50, 0, (COLUMN()-4)/4)</f>
        <v>2470.1987974725089</v>
      </c>
      <c r="Y2" s="63"/>
      <c r="Z2" s="63"/>
      <c r="AA2" s="95"/>
      <c r="AB2" s="97">
        <f ca="1">OFFSET($D$50, 0, (COLUMN()-4)/4)</f>
        <v>2533.7598868572309</v>
      </c>
      <c r="AC2" s="63"/>
      <c r="AD2" s="63"/>
      <c r="AE2" s="95"/>
      <c r="AF2" s="97">
        <f ca="1">OFFSET($D$50, 0, (COLUMN()-4)/4)</f>
        <v>2293.7567771685526</v>
      </c>
      <c r="AG2" s="63"/>
      <c r="AH2" s="63"/>
      <c r="AI2" s="95"/>
      <c r="AJ2" s="97">
        <f ca="1">OFFSET($D$50, 0, (COLUMN()-4)/4)</f>
        <v>2130.165956720175</v>
      </c>
      <c r="AK2" s="63"/>
      <c r="AL2" s="63"/>
      <c r="AM2" s="95"/>
      <c r="AN2" s="97">
        <f ca="1">OFFSET($D$50, 0, (COLUMN()-4)/4)</f>
        <v>1982.7191236211993</v>
      </c>
      <c r="AO2" s="63"/>
      <c r="AP2" s="63"/>
      <c r="AQ2" s="95"/>
      <c r="AR2" s="97">
        <f ca="1">OFFSET($D$50, 0, (COLUMN()-4)/4)</f>
        <v>2024.217023718571</v>
      </c>
      <c r="AS2" s="63"/>
      <c r="AT2" s="63"/>
      <c r="AU2" s="95"/>
      <c r="AV2" s="97">
        <f ca="1">OFFSET($D$50, 0, (COLUMN()-4)/4)</f>
        <v>2126.1502072955545</v>
      </c>
      <c r="AW2" s="63"/>
      <c r="AX2" s="63"/>
      <c r="AY2" s="95"/>
      <c r="AZ2" s="97">
        <f ca="1">OFFSET($D$50, 0, (COLUMN()-4)/4)</f>
        <v>2056.6111956334958</v>
      </c>
      <c r="BA2" s="63"/>
      <c r="BB2" s="63"/>
      <c r="BC2" s="95"/>
      <c r="BD2" s="97">
        <f ca="1">OFFSET($D$50, 0, (COLUMN()-4)/4)</f>
        <v>2068.3280387961581</v>
      </c>
      <c r="BE2" s="63"/>
      <c r="BF2" s="63"/>
      <c r="BG2" s="95"/>
      <c r="BH2" s="97">
        <f ca="1">OFFSET($D$50, 0, (COLUMN()-4)/4)</f>
        <v>2007.071295997313</v>
      </c>
      <c r="BI2" s="63"/>
      <c r="BJ2" s="63"/>
      <c r="BK2" s="95"/>
      <c r="BL2" s="97">
        <f ca="1">OFFSET($D$50, 0, (COLUMN()-4)/4)</f>
        <v>2077.3381001386911</v>
      </c>
      <c r="BM2" s="63"/>
      <c r="BN2" s="63"/>
      <c r="BO2" s="95"/>
      <c r="BP2" s="97">
        <f ca="1">OFFSET($D$50, 0, (COLUMN()-4)/4)</f>
        <v>2179.4349442969665</v>
      </c>
      <c r="BQ2" s="63"/>
      <c r="BR2" s="63"/>
      <c r="BS2" s="95"/>
      <c r="BT2" s="97">
        <f ca="1">OFFSET($D$50, 0, (COLUMN()-4)/4)</f>
        <v>2445.3623789508674</v>
      </c>
      <c r="BU2" s="63"/>
      <c r="BV2" s="63"/>
      <c r="BW2" s="95"/>
      <c r="BX2" s="97">
        <f ca="1">OFFSET($D$50, 0, (COLUMN()-4)/4)</f>
        <v>2146.1979462756744</v>
      </c>
      <c r="BY2" s="63"/>
      <c r="BZ2" s="63"/>
      <c r="CA2" s="95"/>
      <c r="CB2" s="97">
        <f ca="1">OFFSET($D$50, 0, (COLUMN()-4)/4)</f>
        <v>2072.3816203564065</v>
      </c>
      <c r="CC2" s="63"/>
      <c r="CD2" s="63"/>
      <c r="CE2" s="95"/>
      <c r="CF2" s="97">
        <f ca="1">OFFSET($D$50, 0, (COLUMN()-4)/4)</f>
        <v>1797.8712049693077</v>
      </c>
      <c r="CG2" s="63"/>
      <c r="CH2" s="63"/>
      <c r="CI2" s="95"/>
      <c r="CJ2" s="97">
        <f ca="1">OFFSET($D$50, 0, (COLUMN()-4)/4)</f>
        <v>1667.1480467844219</v>
      </c>
      <c r="CK2" s="63"/>
      <c r="CL2" s="63"/>
      <c r="CM2" s="95"/>
      <c r="CN2" s="97">
        <f ca="1">OFFSET($D$50, 0, (COLUMN()-4)/4)</f>
        <v>1451.9897371725613</v>
      </c>
      <c r="CO2" s="63"/>
      <c r="CP2" s="63"/>
      <c r="CQ2" s="95"/>
      <c r="CR2" s="97">
        <f ca="1">OFFSET($D$50, 0, (COLUMN()-4)/4)</f>
        <v>1470.9776156169455</v>
      </c>
      <c r="CS2" s="63"/>
      <c r="CT2" s="63"/>
      <c r="CU2" s="95"/>
      <c r="CV2" s="97">
        <f ca="1">OFFSET($D$50, 0, (COLUMN()-4)/4)</f>
        <v>1557.1090243089104</v>
      </c>
      <c r="CW2" s="63"/>
      <c r="CX2" s="63"/>
      <c r="CY2" s="95"/>
      <c r="CZ2" s="97">
        <f ca="1">OFFSET($D$50, 0, (COLUMN()-4)/4)</f>
        <v>1528.8384334159402</v>
      </c>
      <c r="DA2" s="63"/>
      <c r="DB2" s="63"/>
      <c r="DC2" s="95"/>
      <c r="DD2" s="97">
        <f ca="1">OFFSET($D$50, 0, (COLUMN()-4)/4)</f>
        <v>1553.0410346597932</v>
      </c>
      <c r="DE2" s="63"/>
      <c r="DF2" s="63"/>
      <c r="DG2" s="95"/>
      <c r="DH2" s="97">
        <f ca="1">OFFSET($D$50, 0, (COLUMN()-4)/4)</f>
        <v>1536.961093662447</v>
      </c>
      <c r="DI2" s="63"/>
      <c r="DJ2" s="63"/>
      <c r="DK2" s="95"/>
      <c r="DL2" s="97">
        <f ca="1">OFFSET($D$50, 0, (COLUMN()-4)/4)</f>
        <v>1648.4136761193035</v>
      </c>
      <c r="DM2" s="63"/>
      <c r="DN2" s="63"/>
      <c r="DO2" s="95"/>
      <c r="DP2" s="97">
        <f ca="1">OFFSET($D$50, 0, (COLUMN()-4)/4)</f>
        <v>1876.7369404100384</v>
      </c>
      <c r="DQ2" s="63"/>
      <c r="DR2" s="63"/>
      <c r="DS2" s="95"/>
      <c r="DT2" s="97">
        <f ca="1">OFFSET($D$50, 0, (COLUMN()-4)/4)</f>
        <v>2060.9370206527747</v>
      </c>
      <c r="DU2" s="63"/>
      <c r="DV2" s="63"/>
      <c r="DW2" s="95"/>
      <c r="DX2" s="97">
        <f ca="1">OFFSET($D$50, 0, (COLUMN()-4)/4)</f>
        <v>2235.7915245433464</v>
      </c>
      <c r="DY2" s="63"/>
      <c r="DZ2" s="63"/>
      <c r="EA2" s="95"/>
      <c r="EB2" s="97">
        <f ca="1">OFFSET($D$50, 0, (COLUMN()-4)/4)</f>
        <v>2483.085171254661</v>
      </c>
      <c r="EC2" s="63"/>
      <c r="ED2" s="63"/>
      <c r="EE2" s="95"/>
      <c r="EF2" s="97">
        <f ca="1">OFFSET($D$50, 0, (COLUMN()-4)/4)</f>
        <v>2778.3823125788367</v>
      </c>
      <c r="EG2" s="63"/>
      <c r="EH2" s="63"/>
      <c r="EI2" s="95"/>
      <c r="EJ2" s="97">
        <f ca="1">OFFSET($D$50, 0, (COLUMN()-4)/4)</f>
        <v>3404.3581195251345</v>
      </c>
      <c r="EK2" s="63"/>
      <c r="EL2" s="63"/>
      <c r="EM2" s="95"/>
      <c r="EN2" s="97">
        <f ca="1">OFFSET($D$50, 0, (COLUMN()-4)/4)</f>
        <v>3610.5318854097359</v>
      </c>
      <c r="EO2" s="63"/>
      <c r="EP2" s="63"/>
      <c r="EQ2" s="95"/>
      <c r="ER2" s="97">
        <f ca="1">OFFSET($D$50, 0, (COLUMN()-4)/4)</f>
        <v>3504.9887715385421</v>
      </c>
      <c r="ES2" s="63"/>
      <c r="ET2" s="63"/>
      <c r="EU2" s="95"/>
      <c r="EV2" s="97">
        <f ca="1">OFFSET($D$50, 0, (COLUMN()-4)/4)</f>
        <v>3544.5377989351255</v>
      </c>
      <c r="EW2" s="63"/>
      <c r="EX2" s="63"/>
      <c r="EY2" s="95"/>
      <c r="EZ2" s="97">
        <f ca="1">OFFSET($D$50, 0, (COLUMN()-4)/4)</f>
        <v>3628.9020992861742</v>
      </c>
      <c r="FA2" s="63"/>
      <c r="FB2" s="63"/>
      <c r="FC2" s="95"/>
      <c r="FD2" s="97">
        <f ca="1">OFFSET($D$50, 0, (COLUMN()-4)/4)</f>
        <v>3637.459636246057</v>
      </c>
      <c r="FE2" s="63"/>
      <c r="FF2" s="63"/>
      <c r="FG2" s="95"/>
      <c r="FH2" s="97">
        <f ca="1">OFFSET($D$50, 0, (COLUMN()-4)/4)</f>
        <v>3834.0552464006587</v>
      </c>
      <c r="FI2" s="63"/>
      <c r="FJ2" s="63"/>
      <c r="FK2" s="95"/>
      <c r="FL2" s="97">
        <f ca="1">OFFSET($D$50, 0, (COLUMN()-4)/4)</f>
        <v>4246.4584988270881</v>
      </c>
      <c r="FM2" s="63"/>
      <c r="FN2" s="63"/>
      <c r="FO2" s="95"/>
      <c r="FP2" s="97">
        <f ca="1">OFFSET($D$50, 0, (COLUMN()-4)/4)</f>
        <v>4191.7558216091575</v>
      </c>
      <c r="FQ2" s="63"/>
      <c r="FR2" s="63"/>
      <c r="FS2" s="95"/>
      <c r="FT2" s="97">
        <f ca="1">OFFSET($D$50, 0, (COLUMN()-4)/4)</f>
        <v>4572.4318389219015</v>
      </c>
      <c r="FU2" s="63"/>
      <c r="FV2" s="63"/>
      <c r="FW2" s="95"/>
      <c r="FX2" s="97">
        <f ca="1">OFFSET($D$50, 0, (COLUMN()-4)/4)</f>
        <v>4530.7069501139358</v>
      </c>
      <c r="FY2" s="63"/>
      <c r="FZ2" s="63"/>
      <c r="GA2" s="95"/>
      <c r="GB2" s="97">
        <f ca="1">OFFSET($D$50, 0, (COLUMN()-4)/4)</f>
        <v>4971.1340090497033</v>
      </c>
      <c r="GC2" s="63"/>
      <c r="GD2" s="63"/>
      <c r="GE2" s="95"/>
      <c r="GF2" s="97">
        <f ca="1">OFFSET($D$50, 0, (COLUMN()-4)/4)</f>
        <v>5596.0949827587829</v>
      </c>
      <c r="GG2" s="63"/>
      <c r="GH2" s="63"/>
      <c r="GI2" s="95"/>
      <c r="GJ2" s="97">
        <f ca="1">OFFSET($D$50, 0, (COLUMN()-4)/4)</f>
        <v>5172.1128456316637</v>
      </c>
      <c r="GK2" s="63"/>
      <c r="GL2" s="63"/>
      <c r="GM2" s="95"/>
      <c r="GN2" s="97">
        <f ca="1">OFFSET($D$50, 0, (COLUMN()-4)/4)</f>
        <v>4501.1536610746307</v>
      </c>
      <c r="GO2" s="63"/>
      <c r="GP2" s="63"/>
      <c r="GQ2" s="95"/>
      <c r="GR2" s="97">
        <f ca="1">OFFSET($D$50, 0, (COLUMN()-4)/4)</f>
        <v>4246.8070702818268</v>
      </c>
      <c r="GS2" s="63"/>
      <c r="GT2" s="63"/>
      <c r="GU2" s="95"/>
      <c r="GV2" s="97">
        <f ca="1">OFFSET($D$50, 0, (COLUMN()-4)/4)</f>
        <v>4370.1737486746897</v>
      </c>
      <c r="GW2" s="63"/>
      <c r="GX2" s="63"/>
      <c r="GY2" s="95"/>
      <c r="GZ2" s="97">
        <f ca="1">OFFSET($D$50, 0, (COLUMN()-4)/4)</f>
        <v>4212.4520974554925</v>
      </c>
      <c r="HA2" s="63"/>
      <c r="HB2" s="63"/>
      <c r="HC2" s="95"/>
      <c r="HD2" s="97">
        <f ca="1">OFFSET($D$50, 0, (COLUMN()-4)/4)</f>
        <v>3997.465734283498</v>
      </c>
      <c r="HE2" s="63"/>
      <c r="HF2" s="63"/>
      <c r="HG2" s="95"/>
      <c r="HH2" s="97">
        <f ca="1">OFFSET($D$50, 0, (COLUMN()-4)/4)</f>
        <v>3961.9595853722822</v>
      </c>
      <c r="HI2" s="63"/>
      <c r="HJ2" s="63"/>
      <c r="HK2" s="95"/>
      <c r="HL2" s="97">
        <f ca="1">OFFSET($D$50, 0, (COLUMN()-4)/4)</f>
        <v>4006.0995642175089</v>
      </c>
      <c r="HM2" s="63"/>
      <c r="HN2" s="63"/>
      <c r="HO2" s="95"/>
      <c r="HP2" s="97">
        <f ca="1">OFFSET($D$50, 0, (COLUMN()-4)/4)</f>
        <v>4118.2313649384387</v>
      </c>
      <c r="HQ2" s="63"/>
      <c r="HR2" s="63"/>
      <c r="HS2" s="95"/>
      <c r="HT2" s="97">
        <f ca="1">OFFSET($D$50, 0, (COLUMN()-4)/4)</f>
        <v>3799.3917874993272</v>
      </c>
      <c r="HU2" s="63"/>
      <c r="HV2" s="63"/>
      <c r="HW2" s="95"/>
      <c r="HX2" s="97">
        <f ca="1">OFFSET($D$50, 0, (COLUMN()-4)/4)</f>
        <v>3682.6672161483939</v>
      </c>
      <c r="HY2" s="63"/>
      <c r="HZ2" s="63"/>
      <c r="IA2" s="95"/>
      <c r="IB2" s="97">
        <f ca="1">OFFSET($D$50, 0, (COLUMN()-4)/4)</f>
        <v>3753.5524997769216</v>
      </c>
      <c r="IC2" s="63"/>
      <c r="ID2" s="63"/>
      <c r="IE2" s="95"/>
      <c r="IF2" s="97">
        <f ca="1">OFFSET($D$50, 0, (COLUMN()-4)/4)</f>
        <v>3696.1525206850347</v>
      </c>
      <c r="IG2" s="63"/>
      <c r="IH2" s="63"/>
      <c r="II2" s="95"/>
      <c r="IJ2" s="97">
        <f ca="1">OFFSET($D$50, 0, (COLUMN()-4)/4)</f>
        <v>3632.6843223055621</v>
      </c>
      <c r="IK2" s="63"/>
      <c r="IL2" s="63"/>
      <c r="IM2" s="95"/>
      <c r="IN2" s="97">
        <f ca="1">OFFSET($D$50, 0, (COLUMN()-4)/4)</f>
        <v>3921.0826029936979</v>
      </c>
      <c r="IO2" s="63"/>
      <c r="IP2" s="63"/>
      <c r="IQ2" s="95"/>
      <c r="IR2" s="97">
        <f ca="1">OFFSET($D$50, 0, (COLUMN()-4)/4)</f>
        <v>4121.813438957799</v>
      </c>
      <c r="IS2" s="63"/>
      <c r="IT2" s="63"/>
      <c r="IU2" s="95"/>
      <c r="IV2" s="97">
        <f ca="1">OFFSET($D$50, 0, (COLUMN()-4)/4)</f>
        <v>3977.2236654685935</v>
      </c>
      <c r="IW2" s="63"/>
      <c r="IX2" s="63"/>
      <c r="IY2" s="95"/>
      <c r="IZ2" s="97">
        <f ca="1">OFFSET($D$50, 0, (COLUMN()-4)/4)</f>
        <v>4023.8916024643895</v>
      </c>
      <c r="JA2" s="63"/>
      <c r="JB2" s="63"/>
      <c r="JC2" s="95"/>
      <c r="JD2" s="97">
        <f ca="1">OFFSET($D$50, 0, (COLUMN()-4)/4)</f>
        <v>4199.4429859909596</v>
      </c>
      <c r="JE2" s="63"/>
      <c r="JF2" s="63"/>
      <c r="JG2" s="95"/>
      <c r="JH2" s="97">
        <f ca="1">OFFSET($D$50, 0, (COLUMN()-4)/4)</f>
        <v>4157.1863445445388</v>
      </c>
      <c r="JI2" s="63"/>
      <c r="JJ2" s="63"/>
      <c r="JK2" s="95"/>
      <c r="JL2" s="97">
        <f ca="1">OFFSET($D$50, 0, (COLUMN()-4)/4)</f>
        <v>4635.9894165258665</v>
      </c>
      <c r="JM2" s="63"/>
      <c r="JN2" s="63"/>
      <c r="JO2" s="95"/>
      <c r="JP2" s="97">
        <f ca="1">OFFSET($D$50, 0, (COLUMN()-4)/4)</f>
        <v>4802.8103980468823</v>
      </c>
      <c r="JQ2" s="63"/>
      <c r="JR2" s="63"/>
      <c r="JS2" s="95"/>
      <c r="JT2" s="97">
        <f ca="1">OFFSET($D$50, 0, (COLUMN()-4)/4)</f>
        <v>4728.0134067489789</v>
      </c>
      <c r="JU2" s="63"/>
      <c r="JV2" s="63"/>
      <c r="JW2" s="95"/>
      <c r="JX2" s="97">
        <f ca="1">OFFSET($D$50, 0, (COLUMN()-4)/4)</f>
        <v>4878.0358601948965</v>
      </c>
      <c r="JY2" s="63"/>
      <c r="JZ2" s="63"/>
      <c r="KA2" s="95"/>
      <c r="KB2" s="97">
        <f ca="1">OFFSET($D$50, 0, (COLUMN()-4)/4)</f>
        <v>4776.6712323148695</v>
      </c>
      <c r="KC2" s="63"/>
    </row>
    <row r="3" spans="1:289" s="44" customFormat="1" x14ac:dyDescent="0.25">
      <c r="A3" s="97">
        <v>2900</v>
      </c>
      <c r="B3" s="35"/>
      <c r="C3" s="95" t="s">
        <v>203</v>
      </c>
      <c r="D3" s="88" t="s">
        <v>146</v>
      </c>
      <c r="E3" s="63"/>
      <c r="F3" s="63"/>
      <c r="G3" s="95" t="s">
        <v>203</v>
      </c>
      <c r="H3" s="88" t="s">
        <v>146</v>
      </c>
      <c r="I3" s="63"/>
      <c r="J3" s="63"/>
      <c r="K3" s="95" t="s">
        <v>203</v>
      </c>
      <c r="L3" s="88" t="s">
        <v>146</v>
      </c>
      <c r="M3" s="63"/>
      <c r="N3" s="63"/>
      <c r="O3" s="95" t="s">
        <v>203</v>
      </c>
      <c r="P3" s="88" t="s">
        <v>146</v>
      </c>
      <c r="Q3" s="63"/>
      <c r="R3" s="63"/>
      <c r="S3" s="95" t="s">
        <v>203</v>
      </c>
      <c r="T3" s="88" t="s">
        <v>146</v>
      </c>
      <c r="U3" s="63"/>
      <c r="V3" s="63"/>
      <c r="W3" s="95" t="s">
        <v>203</v>
      </c>
      <c r="X3" s="88" t="s">
        <v>146</v>
      </c>
      <c r="Y3" s="63"/>
      <c r="Z3" s="63"/>
      <c r="AA3" s="95" t="s">
        <v>203</v>
      </c>
      <c r="AB3" s="88" t="s">
        <v>146</v>
      </c>
      <c r="AC3" s="63"/>
      <c r="AD3" s="63"/>
      <c r="AE3" s="95" t="s">
        <v>203</v>
      </c>
      <c r="AF3" s="88" t="s">
        <v>146</v>
      </c>
      <c r="AG3" s="63"/>
      <c r="AH3" s="63"/>
      <c r="AI3" s="95" t="s">
        <v>203</v>
      </c>
      <c r="AJ3" s="88" t="s">
        <v>146</v>
      </c>
      <c r="AK3" s="63"/>
      <c r="AL3" s="63"/>
      <c r="AM3" s="95" t="s">
        <v>203</v>
      </c>
      <c r="AN3" s="88" t="s">
        <v>146</v>
      </c>
      <c r="AO3" s="63"/>
      <c r="AP3" s="63"/>
      <c r="AQ3" s="95" t="s">
        <v>203</v>
      </c>
      <c r="AR3" s="88" t="s">
        <v>146</v>
      </c>
      <c r="AS3" s="63"/>
      <c r="AT3" s="63"/>
      <c r="AU3" s="95" t="s">
        <v>203</v>
      </c>
      <c r="AV3" s="88" t="s">
        <v>146</v>
      </c>
      <c r="AW3" s="63"/>
      <c r="AX3" s="63"/>
      <c r="AY3" s="95" t="s">
        <v>203</v>
      </c>
      <c r="AZ3" s="88" t="s">
        <v>146</v>
      </c>
      <c r="BA3" s="63"/>
      <c r="BB3" s="63"/>
      <c r="BC3" s="95" t="s">
        <v>203</v>
      </c>
      <c r="BD3" s="88" t="s">
        <v>146</v>
      </c>
      <c r="BE3" s="63"/>
      <c r="BF3" s="63"/>
      <c r="BG3" s="95" t="s">
        <v>203</v>
      </c>
      <c r="BH3" s="88" t="s">
        <v>146</v>
      </c>
      <c r="BI3" s="63"/>
      <c r="BJ3" s="63"/>
      <c r="BK3" s="95" t="s">
        <v>203</v>
      </c>
      <c r="BL3" s="88" t="s">
        <v>146</v>
      </c>
      <c r="BM3" s="63"/>
      <c r="BN3" s="63"/>
      <c r="BO3" s="95" t="s">
        <v>203</v>
      </c>
      <c r="BP3" s="88" t="s">
        <v>146</v>
      </c>
      <c r="BQ3" s="63"/>
      <c r="BR3" s="63"/>
      <c r="BS3" s="95" t="s">
        <v>203</v>
      </c>
      <c r="BT3" s="88" t="s">
        <v>146</v>
      </c>
      <c r="BU3" s="63"/>
      <c r="BV3" s="63"/>
      <c r="BW3" s="95" t="s">
        <v>203</v>
      </c>
      <c r="BX3" s="88" t="s">
        <v>146</v>
      </c>
      <c r="BY3" s="63"/>
      <c r="BZ3" s="63"/>
      <c r="CA3" s="95" t="s">
        <v>203</v>
      </c>
      <c r="CB3" s="88" t="s">
        <v>146</v>
      </c>
      <c r="CC3" s="63"/>
      <c r="CD3" s="63"/>
      <c r="CE3" s="95" t="s">
        <v>203</v>
      </c>
      <c r="CF3" s="88" t="s">
        <v>146</v>
      </c>
      <c r="CG3" s="63"/>
      <c r="CH3" s="63"/>
      <c r="CI3" s="95" t="s">
        <v>203</v>
      </c>
      <c r="CJ3" s="88" t="s">
        <v>146</v>
      </c>
      <c r="CK3" s="63"/>
      <c r="CL3" s="63"/>
      <c r="CM3" s="95" t="s">
        <v>203</v>
      </c>
      <c r="CN3" s="88" t="s">
        <v>146</v>
      </c>
      <c r="CO3" s="63"/>
      <c r="CP3" s="63"/>
      <c r="CQ3" s="95" t="s">
        <v>203</v>
      </c>
      <c r="CR3" s="88" t="s">
        <v>146</v>
      </c>
      <c r="CS3" s="63"/>
      <c r="CT3" s="63"/>
      <c r="CU3" s="95" t="s">
        <v>203</v>
      </c>
      <c r="CV3" s="88" t="s">
        <v>146</v>
      </c>
      <c r="CW3" s="63"/>
      <c r="CX3" s="63"/>
      <c r="CY3" s="95" t="s">
        <v>203</v>
      </c>
      <c r="CZ3" s="88" t="s">
        <v>146</v>
      </c>
      <c r="DA3" s="63"/>
      <c r="DB3" s="63"/>
      <c r="DC3" s="95" t="s">
        <v>203</v>
      </c>
      <c r="DD3" s="88" t="s">
        <v>146</v>
      </c>
      <c r="DE3" s="63"/>
      <c r="DF3" s="63"/>
      <c r="DG3" s="95" t="s">
        <v>203</v>
      </c>
      <c r="DH3" s="88" t="s">
        <v>146</v>
      </c>
      <c r="DI3" s="63"/>
      <c r="DJ3" s="63"/>
      <c r="DK3" s="95" t="s">
        <v>203</v>
      </c>
      <c r="DL3" s="88" t="s">
        <v>146</v>
      </c>
      <c r="DM3" s="63"/>
      <c r="DN3" s="63"/>
      <c r="DO3" s="95" t="s">
        <v>203</v>
      </c>
      <c r="DP3" s="88" t="s">
        <v>146</v>
      </c>
      <c r="DQ3" s="63"/>
      <c r="DR3" s="63"/>
      <c r="DS3" s="95" t="s">
        <v>203</v>
      </c>
      <c r="DT3" s="88" t="s">
        <v>146</v>
      </c>
      <c r="DU3" s="63"/>
      <c r="DV3" s="63"/>
      <c r="DW3" s="95" t="s">
        <v>203</v>
      </c>
      <c r="DX3" s="88" t="s">
        <v>146</v>
      </c>
      <c r="DY3" s="63"/>
      <c r="DZ3" s="63"/>
      <c r="EA3" s="95" t="s">
        <v>203</v>
      </c>
      <c r="EB3" s="88" t="s">
        <v>146</v>
      </c>
      <c r="EC3" s="63"/>
      <c r="ED3" s="63"/>
      <c r="EE3" s="95" t="s">
        <v>203</v>
      </c>
      <c r="EF3" s="88" t="s">
        <v>146</v>
      </c>
      <c r="EG3" s="63"/>
      <c r="EH3" s="63"/>
      <c r="EI3" s="95" t="s">
        <v>203</v>
      </c>
      <c r="EJ3" s="88" t="s">
        <v>146</v>
      </c>
      <c r="EK3" s="63"/>
      <c r="EL3" s="63"/>
      <c r="EM3" s="95" t="s">
        <v>203</v>
      </c>
      <c r="EN3" s="88" t="s">
        <v>146</v>
      </c>
      <c r="EO3" s="63"/>
      <c r="EP3" s="63"/>
      <c r="EQ3" s="95" t="s">
        <v>203</v>
      </c>
      <c r="ER3" s="88" t="s">
        <v>146</v>
      </c>
      <c r="ES3" s="63"/>
      <c r="ET3" s="63"/>
      <c r="EU3" s="95" t="s">
        <v>203</v>
      </c>
      <c r="EV3" s="88" t="s">
        <v>146</v>
      </c>
      <c r="EW3" s="63"/>
      <c r="EX3" s="63"/>
      <c r="EY3" s="95" t="s">
        <v>203</v>
      </c>
      <c r="EZ3" s="88" t="s">
        <v>146</v>
      </c>
      <c r="FA3" s="63"/>
      <c r="FB3" s="63"/>
      <c r="FC3" s="95" t="s">
        <v>203</v>
      </c>
      <c r="FD3" s="88" t="s">
        <v>146</v>
      </c>
      <c r="FE3" s="63"/>
      <c r="FF3" s="63"/>
      <c r="FG3" s="95" t="s">
        <v>203</v>
      </c>
      <c r="FH3" s="88" t="s">
        <v>146</v>
      </c>
      <c r="FI3" s="63"/>
      <c r="FJ3" s="63"/>
      <c r="FK3" s="95" t="s">
        <v>203</v>
      </c>
      <c r="FL3" s="88" t="s">
        <v>146</v>
      </c>
      <c r="FM3" s="63"/>
      <c r="FN3" s="63"/>
      <c r="FO3" s="95" t="s">
        <v>203</v>
      </c>
      <c r="FP3" s="88" t="s">
        <v>146</v>
      </c>
      <c r="FQ3" s="63"/>
      <c r="FR3" s="63"/>
      <c r="FS3" s="95" t="s">
        <v>203</v>
      </c>
      <c r="FT3" s="88" t="s">
        <v>146</v>
      </c>
      <c r="FU3" s="63"/>
      <c r="FV3" s="63"/>
      <c r="FW3" s="95" t="s">
        <v>203</v>
      </c>
      <c r="FX3" s="88" t="s">
        <v>146</v>
      </c>
      <c r="FY3" s="63"/>
      <c r="FZ3" s="63"/>
      <c r="GA3" s="95" t="s">
        <v>203</v>
      </c>
      <c r="GB3" s="88" t="s">
        <v>146</v>
      </c>
      <c r="GC3" s="63"/>
      <c r="GD3" s="63"/>
      <c r="GE3" s="95" t="s">
        <v>203</v>
      </c>
      <c r="GF3" s="88" t="s">
        <v>146</v>
      </c>
      <c r="GG3" s="63"/>
      <c r="GH3" s="63"/>
      <c r="GI3" s="95" t="s">
        <v>203</v>
      </c>
      <c r="GJ3" s="88" t="s">
        <v>146</v>
      </c>
      <c r="GK3" s="63"/>
      <c r="GL3" s="63"/>
      <c r="GM3" s="95" t="s">
        <v>203</v>
      </c>
      <c r="GN3" s="88" t="s">
        <v>146</v>
      </c>
      <c r="GO3" s="63"/>
      <c r="GP3" s="63"/>
      <c r="GQ3" s="95" t="s">
        <v>203</v>
      </c>
      <c r="GR3" s="88" t="s">
        <v>146</v>
      </c>
      <c r="GS3" s="63"/>
      <c r="GT3" s="63"/>
      <c r="GU3" s="95" t="s">
        <v>203</v>
      </c>
      <c r="GV3" s="88" t="s">
        <v>146</v>
      </c>
      <c r="GW3" s="63"/>
      <c r="GX3" s="63"/>
      <c r="GY3" s="95" t="s">
        <v>203</v>
      </c>
      <c r="GZ3" s="88" t="s">
        <v>146</v>
      </c>
      <c r="HA3" s="63"/>
      <c r="HB3" s="63"/>
      <c r="HC3" s="95" t="s">
        <v>203</v>
      </c>
      <c r="HD3" s="88" t="s">
        <v>146</v>
      </c>
      <c r="HE3" s="63"/>
      <c r="HF3" s="63"/>
      <c r="HG3" s="95" t="s">
        <v>203</v>
      </c>
      <c r="HH3" s="88" t="s">
        <v>146</v>
      </c>
      <c r="HI3" s="63"/>
      <c r="HJ3" s="63"/>
      <c r="HK3" s="95" t="s">
        <v>203</v>
      </c>
      <c r="HL3" s="88" t="s">
        <v>146</v>
      </c>
      <c r="HM3" s="63"/>
      <c r="HN3" s="63"/>
      <c r="HO3" s="95" t="s">
        <v>203</v>
      </c>
      <c r="HP3" s="88" t="s">
        <v>146</v>
      </c>
      <c r="HQ3" s="63"/>
      <c r="HR3" s="63"/>
      <c r="HS3" s="95" t="s">
        <v>203</v>
      </c>
      <c r="HT3" s="88" t="s">
        <v>146</v>
      </c>
      <c r="HU3" s="63"/>
      <c r="HV3" s="63"/>
      <c r="HW3" s="95" t="s">
        <v>203</v>
      </c>
      <c r="HX3" s="88" t="s">
        <v>146</v>
      </c>
      <c r="HY3" s="63"/>
      <c r="HZ3" s="63"/>
      <c r="IA3" s="95" t="s">
        <v>203</v>
      </c>
      <c r="IB3" s="88" t="s">
        <v>146</v>
      </c>
      <c r="IC3" s="63"/>
      <c r="ID3" s="63"/>
      <c r="IE3" s="95" t="s">
        <v>203</v>
      </c>
      <c r="IF3" s="88" t="s">
        <v>146</v>
      </c>
      <c r="IG3" s="63"/>
      <c r="IH3" s="63"/>
      <c r="II3" s="95" t="s">
        <v>203</v>
      </c>
      <c r="IJ3" s="88" t="s">
        <v>146</v>
      </c>
      <c r="IK3" s="63"/>
      <c r="IL3" s="63"/>
      <c r="IM3" s="95" t="s">
        <v>203</v>
      </c>
      <c r="IN3" s="88" t="s">
        <v>146</v>
      </c>
      <c r="IO3" s="63"/>
      <c r="IP3" s="63"/>
      <c r="IQ3" s="95" t="s">
        <v>203</v>
      </c>
      <c r="IR3" s="88" t="s">
        <v>146</v>
      </c>
      <c r="IS3" s="63"/>
      <c r="IT3" s="63"/>
      <c r="IU3" s="95" t="s">
        <v>203</v>
      </c>
      <c r="IV3" s="88" t="s">
        <v>146</v>
      </c>
      <c r="IW3" s="63"/>
      <c r="IX3" s="63"/>
      <c r="IY3" s="95" t="s">
        <v>203</v>
      </c>
      <c r="IZ3" s="88" t="s">
        <v>146</v>
      </c>
      <c r="JA3" s="63"/>
      <c r="JB3" s="63"/>
      <c r="JC3" s="95" t="s">
        <v>203</v>
      </c>
      <c r="JD3" s="88" t="s">
        <v>146</v>
      </c>
      <c r="JE3" s="63"/>
      <c r="JF3" s="63"/>
      <c r="JG3" s="95" t="s">
        <v>203</v>
      </c>
      <c r="JH3" s="88" t="s">
        <v>146</v>
      </c>
      <c r="JI3" s="63"/>
      <c r="JJ3" s="63"/>
      <c r="JK3" s="95" t="s">
        <v>203</v>
      </c>
      <c r="JL3" s="88" t="s">
        <v>146</v>
      </c>
      <c r="JM3" s="63"/>
      <c r="JN3" s="63"/>
      <c r="JO3" s="95" t="s">
        <v>203</v>
      </c>
      <c r="JP3" s="88" t="s">
        <v>146</v>
      </c>
      <c r="JQ3" s="63"/>
      <c r="JR3" s="63"/>
      <c r="JS3" s="95" t="s">
        <v>203</v>
      </c>
      <c r="JT3" s="88" t="s">
        <v>146</v>
      </c>
      <c r="JU3" s="63"/>
      <c r="JV3" s="63"/>
      <c r="JW3" s="95" t="s">
        <v>203</v>
      </c>
      <c r="JX3" s="88" t="s">
        <v>146</v>
      </c>
      <c r="JY3" s="63"/>
      <c r="JZ3" s="63"/>
      <c r="KA3" s="95" t="s">
        <v>203</v>
      </c>
      <c r="KB3" s="88" t="s">
        <v>146</v>
      </c>
      <c r="KC3" s="63"/>
    </row>
    <row r="4" spans="1:289" x14ac:dyDescent="0.25">
      <c r="A4" s="115">
        <v>40</v>
      </c>
      <c r="C4" s="37" t="s">
        <v>205</v>
      </c>
      <c r="D4" s="63">
        <f ca="1">((D$5*60)/0.25)*D$6</f>
        <v>29661.515308848117</v>
      </c>
      <c r="E4" s="82">
        <f ca="1">-(D$4+D$26)/D$26</f>
        <v>-0.84782868994637151</v>
      </c>
      <c r="F4" s="63"/>
      <c r="G4" s="37" t="s">
        <v>205</v>
      </c>
      <c r="H4" s="63">
        <f ca="1">((H$5*60)/0.25)*H$6</f>
        <v>31296.373205280797</v>
      </c>
      <c r="I4" s="82">
        <f ca="1">-(H$4+H$26)/H$26</f>
        <v>0.43707350904373904</v>
      </c>
      <c r="J4" s="63"/>
      <c r="K4" s="37" t="s">
        <v>205</v>
      </c>
      <c r="L4" s="63">
        <f ca="1">((L$5*60)/0.25)*L$6</f>
        <v>30043.168841450435</v>
      </c>
      <c r="M4" s="82">
        <f ca="1">-(L$4+L$26)/L$26</f>
        <v>0.42872092196607814</v>
      </c>
      <c r="N4" s="63"/>
      <c r="O4" s="37" t="s">
        <v>205</v>
      </c>
      <c r="P4" s="63">
        <f t="shared" ref="P4" ca="1" si="69">((P$5*60)/0.25)*P$6</f>
        <v>32802.401200054592</v>
      </c>
      <c r="Q4" s="82">
        <f t="shared" ref="Q4" ca="1" si="70">-(P$4+P$26)/P$26</f>
        <v>-0.32980963626324084</v>
      </c>
      <c r="R4" s="63"/>
      <c r="S4" s="37" t="s">
        <v>205</v>
      </c>
      <c r="T4" s="63">
        <f t="shared" ref="T4" ca="1" si="71">((T$5*60)/0.25)*T$6</f>
        <v>37032.099137150733</v>
      </c>
      <c r="U4" s="82">
        <f t="shared" ref="U4" ca="1" si="72">-(T$4+T$26)/T$26</f>
        <v>0.56972461008843445</v>
      </c>
      <c r="V4" s="63"/>
      <c r="W4" s="37" t="s">
        <v>205</v>
      </c>
      <c r="X4" s="63">
        <f t="shared" ref="X4" ca="1" si="73">((X$5*60)/0.25)*X$6</f>
        <v>33254.991604012183</v>
      </c>
      <c r="Y4" s="82">
        <f t="shared" ref="Y4" ca="1" si="74">-(X$4+X$26)/X$26</f>
        <v>0.41879708720606607</v>
      </c>
      <c r="Z4" s="63"/>
      <c r="AA4" s="37" t="s">
        <v>205</v>
      </c>
      <c r="AB4" s="63">
        <f t="shared" ref="AB4" ca="1" si="75">((AB$5*60)/0.25)*AB$6</f>
        <v>36566.2428918281</v>
      </c>
      <c r="AC4" s="82">
        <f t="shared" ref="AC4" ca="1" si="76">-(AB$4+AB$26)/AB$26</f>
        <v>-0.33007799198940613</v>
      </c>
      <c r="AD4" s="63"/>
      <c r="AE4" s="37" t="s">
        <v>205</v>
      </c>
      <c r="AF4" s="63">
        <f t="shared" ref="AF4" ca="1" si="77">((AF$5*60)/0.25)*AF$6</f>
        <v>40073.895612439206</v>
      </c>
      <c r="AG4" s="82">
        <f t="shared" ref="AG4" ca="1" si="78">-(AF$4+AF$26)/AF$26</f>
        <v>0.56495747796577411</v>
      </c>
      <c r="AH4" s="63"/>
      <c r="AI4" s="37" t="s">
        <v>205</v>
      </c>
      <c r="AJ4" s="63">
        <f t="shared" ref="AJ4" ca="1" si="79">((AJ$5*60)/0.25)*AJ$6</f>
        <v>36474.93794337556</v>
      </c>
      <c r="AK4" s="82">
        <f t="shared" ref="AK4" ca="1" si="80">-(AJ$4+AJ$26)/AJ$26</f>
        <v>0.49680080577080754</v>
      </c>
      <c r="AL4" s="63"/>
      <c r="AM4" s="37" t="s">
        <v>205</v>
      </c>
      <c r="AN4" s="63">
        <f t="shared" ref="AN4" ca="1" si="81">((AN$5*60)/0.25)*AN$6</f>
        <v>38122.205205417798</v>
      </c>
      <c r="AO4" s="82">
        <f t="shared" ref="AO4" ca="1" si="82">-(AN$4+AN$26)/AN$26</f>
        <v>-0.28859806173198405</v>
      </c>
      <c r="AP4" s="63"/>
      <c r="AQ4" s="37" t="s">
        <v>205</v>
      </c>
      <c r="AR4" s="63">
        <f t="shared" ref="AR4" ca="1" si="83">((AR$5*60)/0.25)*AR$6</f>
        <v>48380.711569957733</v>
      </c>
      <c r="AS4" s="82">
        <f t="shared" ref="AS4" ca="1" si="84">-(AR$4+AR$26)/AR$26</f>
        <v>0.63581673060728505</v>
      </c>
      <c r="AT4" s="63"/>
      <c r="AU4" s="37" t="s">
        <v>205</v>
      </c>
      <c r="AV4" s="63">
        <f t="shared" ref="AV4" ca="1" si="85">((AV$5*60)/0.25)*AV$6</f>
        <v>49916.109510811322</v>
      </c>
      <c r="AW4" s="82">
        <f t="shared" ref="AW4" ca="1" si="86">-(AV$4+AV$26)/AV$26</f>
        <v>0.64230198754360002</v>
      </c>
      <c r="AX4" s="63"/>
      <c r="AY4" s="37" t="s">
        <v>205</v>
      </c>
      <c r="AZ4" s="63">
        <f t="shared" ref="AZ4" ca="1" si="87">((AZ$5*60)/0.25)*AZ$6</f>
        <v>49433.992755757332</v>
      </c>
      <c r="BA4" s="82">
        <f t="shared" ref="BA4" ca="1" si="88">-(AZ$4+AZ$26)/AZ$26</f>
        <v>-0.15184220687321692</v>
      </c>
      <c r="BB4" s="63"/>
      <c r="BC4" s="37" t="s">
        <v>205</v>
      </c>
      <c r="BD4" s="63">
        <f t="shared" ref="BD4" ca="1" si="89">((BD$5*60)/0.25)*BD$6</f>
        <v>42020.637960023421</v>
      </c>
      <c r="BE4" s="82">
        <f t="shared" ref="BE4" ca="1" si="90">-(BD$4+BD$26)/BD$26</f>
        <v>0.54937642103769391</v>
      </c>
      <c r="BF4" s="63"/>
      <c r="BG4" s="37" t="s">
        <v>205</v>
      </c>
      <c r="BH4" s="63">
        <f t="shared" ref="BH4" ca="1" si="91">((BH$5*60)/0.25)*BH$6</f>
        <v>43598.812851073526</v>
      </c>
      <c r="BI4" s="82">
        <f t="shared" ref="BI4" ca="1" si="92">-(BH$4+BH$26)/BH$26</f>
        <v>0.58276661692630594</v>
      </c>
      <c r="BJ4" s="63"/>
      <c r="BK4" s="37" t="s">
        <v>205</v>
      </c>
      <c r="BL4" s="63">
        <f t="shared" ref="BL4" ca="1" si="93">((BL$5*60)/0.25)*BL$6</f>
        <v>43913.662514648662</v>
      </c>
      <c r="BM4" s="82">
        <f t="shared" ref="BM4" ca="1" si="94">-(BL$4+BL$26)/BL$26</f>
        <v>-0.24004383343680405</v>
      </c>
      <c r="BN4" s="63"/>
      <c r="BO4" s="37" t="s">
        <v>205</v>
      </c>
      <c r="BP4" s="63">
        <f t="shared" ref="BP4" ca="1" si="95">((BP$5*60)/0.25)*BP$6</f>
        <v>49432.18019556225</v>
      </c>
      <c r="BQ4" s="82">
        <f t="shared" ref="BQ4" ca="1" si="96">-(BP$4+BP$26)/BP$26</f>
        <v>0.63636849755646896</v>
      </c>
      <c r="BR4" s="63"/>
      <c r="BS4" s="37" t="s">
        <v>205</v>
      </c>
      <c r="BT4" s="63">
        <f t="shared" ref="BT4" ca="1" si="97">((BT$5*60)/0.25)*BT$6</f>
        <v>44015.830692110867</v>
      </c>
      <c r="BU4" s="82">
        <f t="shared" ref="BU4" ca="1" si="98">-(BT$4+BT$26)/BT$26</f>
        <v>0.54979046496664552</v>
      </c>
      <c r="BV4" s="63"/>
      <c r="BW4" s="37" t="s">
        <v>205</v>
      </c>
      <c r="BX4" s="63">
        <f t="shared" ref="BX4" ca="1" si="99">((BX$5*60)/0.25)*BX$6</f>
        <v>53020.16663378504</v>
      </c>
      <c r="BY4" s="82">
        <f t="shared" ref="BY4" ca="1" si="100">-(BX$4+BX$26)/BX$26</f>
        <v>-0.24151917010652574</v>
      </c>
      <c r="BZ4" s="63"/>
      <c r="CA4" s="37" t="s">
        <v>205</v>
      </c>
      <c r="CB4" s="63">
        <f t="shared" ref="CB4" ca="1" si="101">((CB$5*60)/0.25)*CB$6</f>
        <v>56382.160283466095</v>
      </c>
      <c r="CC4" s="82">
        <f t="shared" ref="CC4" ca="1" si="102">-(CB$4+CB$26)/CB$26</f>
        <v>0.72451738833677959</v>
      </c>
      <c r="CD4" s="63"/>
      <c r="CE4" s="37" t="s">
        <v>205</v>
      </c>
      <c r="CF4" s="63">
        <f t="shared" ref="CF4" ca="1" si="103">((CF$5*60)/0.25)*CF$6</f>
        <v>64357.703743807215</v>
      </c>
      <c r="CG4" s="82">
        <f t="shared" ref="CG4" ca="1" si="104">-(CF$4+CF$26)/CF$26</f>
        <v>0.82928538682920327</v>
      </c>
      <c r="CH4" s="63"/>
      <c r="CI4" s="37" t="s">
        <v>205</v>
      </c>
      <c r="CJ4" s="63">
        <f t="shared" ref="CJ4" ca="1" si="105">((CJ$5*60)/0.25)*CJ$6</f>
        <v>50982.114323742331</v>
      </c>
      <c r="CK4" s="82">
        <f t="shared" ref="CK4" ca="1" si="106">-(CJ$4+CJ$26)/CJ$26</f>
        <v>-0.12684857175127612</v>
      </c>
      <c r="CL4" s="63"/>
      <c r="CM4" s="37" t="s">
        <v>205</v>
      </c>
      <c r="CN4" s="63">
        <f t="shared" ref="CN4" ca="1" si="107">((CN$5*60)/0.25)*CN$6</f>
        <v>52590.279323960152</v>
      </c>
      <c r="CO4" s="82">
        <f t="shared" ref="CO4" ca="1" si="108">-(CN$4+CN$26)/CN$26</f>
        <v>0.75826113129971873</v>
      </c>
      <c r="CP4" s="63"/>
      <c r="CQ4" s="37" t="s">
        <v>205</v>
      </c>
      <c r="CR4" s="63">
        <f t="shared" ref="CR4" ca="1" si="109">((CR$5*60)/0.25)*CR$6</f>
        <v>63151.192383034257</v>
      </c>
      <c r="CS4" s="82">
        <f t="shared" ref="CS4" ca="1" si="110">-(CR$4+CR$26)/CR$26</f>
        <v>0.87451909325742783</v>
      </c>
      <c r="CT4" s="63"/>
      <c r="CU4" s="37" t="s">
        <v>205</v>
      </c>
      <c r="CV4" s="63">
        <f t="shared" ref="CV4" ca="1" si="111">((CV$5*60)/0.25)*CV$6</f>
        <v>58531.790286575379</v>
      </c>
      <c r="CW4" s="82">
        <f t="shared" ref="CW4" ca="1" si="112">-(CV$4+CV$26)/CV$26</f>
        <v>-5.0460845325210751E-2</v>
      </c>
      <c r="CX4" s="63"/>
      <c r="CY4" s="37" t="s">
        <v>205</v>
      </c>
      <c r="CZ4" s="63">
        <f t="shared" ref="CZ4" ca="1" si="113">((CZ$5*60)/0.25)*CZ$6</f>
        <v>53190.028411949243</v>
      </c>
      <c r="DA4" s="82">
        <f t="shared" ref="DA4" ca="1" si="114">-(CZ$4+CZ$26)/CZ$26</f>
        <v>0.73838838923433614</v>
      </c>
      <c r="DB4" s="63"/>
      <c r="DC4" s="37" t="s">
        <v>205</v>
      </c>
      <c r="DD4" s="63">
        <f t="shared" ref="DD4" ca="1" si="115">((DD$5*60)/0.25)*DD$6</f>
        <v>62409.733319575527</v>
      </c>
      <c r="DE4" s="82">
        <f t="shared" ref="DE4" ca="1" si="116">-(DD$4+DD$26)/DD$26</f>
        <v>0.82932682478750641</v>
      </c>
      <c r="DF4" s="63"/>
      <c r="DG4" s="37" t="s">
        <v>205</v>
      </c>
      <c r="DH4" s="63">
        <f t="shared" ref="DH4" ca="1" si="117">((DH$5*60)/0.25)*DH$6</f>
        <v>60915.942917398039</v>
      </c>
      <c r="DI4" s="82">
        <f t="shared" ref="DI4" ca="1" si="118">-(DH$4+DH$26)/DH$26</f>
        <v>-6.233042050531875E-2</v>
      </c>
      <c r="DJ4" s="63"/>
      <c r="DK4" s="37" t="s">
        <v>205</v>
      </c>
      <c r="DL4" s="63">
        <f t="shared" ref="DL4" ca="1" si="119">((DL$5*60)/0.25)*DL$6</f>
        <v>66000.732925684395</v>
      </c>
      <c r="DM4" s="82">
        <f t="shared" ref="DM4" ca="1" si="120">-(DL$4+DL$26)/DL$26</f>
        <v>0.85715393410411511</v>
      </c>
      <c r="DN4" s="63"/>
      <c r="DO4" s="37" t="s">
        <v>205</v>
      </c>
      <c r="DP4" s="63">
        <f t="shared" ref="DP4" ca="1" si="121">((DP$5*60)/0.25)*DP$6</f>
        <v>66452.203385681307</v>
      </c>
      <c r="DQ4" s="82">
        <f t="shared" ref="DQ4" ca="1" si="122">-(DP$4+DP$26)/DP$26</f>
        <v>0.83239088724024612</v>
      </c>
      <c r="DR4" s="63"/>
      <c r="DS4" s="37" t="s">
        <v>205</v>
      </c>
      <c r="DT4" s="63">
        <f t="shared" ref="DT4" ca="1" si="123">((DT$5*60)/0.25)*DT$6</f>
        <v>70221.546557904687</v>
      </c>
      <c r="DU4" s="82">
        <f t="shared" ref="DU4" ca="1" si="124">-(DT$4+DT$26)/DT$26</f>
        <v>-0.16547305844807333</v>
      </c>
      <c r="DV4" s="63"/>
      <c r="DW4" s="37" t="s">
        <v>205</v>
      </c>
      <c r="DX4" s="63">
        <f t="shared" ref="DX4" ca="1" si="125">((DX$5*60)/0.25)*DX$6</f>
        <v>68023.912058479851</v>
      </c>
      <c r="DY4" s="82">
        <f t="shared" ref="DY4" ca="1" si="126">-(DX$4+DX$26)/DX$26</f>
        <v>0.76628946448396462</v>
      </c>
      <c r="DZ4" s="63"/>
      <c r="EA4" s="37" t="s">
        <v>205</v>
      </c>
      <c r="EB4" s="63">
        <f t="shared" ref="EB4" ca="1" si="127">((EB$5*60)/0.25)*EB$6</f>
        <v>71176.226369209297</v>
      </c>
      <c r="EC4" s="82">
        <f t="shared" ref="EC4" ca="1" si="128">-(EB$4+EB$26)/EB$26</f>
        <v>0.7663131798534073</v>
      </c>
      <c r="ED4" s="63"/>
      <c r="EE4" s="37" t="s">
        <v>205</v>
      </c>
      <c r="EF4" s="63">
        <f t="shared" ref="EF4" ca="1" si="129">((EF$5*60)/0.25)*EF$6</f>
        <v>72515.529496982504</v>
      </c>
      <c r="EG4" s="82">
        <f t="shared" ref="EG4" ca="1" si="130">-(EF$4+EF$26)/EF$26</f>
        <v>-0.34669872343657143</v>
      </c>
      <c r="EH4" s="63"/>
      <c r="EI4" s="37" t="s">
        <v>205</v>
      </c>
      <c r="EJ4" s="63">
        <f t="shared" ref="EJ4" ca="1" si="131">((EJ$5*60)/0.25)*EJ$6</f>
        <v>83085.462427042832</v>
      </c>
      <c r="EK4" s="82">
        <f t="shared" ref="EK4" ca="1" si="132">-(EJ$4+EJ$26)/EJ$26</f>
        <v>0.75514851483734635</v>
      </c>
      <c r="EL4" s="63"/>
      <c r="EM4" s="37" t="s">
        <v>205</v>
      </c>
      <c r="EN4" s="63">
        <f t="shared" ref="EN4" ca="1" si="133">((EN$5*60)/0.25)*EN$6</f>
        <v>84779.315762191734</v>
      </c>
      <c r="EO4" s="82">
        <f t="shared" ref="EO4" ca="1" si="134">-(EN$4+EN$26)/EN$26</f>
        <v>0.76416563518586877</v>
      </c>
      <c r="EP4" s="63"/>
      <c r="EQ4" s="37" t="s">
        <v>205</v>
      </c>
      <c r="ER4" s="63">
        <f t="shared" ref="ER4" ca="1" si="135">((ER$5*60)/0.25)*ER$6</f>
        <v>69834.483613969976</v>
      </c>
      <c r="ES4" s="82">
        <f t="shared" ref="ES4" ca="1" si="136">-(ER$4+ER$26)/ER$26</f>
        <v>-0.44728295878019042</v>
      </c>
      <c r="ET4" s="63"/>
      <c r="EU4" s="37" t="s">
        <v>205</v>
      </c>
      <c r="EV4" s="63">
        <f t="shared" ref="EV4" ca="1" si="137">((EV$5*60)/0.25)*EV$6</f>
        <v>87311.336289607076</v>
      </c>
      <c r="EW4" s="82">
        <f t="shared" ref="EW4" ca="1" si="138">-(EV$4+EV$26)/EV$26</f>
        <v>0.77122176061074144</v>
      </c>
      <c r="EX4" s="63"/>
      <c r="EY4" s="37" t="s">
        <v>205</v>
      </c>
      <c r="EZ4" s="63">
        <f t="shared" ref="EZ4" ca="1" si="139">((EZ$5*60)/0.25)*EZ$6</f>
        <v>76325.537803876068</v>
      </c>
      <c r="FA4" s="82">
        <f t="shared" ref="FA4" ca="1" si="140">-(EZ$4+EZ$26)/EZ$26</f>
        <v>0.69996538404134512</v>
      </c>
      <c r="FB4" s="63"/>
      <c r="FC4" s="37" t="s">
        <v>205</v>
      </c>
      <c r="FD4" s="63">
        <f t="shared" ref="FD4" ca="1" si="141">((FD$5*60)/0.25)*FD$6</f>
        <v>87632.582882909381</v>
      </c>
      <c r="FE4" s="82">
        <f t="shared" ref="FE4" ca="1" si="142">-(FD$4+FD$26)/FD$26</f>
        <v>-0.4059452699108313</v>
      </c>
      <c r="FF4" s="63"/>
      <c r="FG4" s="37" t="s">
        <v>205</v>
      </c>
      <c r="FH4" s="63">
        <f t="shared" ref="FH4" ca="1" si="143">((FH$5*60)/0.25)*FH$6</f>
        <v>85443.375499904098</v>
      </c>
      <c r="FI4" s="82">
        <f t="shared" ref="FI4" ca="1" si="144">-(FH$4+FH$26)/FH$26</f>
        <v>0.72146667357373606</v>
      </c>
      <c r="FJ4" s="63"/>
      <c r="FK4" s="37" t="s">
        <v>205</v>
      </c>
      <c r="FL4" s="63">
        <f t="shared" ref="FL4" ca="1" si="145">((FL$5*60)/0.25)*FL$6</f>
        <v>85912.485352645846</v>
      </c>
      <c r="FM4" s="82">
        <f t="shared" ref="FM4" ca="1" si="146">-(FL$4+FL$26)/FL$26</f>
        <v>0.69726426642961037</v>
      </c>
      <c r="FN4" s="63"/>
      <c r="FO4" s="37" t="s">
        <v>205</v>
      </c>
      <c r="FP4" s="63">
        <f t="shared" ref="FP4" ca="1" si="147">((FP$5*60)/0.25)*FP$6</f>
        <v>76264.936937815728</v>
      </c>
      <c r="FQ4" s="82">
        <f t="shared" ref="FQ4" ca="1" si="148">-(FP$4+FP$26)/FP$26</f>
        <v>-0.50594569295685943</v>
      </c>
      <c r="FR4" s="63"/>
      <c r="FS4" s="37" t="s">
        <v>205</v>
      </c>
      <c r="FT4" s="63">
        <f t="shared" ref="FT4" ca="1" si="149">((FT$5*60)/0.25)*FT$6</f>
        <v>77997.779608570985</v>
      </c>
      <c r="FU4" s="82">
        <f t="shared" ref="FU4" ca="1" si="150">-(FT$4+FT$26)/FT$26</f>
        <v>0.61723367945245944</v>
      </c>
      <c r="FV4" s="63"/>
      <c r="FW4" s="37" t="s">
        <v>205</v>
      </c>
      <c r="FX4" s="63">
        <f t="shared" ref="FX4" ca="1" si="151">((FX$5*60)/0.25)*FX$6</f>
        <v>94571.342077591631</v>
      </c>
      <c r="FY4" s="82">
        <f t="shared" ref="FY4" ca="1" si="152">-(FX$4+FX$26)/FX$26</f>
        <v>0.70440656189065276</v>
      </c>
      <c r="FZ4" s="63"/>
      <c r="GA4" s="37" t="s">
        <v>205</v>
      </c>
      <c r="GB4" s="63">
        <f t="shared" ref="GB4" ca="1" si="153">((GB$5*60)/0.25)*GB$6</f>
        <v>79531.433351845335</v>
      </c>
      <c r="GC4" s="82">
        <f t="shared" ref="GC4" ca="1" si="154">-(GB$4+GB$26)/GB$26</f>
        <v>-0.5905163373266501</v>
      </c>
      <c r="GD4" s="63"/>
      <c r="GE4" s="37" t="s">
        <v>205</v>
      </c>
      <c r="GF4" s="63">
        <f t="shared" ref="GF4" ca="1" si="155">((GF$5*60)/0.25)*GF$6</f>
        <v>100760.29196992905</v>
      </c>
      <c r="GG4" s="82">
        <f t="shared" ref="GG4" ca="1" si="156">-(GF$4+GF$26)/GF$26</f>
        <v>0.63518313402044524</v>
      </c>
      <c r="GH4" s="63"/>
      <c r="GI4" s="37" t="s">
        <v>205</v>
      </c>
      <c r="GJ4" s="63">
        <f t="shared" ref="GJ4" ca="1" si="157">((GJ$5*60)/0.25)*GJ$6</f>
        <v>99221.444632794664</v>
      </c>
      <c r="GK4" s="82">
        <f t="shared" ref="GK4" ca="1" si="158">-(GJ$4+GJ$26)/GJ$26</f>
        <v>0.65498520394940662</v>
      </c>
      <c r="GL4" s="63"/>
      <c r="GM4" s="37" t="s">
        <v>205</v>
      </c>
      <c r="GN4" s="63">
        <f t="shared" ref="GN4" ca="1" si="159">((GN$5*60)/0.25)*GN$6</f>
        <v>81740.568167647536</v>
      </c>
      <c r="GO4" s="82">
        <f t="shared" ref="GO4" ca="1" si="160">-(GN$4+GN$26)/GN$26</f>
        <v>-0.56375825659140588</v>
      </c>
      <c r="GP4" s="63"/>
      <c r="GQ4" s="37" t="s">
        <v>205</v>
      </c>
      <c r="GR4" s="63">
        <f t="shared" ref="GR4" ca="1" si="161">((GR$5*60)/0.25)*GR$6</f>
        <v>102213.65314109532</v>
      </c>
      <c r="GS4" s="82">
        <f t="shared" ref="GS4" ca="1" si="162">-(GR$4+GR$26)/GR$26</f>
        <v>0.74154737506453472</v>
      </c>
      <c r="GT4" s="63"/>
      <c r="GU4" s="37" t="s">
        <v>205</v>
      </c>
      <c r="GV4" s="63">
        <f t="shared" ref="GV4" ca="1" si="163">((GV$5*60)/0.25)*GV$6</f>
        <v>106031.52089210138</v>
      </c>
      <c r="GW4" s="82">
        <f t="shared" ref="GW4" ca="1" si="164">-(GV$4+GV$26)/GV$26</f>
        <v>0.74133155517971494</v>
      </c>
      <c r="GX4" s="63"/>
      <c r="GY4" s="37" t="s">
        <v>205</v>
      </c>
      <c r="GZ4" s="63">
        <f t="shared" ref="GZ4" ca="1" si="165">((GZ$5*60)/0.25)*GZ$6</f>
        <v>86352.369507080308</v>
      </c>
      <c r="HA4" s="82">
        <f t="shared" ref="HA4" ca="1" si="166">-(GZ$4+GZ$26)/GZ$26</f>
        <v>-0.52081260403802221</v>
      </c>
      <c r="HB4" s="63"/>
      <c r="HC4" s="37" t="s">
        <v>205</v>
      </c>
      <c r="HD4" s="63">
        <f t="shared" ref="HD4" ca="1" si="167">((HD$5*60)/0.25)*HD$6</f>
        <v>95308.379066960159</v>
      </c>
      <c r="HE4" s="82">
        <f t="shared" ref="HE4" ca="1" si="168">-(HD$4+HD$26)/HD$26</f>
        <v>0.73354366795507475</v>
      </c>
      <c r="HF4" s="63"/>
      <c r="HG4" s="37" t="s">
        <v>205</v>
      </c>
      <c r="HH4" s="63">
        <f t="shared" ref="HH4" ca="1" si="169">((HH$5*60)/0.25)*HH$6</f>
        <v>109306.35341264593</v>
      </c>
      <c r="HI4" s="82">
        <f t="shared" ref="HI4" ca="1" si="170">-(HH$4+HH$26)/HH$26</f>
        <v>0.79357626925725522</v>
      </c>
      <c r="HJ4" s="63"/>
      <c r="HK4" s="37" t="s">
        <v>205</v>
      </c>
      <c r="HL4" s="63">
        <f t="shared" ref="HL4" ca="1" si="171">((HL$5*60)/0.25)*HL$6</f>
        <v>99947.323814059622</v>
      </c>
      <c r="HM4" s="82">
        <f t="shared" ref="HM4" ca="1" si="172">-(HL$4+HL$26)/HL$26</f>
        <v>-0.46134982567323629</v>
      </c>
      <c r="HN4" s="63"/>
      <c r="HO4" s="37" t="s">
        <v>205</v>
      </c>
      <c r="HP4" s="63">
        <f t="shared" ref="HP4" ca="1" si="173">((HP$5*60)/0.25)*HP$6</f>
        <v>117268.66658942921</v>
      </c>
      <c r="HQ4" s="82">
        <f t="shared" ref="HQ4" ca="1" si="174">-(HP$4+HP$26)/HP$26</f>
        <v>0.81996186843714702</v>
      </c>
      <c r="HR4" s="63"/>
      <c r="HS4" s="37" t="s">
        <v>205</v>
      </c>
      <c r="HT4" s="63">
        <f t="shared" ref="HT4" ca="1" si="175">((HT$5*60)/0.25)*HT$6</f>
        <v>95758.078590937919</v>
      </c>
      <c r="HU4" s="82">
        <f t="shared" ref="HU4" ca="1" si="176">-(HT$4+HT$26)/HT$26</f>
        <v>0.785413068774798</v>
      </c>
      <c r="HV4" s="63"/>
      <c r="HW4" s="37" t="s">
        <v>205</v>
      </c>
      <c r="HX4" s="63">
        <f t="shared" ref="HX4" ca="1" si="177">((HX$5*60)/0.25)*HX$6</f>
        <v>119087.1316672823</v>
      </c>
      <c r="HY4" s="82">
        <f t="shared" ref="HY4" ca="1" si="178">-(HX$4+HX$26)/HX$26</f>
        <v>-0.36861074941281102</v>
      </c>
      <c r="HZ4" s="63"/>
      <c r="IA4" s="37" t="s">
        <v>205</v>
      </c>
      <c r="IB4" s="63">
        <f t="shared" ref="IB4" ca="1" si="179">((IB$5*60)/0.25)*IB$6</f>
        <v>96990.945319349281</v>
      </c>
      <c r="IC4" s="82">
        <f t="shared" ref="IC4" ca="1" si="180">-(IB$4+IB$26)/IB$26</f>
        <v>0.77540796041972027</v>
      </c>
      <c r="ID4" s="63"/>
      <c r="IE4" s="37" t="s">
        <v>205</v>
      </c>
      <c r="IF4" s="63">
        <f t="shared" ref="IF4" ca="1" si="181">((IF$5*60)/0.25)*IF$6</f>
        <v>105708.50899511346</v>
      </c>
      <c r="IG4" s="82">
        <f t="shared" ref="IG4" ca="1" si="182">-(IF$4+IF$26)/IF$26</f>
        <v>0.78563231899215735</v>
      </c>
      <c r="IH4" s="63"/>
      <c r="II4" s="37" t="s">
        <v>205</v>
      </c>
      <c r="IJ4" s="63">
        <f t="shared" ref="IJ4" ca="1" si="183">((IJ$5*60)/0.25)*IJ$6</f>
        <v>96018.832564403157</v>
      </c>
      <c r="IK4" s="82">
        <f t="shared" ref="IK4" ca="1" si="184">-(IJ$4+IJ$26)/IJ$26</f>
        <v>-0.44740913144536004</v>
      </c>
      <c r="IL4" s="63"/>
      <c r="IM4" s="37" t="s">
        <v>205</v>
      </c>
      <c r="IN4" s="63">
        <f t="shared" ref="IN4" ca="1" si="185">((IN$5*60)/0.25)*IN$6</f>
        <v>112079.75096568606</v>
      </c>
      <c r="IO4" s="82">
        <f t="shared" ref="IO4" ca="1" si="186">-(IN$4+IN$26)/IN$26</f>
        <v>0.82401070103230323</v>
      </c>
      <c r="IP4" s="63"/>
      <c r="IQ4" s="37" t="s">
        <v>205</v>
      </c>
      <c r="IR4" s="63">
        <f t="shared" ref="IR4" ca="1" si="187">((IR$5*60)/0.25)*IR$6</f>
        <v>104242.45425419194</v>
      </c>
      <c r="IS4" s="82">
        <f t="shared" ref="IS4" ca="1" si="188">-(IR$4+IR$26)/IR$26</f>
        <v>0.73468363882658672</v>
      </c>
      <c r="IT4" s="63"/>
      <c r="IU4" s="37" t="s">
        <v>205</v>
      </c>
      <c r="IV4" s="63">
        <f t="shared" ref="IV4" ca="1" si="189">((IV$5*60)/0.25)*IV$6</f>
        <v>125752.0495380896</v>
      </c>
      <c r="IW4" s="82">
        <f t="shared" ref="IW4" ca="1" si="190">-(IV$4+IV$26)/IV$26</f>
        <v>-0.42898184601244777</v>
      </c>
      <c r="IX4" s="63"/>
      <c r="IY4" s="37" t="s">
        <v>205</v>
      </c>
      <c r="IZ4" s="63">
        <f t="shared" ref="IZ4" ca="1" si="191">((IZ$5*60)/0.25)*IZ$6</f>
        <v>117784.40973776406</v>
      </c>
      <c r="JA4" s="82">
        <f t="shared" ref="JA4" ca="1" si="192">-(IZ$4+IZ$26)/IZ$26</f>
        <v>0.82171519054228959</v>
      </c>
      <c r="JB4" s="63"/>
      <c r="JC4" s="37" t="s">
        <v>205</v>
      </c>
      <c r="JD4" s="63">
        <f t="shared" ref="JD4" ca="1" si="193">((JD$5*60)/0.25)*JD$6</f>
        <v>125024.83912390361</v>
      </c>
      <c r="JE4" s="82">
        <f t="shared" ref="JE4" ca="1" si="194">-(JD$4+JD$26)/JD$26</f>
        <v>0.80628297792427528</v>
      </c>
      <c r="JF4" s="63"/>
      <c r="JG4" s="37" t="s">
        <v>205</v>
      </c>
      <c r="JH4" s="63">
        <f t="shared" ref="JH4" ca="1" si="195">((JH$5*60)/0.25)*JH$6</f>
        <v>130350.32025232671</v>
      </c>
      <c r="JI4" s="82">
        <f t="shared" ref="JI4" ca="1" si="196">-(JH$4+JH$26)/JH$26</f>
        <v>-0.4321158890333156</v>
      </c>
      <c r="JJ4" s="63"/>
      <c r="JK4" s="37" t="s">
        <v>205</v>
      </c>
      <c r="JL4" s="63">
        <f t="shared" ref="JL4" ca="1" si="197">((JL$5*60)/0.25)*JL$6</f>
        <v>112830.42231537255</v>
      </c>
      <c r="JM4" s="82">
        <f t="shared" ref="JM4" ca="1" si="198">-(JL$4+JL$26)/JL$26</f>
        <v>0.72911159345307808</v>
      </c>
      <c r="JN4" s="63"/>
      <c r="JO4" s="37" t="s">
        <v>205</v>
      </c>
      <c r="JP4" s="63">
        <f t="shared" ref="JP4" ca="1" si="199">((JP$5*60)/0.25)*JP$6</f>
        <v>128765.89822306823</v>
      </c>
      <c r="JQ4" s="82">
        <f t="shared" ref="JQ4" ca="1" si="200">-(JP$4+JP$26)/JP$26</f>
        <v>0.78313233703592122</v>
      </c>
      <c r="JR4" s="63"/>
      <c r="JS4" s="37" t="s">
        <v>205</v>
      </c>
      <c r="JT4" s="63">
        <f t="shared" ref="JT4" ca="1" si="201">((JT$5*60)/0.25)*JT$6</f>
        <v>123173.65908816631</v>
      </c>
      <c r="JU4" s="82">
        <f t="shared" ref="JU4" ca="1" si="202">-(JT$4+JT$26)/JT$26</f>
        <v>-0.52794472889184008</v>
      </c>
      <c r="JV4" s="63"/>
      <c r="JW4" s="37" t="s">
        <v>205</v>
      </c>
      <c r="JX4" s="63">
        <f t="shared" ref="JX4" ca="1" si="203">((JX$5*60)/0.25)*JX$6</f>
        <v>117956.77821920659</v>
      </c>
      <c r="JY4" s="82">
        <f t="shared" ref="JY4" ca="1" si="204">-(JX$4+JX$26)/JX$26</f>
        <v>0.70298410479076379</v>
      </c>
      <c r="JZ4" s="63"/>
      <c r="KA4" s="37" t="s">
        <v>205</v>
      </c>
      <c r="KB4" s="63">
        <f t="shared" ref="KB4" ca="1" si="205">((KB$5*60)/0.25)*KB$6</f>
        <v>140249.02206820957</v>
      </c>
      <c r="KC4" s="82">
        <f t="shared" ref="KC4" ca="1" si="206">-(KB$4+KB$26)/KB$26</f>
        <v>0.79440059881966174</v>
      </c>
    </row>
    <row r="5" spans="1:289" x14ac:dyDescent="0.25">
      <c r="A5" s="116">
        <v>0.15</v>
      </c>
      <c r="C5" s="37" t="s">
        <v>208</v>
      </c>
      <c r="D5" s="44">
        <f ca="1">OFFSET($D$51, 0, (COLUMN()-4)/4)</f>
        <v>3.1</v>
      </c>
      <c r="E5" s="63"/>
      <c r="F5" s="63"/>
      <c r="G5" s="37" t="s">
        <v>208</v>
      </c>
      <c r="H5" s="44">
        <f ca="1">OFFSET($D$51, 0, (COLUMN()-4)/4)</f>
        <v>3.2</v>
      </c>
      <c r="I5" s="63"/>
      <c r="J5" s="63"/>
      <c r="K5" s="37" t="s">
        <v>208</v>
      </c>
      <c r="L5" s="44">
        <f ca="1">OFFSET($D$51, 0, (COLUMN()-4)/4)</f>
        <v>3</v>
      </c>
      <c r="M5" s="63"/>
      <c r="N5" s="63"/>
      <c r="O5" s="37" t="s">
        <v>208</v>
      </c>
      <c r="P5" s="44">
        <f ca="1">OFFSET($D$51, 0, (COLUMN()-4)/4)</f>
        <v>3.3</v>
      </c>
      <c r="Q5" s="63"/>
      <c r="R5" s="63"/>
      <c r="S5" s="37" t="s">
        <v>208</v>
      </c>
      <c r="T5" s="44">
        <f ca="1">OFFSET($D$51, 0, (COLUMN()-4)/4)</f>
        <v>3.8</v>
      </c>
      <c r="U5" s="63"/>
      <c r="V5" s="63"/>
      <c r="W5" s="37" t="s">
        <v>208</v>
      </c>
      <c r="X5" s="44">
        <f ca="1">OFFSET($D$51, 0, (COLUMN()-4)/4)</f>
        <v>3.5</v>
      </c>
      <c r="Y5" s="63"/>
      <c r="Z5" s="63"/>
      <c r="AA5" s="37" t="s">
        <v>208</v>
      </c>
      <c r="AB5" s="44">
        <f ca="1">OFFSET($D$51, 0, (COLUMN()-4)/4)</f>
        <v>3.8</v>
      </c>
      <c r="AC5" s="63"/>
      <c r="AD5" s="63"/>
      <c r="AE5" s="37" t="s">
        <v>208</v>
      </c>
      <c r="AF5" s="44">
        <f ca="1">OFFSET($D$51, 0, (COLUMN()-4)/4)</f>
        <v>4.0999999999999996</v>
      </c>
      <c r="AG5" s="63"/>
      <c r="AH5" s="63"/>
      <c r="AI5" s="37" t="s">
        <v>208</v>
      </c>
      <c r="AJ5" s="44">
        <f ca="1">OFFSET($D$51, 0, (COLUMN()-4)/4)</f>
        <v>3.9</v>
      </c>
      <c r="AK5" s="63"/>
      <c r="AL5" s="63"/>
      <c r="AM5" s="37" t="s">
        <v>208</v>
      </c>
      <c r="AN5" s="44">
        <f ca="1">OFFSET($D$51, 0, (COLUMN()-4)/4)</f>
        <v>4.0999999999999996</v>
      </c>
      <c r="AO5" s="63"/>
      <c r="AP5" s="63"/>
      <c r="AQ5" s="37" t="s">
        <v>208</v>
      </c>
      <c r="AR5" s="44">
        <f ca="1">OFFSET($D$51, 0, (COLUMN()-4)/4)</f>
        <v>5.0999999999999996</v>
      </c>
      <c r="AS5" s="63"/>
      <c r="AT5" s="63"/>
      <c r="AU5" s="37" t="s">
        <v>208</v>
      </c>
      <c r="AV5" s="44">
        <f ca="1">OFFSET($D$51, 0, (COLUMN()-4)/4)</f>
        <v>5.3</v>
      </c>
      <c r="AW5" s="63"/>
      <c r="AX5" s="63"/>
      <c r="AY5" s="37" t="s">
        <v>208</v>
      </c>
      <c r="AZ5" s="44">
        <f ca="1">OFFSET($D$51, 0, (COLUMN()-4)/4)</f>
        <v>5</v>
      </c>
      <c r="BA5" s="63"/>
      <c r="BB5" s="63"/>
      <c r="BC5" s="37" t="s">
        <v>208</v>
      </c>
      <c r="BD5" s="44">
        <f ca="1">OFFSET($D$51, 0, (COLUMN()-4)/4)</f>
        <v>4.4000000000000004</v>
      </c>
      <c r="BE5" s="63"/>
      <c r="BF5" s="63"/>
      <c r="BG5" s="37" t="s">
        <v>208</v>
      </c>
      <c r="BH5" s="44">
        <f ca="1">OFFSET($D$51, 0, (COLUMN()-4)/4)</f>
        <v>4.5</v>
      </c>
      <c r="BI5" s="63"/>
      <c r="BJ5" s="63"/>
      <c r="BK5" s="37" t="s">
        <v>208</v>
      </c>
      <c r="BL5" s="44">
        <f ca="1">OFFSET($D$51, 0, (COLUMN()-4)/4)</f>
        <v>4.5999999999999996</v>
      </c>
      <c r="BM5" s="63"/>
      <c r="BN5" s="63"/>
      <c r="BO5" s="37" t="s">
        <v>208</v>
      </c>
      <c r="BP5" s="44">
        <f ca="1">OFFSET($D$51, 0, (COLUMN()-4)/4)</f>
        <v>5.2</v>
      </c>
      <c r="BQ5" s="63"/>
      <c r="BR5" s="63"/>
      <c r="BS5" s="37" t="s">
        <v>208</v>
      </c>
      <c r="BT5" s="44">
        <f ca="1">OFFSET($D$51, 0, (COLUMN()-4)/4)</f>
        <v>4.5999999999999996</v>
      </c>
      <c r="BU5" s="63"/>
      <c r="BV5" s="63"/>
      <c r="BW5" s="37" t="s">
        <v>208</v>
      </c>
      <c r="BX5" s="44">
        <f ca="1">OFFSET($D$51, 0, (COLUMN()-4)/4)</f>
        <v>5.4</v>
      </c>
      <c r="BY5" s="63"/>
      <c r="BZ5" s="63"/>
      <c r="CA5" s="37" t="s">
        <v>208</v>
      </c>
      <c r="CB5" s="44">
        <f ca="1">OFFSET($D$51, 0, (COLUMN()-4)/4)</f>
        <v>5.9</v>
      </c>
      <c r="CC5" s="63"/>
      <c r="CD5" s="63"/>
      <c r="CE5" s="37" t="s">
        <v>208</v>
      </c>
      <c r="CF5" s="44">
        <f ca="1">OFFSET($D$51, 0, (COLUMN()-4)/4)</f>
        <v>6.7</v>
      </c>
      <c r="CG5" s="63"/>
      <c r="CH5" s="63"/>
      <c r="CI5" s="37" t="s">
        <v>208</v>
      </c>
      <c r="CJ5" s="44">
        <f ca="1">OFFSET($D$51, 0, (COLUMN()-4)/4)</f>
        <v>5.4</v>
      </c>
      <c r="CK5" s="63"/>
      <c r="CL5" s="63"/>
      <c r="CM5" s="37" t="s">
        <v>208</v>
      </c>
      <c r="CN5" s="44">
        <f ca="1">OFFSET($D$51, 0, (COLUMN()-4)/4)</f>
        <v>5.3</v>
      </c>
      <c r="CO5" s="63"/>
      <c r="CP5" s="63"/>
      <c r="CQ5" s="37" t="s">
        <v>208</v>
      </c>
      <c r="CR5" s="44">
        <f ca="1">OFFSET($D$51, 0, (COLUMN()-4)/4)</f>
        <v>6.3</v>
      </c>
      <c r="CS5" s="63"/>
      <c r="CT5" s="63"/>
      <c r="CU5" s="37" t="s">
        <v>208</v>
      </c>
      <c r="CV5" s="44">
        <f ca="1">OFFSET($D$51, 0, (COLUMN()-4)/4)</f>
        <v>6.3</v>
      </c>
      <c r="CW5" s="63"/>
      <c r="CX5" s="63"/>
      <c r="CY5" s="37" t="s">
        <v>208</v>
      </c>
      <c r="CZ5" s="44">
        <f ca="1">OFFSET($D$51, 0, (COLUMN()-4)/4)</f>
        <v>5.6</v>
      </c>
      <c r="DA5" s="63"/>
      <c r="DB5" s="63"/>
      <c r="DC5" s="37" t="s">
        <v>208</v>
      </c>
      <c r="DD5" s="44">
        <f ca="1">OFFSET($D$51, 0, (COLUMN()-4)/4)</f>
        <v>6.6</v>
      </c>
      <c r="DE5" s="63"/>
      <c r="DF5" s="63"/>
      <c r="DG5" s="37" t="s">
        <v>208</v>
      </c>
      <c r="DH5" s="44">
        <f ca="1">OFFSET($D$51, 0, (COLUMN()-4)/4)</f>
        <v>6.5</v>
      </c>
      <c r="DI5" s="63"/>
      <c r="DJ5" s="63"/>
      <c r="DK5" s="37" t="s">
        <v>208</v>
      </c>
      <c r="DL5" s="44">
        <f ca="1">OFFSET($D$51, 0, (COLUMN()-4)/4)</f>
        <v>6.9</v>
      </c>
      <c r="DM5" s="63"/>
      <c r="DN5" s="63"/>
      <c r="DO5" s="37" t="s">
        <v>208</v>
      </c>
      <c r="DP5" s="44">
        <f ca="1">OFFSET($D$51, 0, (COLUMN()-4)/4)</f>
        <v>7</v>
      </c>
      <c r="DQ5" s="63"/>
      <c r="DR5" s="63"/>
      <c r="DS5" s="37" t="s">
        <v>208</v>
      </c>
      <c r="DT5" s="44">
        <f ca="1">OFFSET($D$51, 0, (COLUMN()-4)/4)</f>
        <v>7.3</v>
      </c>
      <c r="DU5" s="63"/>
      <c r="DV5" s="63"/>
      <c r="DW5" s="37" t="s">
        <v>208</v>
      </c>
      <c r="DX5" s="44">
        <f ca="1">OFFSET($D$51, 0, (COLUMN()-4)/4)</f>
        <v>7.2</v>
      </c>
      <c r="DY5" s="63"/>
      <c r="DZ5" s="63"/>
      <c r="EA5" s="37" t="s">
        <v>208</v>
      </c>
      <c r="EB5" s="44">
        <f ca="1">OFFSET($D$51, 0, (COLUMN()-4)/4)</f>
        <v>7.5</v>
      </c>
      <c r="EC5" s="63"/>
      <c r="ED5" s="63"/>
      <c r="EE5" s="37" t="s">
        <v>208</v>
      </c>
      <c r="EF5" s="44">
        <f ca="1">OFFSET($D$51, 0, (COLUMN()-4)/4)</f>
        <v>7.8</v>
      </c>
      <c r="EG5" s="63"/>
      <c r="EH5" s="63"/>
      <c r="EI5" s="37" t="s">
        <v>208</v>
      </c>
      <c r="EJ5" s="44">
        <f ca="1">OFFSET($D$51, 0, (COLUMN()-4)/4)</f>
        <v>8.6</v>
      </c>
      <c r="EK5" s="63"/>
      <c r="EL5" s="63"/>
      <c r="EM5" s="37" t="s">
        <v>208</v>
      </c>
      <c r="EN5" s="44">
        <f ca="1">OFFSET($D$51, 0, (COLUMN()-4)/4)</f>
        <v>8.5</v>
      </c>
      <c r="EO5" s="63"/>
      <c r="EP5" s="63"/>
      <c r="EQ5" s="37" t="s">
        <v>208</v>
      </c>
      <c r="ER5" s="44">
        <f ca="1">OFFSET($D$51, 0, (COLUMN()-4)/4)</f>
        <v>7.3</v>
      </c>
      <c r="ES5" s="63"/>
      <c r="ET5" s="63"/>
      <c r="EU5" s="37" t="s">
        <v>208</v>
      </c>
      <c r="EV5" s="44">
        <f ca="1">OFFSET($D$51, 0, (COLUMN()-4)/4)</f>
        <v>8.9</v>
      </c>
      <c r="EW5" s="63"/>
      <c r="EX5" s="63"/>
      <c r="EY5" s="37" t="s">
        <v>208</v>
      </c>
      <c r="EZ5" s="44">
        <f ca="1">OFFSET($D$51, 0, (COLUMN()-4)/4)</f>
        <v>7.9</v>
      </c>
      <c r="FA5" s="63"/>
      <c r="FB5" s="63"/>
      <c r="FC5" s="37" t="s">
        <v>208</v>
      </c>
      <c r="FD5" s="44">
        <f ca="1">OFFSET($D$51, 0, (COLUMN()-4)/4)</f>
        <v>9.1</v>
      </c>
      <c r="FE5" s="63"/>
      <c r="FF5" s="63"/>
      <c r="FG5" s="37" t="s">
        <v>208</v>
      </c>
      <c r="FH5" s="44">
        <f ca="1">OFFSET($D$51, 0, (COLUMN()-4)/4)</f>
        <v>8.9</v>
      </c>
      <c r="FI5" s="63"/>
      <c r="FJ5" s="63"/>
      <c r="FK5" s="37" t="s">
        <v>208</v>
      </c>
      <c r="FL5" s="44">
        <f ca="1">OFFSET($D$51, 0, (COLUMN()-4)/4)</f>
        <v>8.8000000000000007</v>
      </c>
      <c r="FM5" s="63"/>
      <c r="FN5" s="63"/>
      <c r="FO5" s="37" t="s">
        <v>208</v>
      </c>
      <c r="FP5" s="44">
        <f ca="1">OFFSET($D$51, 0, (COLUMN()-4)/4)</f>
        <v>7.9</v>
      </c>
      <c r="FQ5" s="63"/>
      <c r="FR5" s="63"/>
      <c r="FS5" s="37" t="s">
        <v>208</v>
      </c>
      <c r="FT5" s="44">
        <f ca="1">OFFSET($D$51, 0, (COLUMN()-4)/4)</f>
        <v>8.1999999999999993</v>
      </c>
      <c r="FU5" s="63"/>
      <c r="FV5" s="63"/>
      <c r="FW5" s="37" t="s">
        <v>208</v>
      </c>
      <c r="FX5" s="44">
        <f ca="1">OFFSET($D$51, 0, (COLUMN()-4)/4)</f>
        <v>9.6999999999999993</v>
      </c>
      <c r="FY5" s="63"/>
      <c r="FZ5" s="63"/>
      <c r="GA5" s="37" t="s">
        <v>208</v>
      </c>
      <c r="GB5" s="44">
        <f ca="1">OFFSET($D$51, 0, (COLUMN()-4)/4)</f>
        <v>8.4</v>
      </c>
      <c r="GC5" s="63"/>
      <c r="GD5" s="63"/>
      <c r="GE5" s="37" t="s">
        <v>208</v>
      </c>
      <c r="GF5" s="44">
        <f ca="1">OFFSET($D$51, 0, (COLUMN()-4)/4)</f>
        <v>10.3</v>
      </c>
      <c r="GG5" s="63"/>
      <c r="GH5" s="63"/>
      <c r="GI5" s="37" t="s">
        <v>208</v>
      </c>
      <c r="GJ5" s="44">
        <f ca="1">OFFSET($D$51, 0, (COLUMN()-4)/4)</f>
        <v>10.3</v>
      </c>
      <c r="GK5" s="63"/>
      <c r="GL5" s="63"/>
      <c r="GM5" s="37" t="s">
        <v>208</v>
      </c>
      <c r="GN5" s="44">
        <f ca="1">OFFSET($D$51, 0, (COLUMN()-4)/4)</f>
        <v>8.6999999999999993</v>
      </c>
      <c r="GO5" s="63"/>
      <c r="GP5" s="63"/>
      <c r="GQ5" s="37" t="s">
        <v>208</v>
      </c>
      <c r="GR5" s="44">
        <f ca="1">OFFSET($D$51, 0, (COLUMN()-4)/4)</f>
        <v>10.7</v>
      </c>
      <c r="GS5" s="63"/>
      <c r="GT5" s="63"/>
      <c r="GU5" s="37" t="s">
        <v>208</v>
      </c>
      <c r="GV5" s="44">
        <f ca="1">OFFSET($D$51, 0, (COLUMN()-4)/4)</f>
        <v>11.1</v>
      </c>
      <c r="GW5" s="63"/>
      <c r="GX5" s="63"/>
      <c r="GY5" s="37" t="s">
        <v>208</v>
      </c>
      <c r="GZ5" s="44">
        <f ca="1">OFFSET($D$51, 0, (COLUMN()-4)/4)</f>
        <v>9.1</v>
      </c>
      <c r="HA5" s="63"/>
      <c r="HB5" s="63"/>
      <c r="HC5" s="37" t="s">
        <v>208</v>
      </c>
      <c r="HD5" s="44">
        <f ca="1">OFFSET($D$51, 0, (COLUMN()-4)/4)</f>
        <v>10.1</v>
      </c>
      <c r="HE5" s="63"/>
      <c r="HF5" s="63"/>
      <c r="HG5" s="37" t="s">
        <v>208</v>
      </c>
      <c r="HH5" s="44">
        <f ca="1">OFFSET($D$51, 0, (COLUMN()-4)/4)</f>
        <v>11.4</v>
      </c>
      <c r="HI5" s="63"/>
      <c r="HJ5" s="63"/>
      <c r="HK5" s="37" t="s">
        <v>208</v>
      </c>
      <c r="HL5" s="44">
        <f ca="1">OFFSET($D$51, 0, (COLUMN()-4)/4)</f>
        <v>10.5</v>
      </c>
      <c r="HM5" s="63"/>
      <c r="HN5" s="63"/>
      <c r="HO5" s="37" t="s">
        <v>208</v>
      </c>
      <c r="HP5" s="44">
        <f ca="1">OFFSET($D$51, 0, (COLUMN()-4)/4)</f>
        <v>11.9</v>
      </c>
      <c r="HQ5" s="63"/>
      <c r="HR5" s="63"/>
      <c r="HS5" s="37" t="s">
        <v>208</v>
      </c>
      <c r="HT5" s="44">
        <f ca="1">OFFSET($D$51, 0, (COLUMN()-4)/4)</f>
        <v>9.6999999999999993</v>
      </c>
      <c r="HU5" s="63"/>
      <c r="HV5" s="63"/>
      <c r="HW5" s="37" t="s">
        <v>208</v>
      </c>
      <c r="HX5" s="44">
        <f ca="1">OFFSET($D$51, 0, (COLUMN()-4)/4)</f>
        <v>12.3</v>
      </c>
      <c r="HY5" s="63"/>
      <c r="HZ5" s="63"/>
      <c r="IA5" s="37" t="s">
        <v>208</v>
      </c>
      <c r="IB5" s="44">
        <f ca="1">OFFSET($D$51, 0, (COLUMN()-4)/4)</f>
        <v>10.1</v>
      </c>
      <c r="IC5" s="63"/>
      <c r="ID5" s="63"/>
      <c r="IE5" s="37" t="s">
        <v>208</v>
      </c>
      <c r="IF5" s="44">
        <f ca="1">OFFSET($D$51, 0, (COLUMN()-4)/4)</f>
        <v>11.4</v>
      </c>
      <c r="IG5" s="63"/>
      <c r="IH5" s="63"/>
      <c r="II5" s="37" t="s">
        <v>208</v>
      </c>
      <c r="IJ5" s="44">
        <f ca="1">OFFSET($D$51, 0, (COLUMN()-4)/4)</f>
        <v>10.199999999999999</v>
      </c>
      <c r="IK5" s="63"/>
      <c r="IL5" s="63"/>
      <c r="IM5" s="37" t="s">
        <v>208</v>
      </c>
      <c r="IN5" s="44">
        <f ca="1">OFFSET($D$51, 0, (COLUMN()-4)/4)</f>
        <v>11.4</v>
      </c>
      <c r="IO5" s="63"/>
      <c r="IP5" s="63"/>
      <c r="IQ5" s="37" t="s">
        <v>208</v>
      </c>
      <c r="IR5" s="44">
        <f ca="1">OFFSET($D$51, 0, (COLUMN()-4)/4)</f>
        <v>11.3</v>
      </c>
      <c r="IS5" s="63"/>
      <c r="IT5" s="63"/>
      <c r="IU5" s="37" t="s">
        <v>208</v>
      </c>
      <c r="IV5" s="44">
        <f ca="1">OFFSET($D$51, 0, (COLUMN()-4)/4)</f>
        <v>13</v>
      </c>
      <c r="IW5" s="63"/>
      <c r="IX5" s="63"/>
      <c r="IY5" s="37" t="s">
        <v>208</v>
      </c>
      <c r="IZ5" s="44">
        <f ca="1">OFFSET($D$51, 0, (COLUMN()-4)/4)</f>
        <v>12.1</v>
      </c>
      <c r="JA5" s="63"/>
      <c r="JB5" s="63"/>
      <c r="JC5" s="37" t="s">
        <v>208</v>
      </c>
      <c r="JD5" s="44">
        <f ca="1">OFFSET($D$51, 0, (COLUMN()-4)/4)</f>
        <v>13.1</v>
      </c>
      <c r="JE5" s="63"/>
      <c r="JF5" s="63"/>
      <c r="JG5" s="37" t="s">
        <v>208</v>
      </c>
      <c r="JH5" s="44">
        <f ca="1">OFFSET($D$51, 0, (COLUMN()-4)/4)</f>
        <v>13.3</v>
      </c>
      <c r="JI5" s="63"/>
      <c r="JJ5" s="63"/>
      <c r="JK5" s="37" t="s">
        <v>208</v>
      </c>
      <c r="JL5" s="44">
        <f ca="1">OFFSET($D$51, 0, (COLUMN()-4)/4)</f>
        <v>11.9</v>
      </c>
      <c r="JM5" s="63"/>
      <c r="JN5" s="63"/>
      <c r="JO5" s="37" t="s">
        <v>208</v>
      </c>
      <c r="JP5" s="44">
        <f ca="1">OFFSET($D$51, 0, (COLUMN()-4)/4)</f>
        <v>13</v>
      </c>
      <c r="JQ5" s="63"/>
      <c r="JR5" s="63"/>
      <c r="JS5" s="37" t="s">
        <v>208</v>
      </c>
      <c r="JT5" s="44">
        <f ca="1">OFFSET($D$51, 0, (COLUMN()-4)/4)</f>
        <v>13.1</v>
      </c>
      <c r="JU5" s="63"/>
      <c r="JV5" s="63"/>
      <c r="JW5" s="37" t="s">
        <v>208</v>
      </c>
      <c r="JX5" s="44">
        <f ca="1">OFFSET($D$51, 0, (COLUMN()-4)/4)</f>
        <v>12.7</v>
      </c>
      <c r="JY5" s="63"/>
      <c r="JZ5" s="63"/>
      <c r="KA5" s="37" t="s">
        <v>208</v>
      </c>
      <c r="KB5" s="44">
        <f ca="1">OFFSET($D$51, 0, (COLUMN()-4)/4)</f>
        <v>14.4</v>
      </c>
      <c r="KC5" s="63"/>
    </row>
    <row r="6" spans="1:289" x14ac:dyDescent="0.25">
      <c r="C6" s="37" t="s">
        <v>182</v>
      </c>
      <c r="D6" s="149">
        <f ca="1">OFFSET($D$52, 0, (COLUMN()-4)/4)</f>
        <v>39.867628103290478</v>
      </c>
      <c r="E6" s="63"/>
      <c r="F6" s="63"/>
      <c r="G6" s="37" t="s">
        <v>182</v>
      </c>
      <c r="H6" s="149">
        <f ca="1">OFFSET($D$52, 0, (COLUMN()-4)/4)</f>
        <v>40.750485944376038</v>
      </c>
      <c r="I6" s="63"/>
      <c r="J6" s="63"/>
      <c r="K6" s="37" t="s">
        <v>182</v>
      </c>
      <c r="L6" s="149">
        <f ca="1">OFFSET($D$52, 0, (COLUMN()-4)/4)</f>
        <v>41.726623390903384</v>
      </c>
      <c r="M6" s="63"/>
      <c r="N6" s="63"/>
      <c r="O6" s="37" t="s">
        <v>182</v>
      </c>
      <c r="P6" s="149">
        <f ca="1">OFFSET($D$52, 0, (COLUMN()-4)/4)</f>
        <v>41.417173232392159</v>
      </c>
      <c r="Q6" s="63"/>
      <c r="R6" s="63"/>
      <c r="S6" s="37" t="s">
        <v>182</v>
      </c>
      <c r="T6" s="149">
        <f ca="1">OFFSET($D$52, 0, (COLUMN()-4)/4)</f>
        <v>40.605371860910893</v>
      </c>
      <c r="U6" s="63"/>
      <c r="V6" s="63"/>
      <c r="W6" s="37" t="s">
        <v>182</v>
      </c>
      <c r="X6" s="149">
        <f ca="1">OFFSET($D$52, 0, (COLUMN()-4)/4)</f>
        <v>39.589275719062123</v>
      </c>
      <c r="Y6" s="63"/>
      <c r="Z6" s="63"/>
      <c r="AA6" s="37" t="s">
        <v>182</v>
      </c>
      <c r="AB6" s="149">
        <f ca="1">OFFSET($D$52, 0, (COLUMN()-4)/4)</f>
        <v>40.094564574372917</v>
      </c>
      <c r="AC6" s="63"/>
      <c r="AD6" s="63"/>
      <c r="AE6" s="37" t="s">
        <v>182</v>
      </c>
      <c r="AF6" s="149">
        <f ca="1">OFFSET($D$52, 0, (COLUMN()-4)/4)</f>
        <v>40.72550367117806</v>
      </c>
      <c r="AG6" s="63"/>
      <c r="AH6" s="63"/>
      <c r="AI6" s="37" t="s">
        <v>182</v>
      </c>
      <c r="AJ6" s="149">
        <f ca="1">OFFSET($D$52, 0, (COLUMN()-4)/4)</f>
        <v>38.968950794204659</v>
      </c>
      <c r="AK6" s="63"/>
      <c r="AL6" s="63"/>
      <c r="AM6" s="37" t="s">
        <v>182</v>
      </c>
      <c r="AN6" s="149">
        <f ca="1">OFFSET($D$52, 0, (COLUMN()-4)/4)</f>
        <v>38.742078460790452</v>
      </c>
      <c r="AO6" s="63"/>
      <c r="AP6" s="63"/>
      <c r="AQ6" s="37" t="s">
        <v>182</v>
      </c>
      <c r="AR6" s="149">
        <f ca="1">OFFSET($D$52, 0, (COLUMN()-4)/4)</f>
        <v>39.52672513885436</v>
      </c>
      <c r="AS6" s="63"/>
      <c r="AT6" s="63"/>
      <c r="AU6" s="37" t="s">
        <v>182</v>
      </c>
      <c r="AV6" s="149">
        <f ca="1">OFFSET($D$52, 0, (COLUMN()-4)/4)</f>
        <v>39.242224458184999</v>
      </c>
      <c r="AW6" s="63"/>
      <c r="AX6" s="63"/>
      <c r="AY6" s="37" t="s">
        <v>182</v>
      </c>
      <c r="AZ6" s="149">
        <f ca="1">OFFSET($D$52, 0, (COLUMN()-4)/4)</f>
        <v>41.194993963131111</v>
      </c>
      <c r="BA6" s="63"/>
      <c r="BB6" s="63"/>
      <c r="BC6" s="37" t="s">
        <v>182</v>
      </c>
      <c r="BD6" s="149">
        <f ca="1">OFFSET($D$52, 0, (COLUMN()-4)/4)</f>
        <v>39.792270795476725</v>
      </c>
      <c r="BE6" s="63"/>
      <c r="BF6" s="63"/>
      <c r="BG6" s="37" t="s">
        <v>182</v>
      </c>
      <c r="BH6" s="149">
        <f ca="1">OFFSET($D$52, 0, (COLUMN()-4)/4)</f>
        <v>40.369271158401411</v>
      </c>
      <c r="BI6" s="63"/>
      <c r="BJ6" s="63"/>
      <c r="BK6" s="37" t="s">
        <v>182</v>
      </c>
      <c r="BL6" s="149">
        <f ca="1">OFFSET($D$52, 0, (COLUMN()-4)/4)</f>
        <v>39.776868219790458</v>
      </c>
      <c r="BM6" s="63"/>
      <c r="BN6" s="63"/>
      <c r="BO6" s="37" t="s">
        <v>182</v>
      </c>
      <c r="BP6" s="149">
        <f ca="1">OFFSET($D$52, 0, (COLUMN()-4)/4)</f>
        <v>39.609118746444111</v>
      </c>
      <c r="BQ6" s="63"/>
      <c r="BR6" s="63"/>
      <c r="BS6" s="37" t="s">
        <v>182</v>
      </c>
      <c r="BT6" s="149">
        <f ca="1">OFFSET($D$52, 0, (COLUMN()-4)/4)</f>
        <v>39.869411858796077</v>
      </c>
      <c r="BU6" s="63"/>
      <c r="BV6" s="63"/>
      <c r="BW6" s="37" t="s">
        <v>182</v>
      </c>
      <c r="BX6" s="149">
        <f ca="1">OFFSET($D$52, 0, (COLUMN()-4)/4)</f>
        <v>40.910622402611914</v>
      </c>
      <c r="BY6" s="63"/>
      <c r="BZ6" s="63"/>
      <c r="CA6" s="37" t="s">
        <v>182</v>
      </c>
      <c r="CB6" s="149">
        <f ca="1">OFFSET($D$52, 0, (COLUMN()-4)/4)</f>
        <v>39.817909804707696</v>
      </c>
      <c r="CC6" s="63"/>
      <c r="CD6" s="63"/>
      <c r="CE6" s="37" t="s">
        <v>182</v>
      </c>
      <c r="CF6" s="149">
        <f ca="1">OFFSET($D$52, 0, (COLUMN()-4)/4)</f>
        <v>40.02344760187016</v>
      </c>
      <c r="CG6" s="63"/>
      <c r="CH6" s="63"/>
      <c r="CI6" s="37" t="s">
        <v>182</v>
      </c>
      <c r="CJ6" s="149">
        <f ca="1">OFFSET($D$52, 0, (COLUMN()-4)/4)</f>
        <v>39.338051175727109</v>
      </c>
      <c r="CK6" s="63"/>
      <c r="CL6" s="63"/>
      <c r="CM6" s="37" t="s">
        <v>182</v>
      </c>
      <c r="CN6" s="149">
        <f ca="1">OFFSET($D$52, 0, (COLUMN()-4)/4)</f>
        <v>41.344559216949804</v>
      </c>
      <c r="CO6" s="63"/>
      <c r="CP6" s="63"/>
      <c r="CQ6" s="37" t="s">
        <v>182</v>
      </c>
      <c r="CR6" s="149">
        <f ca="1">OFFSET($D$52, 0, (COLUMN()-4)/4)</f>
        <v>41.76666162899091</v>
      </c>
      <c r="CS6" s="63"/>
      <c r="CT6" s="63"/>
      <c r="CU6" s="37" t="s">
        <v>182</v>
      </c>
      <c r="CV6" s="149">
        <f ca="1">OFFSET($D$52, 0, (COLUMN()-4)/4)</f>
        <v>38.711501512285302</v>
      </c>
      <c r="CW6" s="63"/>
      <c r="CX6" s="63"/>
      <c r="CY6" s="37" t="s">
        <v>182</v>
      </c>
      <c r="CZ6" s="149">
        <f ca="1">OFFSET($D$52, 0, (COLUMN()-4)/4)</f>
        <v>39.575913996986046</v>
      </c>
      <c r="DA6" s="63"/>
      <c r="DB6" s="63"/>
      <c r="DC6" s="37" t="s">
        <v>182</v>
      </c>
      <c r="DD6" s="149">
        <f ca="1">OFFSET($D$52, 0, (COLUMN()-4)/4)</f>
        <v>39.400084166398692</v>
      </c>
      <c r="DE6" s="63"/>
      <c r="DF6" s="63"/>
      <c r="DG6" s="37" t="s">
        <v>182</v>
      </c>
      <c r="DH6" s="149">
        <f ca="1">OFFSET($D$52, 0, (COLUMN()-4)/4)</f>
        <v>39.048681357306435</v>
      </c>
      <c r="DI6" s="63"/>
      <c r="DJ6" s="63"/>
      <c r="DK6" s="37" t="s">
        <v>182</v>
      </c>
      <c r="DL6" s="149">
        <f ca="1">OFFSET($D$52, 0, (COLUMN()-4)/4)</f>
        <v>39.855515051741783</v>
      </c>
      <c r="DM6" s="63"/>
      <c r="DN6" s="63"/>
      <c r="DO6" s="37" t="s">
        <v>182</v>
      </c>
      <c r="DP6" s="149">
        <f ca="1">OFFSET($D$52, 0, (COLUMN()-4)/4)</f>
        <v>39.554882967667446</v>
      </c>
      <c r="DQ6" s="63"/>
      <c r="DR6" s="63"/>
      <c r="DS6" s="37" t="s">
        <v>182</v>
      </c>
      <c r="DT6" s="149">
        <f ca="1">OFFSET($D$52, 0, (COLUMN()-4)/4)</f>
        <v>40.080791414329155</v>
      </c>
      <c r="DU6" s="63"/>
      <c r="DV6" s="63"/>
      <c r="DW6" s="37" t="s">
        <v>182</v>
      </c>
      <c r="DX6" s="149">
        <f ca="1">OFFSET($D$52, 0, (COLUMN()-4)/4)</f>
        <v>39.365689848657318</v>
      </c>
      <c r="DY6" s="63"/>
      <c r="DZ6" s="63"/>
      <c r="EA6" s="37" t="s">
        <v>182</v>
      </c>
      <c r="EB6" s="149">
        <f ca="1">OFFSET($D$52, 0, (COLUMN()-4)/4)</f>
        <v>39.542347982894057</v>
      </c>
      <c r="EC6" s="63"/>
      <c r="ED6" s="63"/>
      <c r="EE6" s="37" t="s">
        <v>182</v>
      </c>
      <c r="EF6" s="149">
        <f ca="1">OFFSET($D$52, 0, (COLUMN()-4)/4)</f>
        <v>38.736928150097491</v>
      </c>
      <c r="EG6" s="63"/>
      <c r="EH6" s="63"/>
      <c r="EI6" s="37" t="s">
        <v>182</v>
      </c>
      <c r="EJ6" s="149">
        <f ca="1">OFFSET($D$52, 0, (COLUMN()-4)/4)</f>
        <v>40.254584509226177</v>
      </c>
      <c r="EK6" s="63"/>
      <c r="EL6" s="63"/>
      <c r="EM6" s="37" t="s">
        <v>182</v>
      </c>
      <c r="EN6" s="149">
        <f ca="1">OFFSET($D$52, 0, (COLUMN()-4)/4)</f>
        <v>41.558488118721435</v>
      </c>
      <c r="EO6" s="63"/>
      <c r="EP6" s="63"/>
      <c r="EQ6" s="37" t="s">
        <v>182</v>
      </c>
      <c r="ER6" s="149">
        <f ca="1">OFFSET($D$52, 0, (COLUMN()-4)/4)</f>
        <v>39.859865076466882</v>
      </c>
      <c r="ES6" s="63"/>
      <c r="ET6" s="63"/>
      <c r="EU6" s="37" t="s">
        <v>182</v>
      </c>
      <c r="EV6" s="149">
        <f ca="1">OFFSET($D$52, 0, (COLUMN()-4)/4)</f>
        <v>40.876093768542638</v>
      </c>
      <c r="EW6" s="63"/>
      <c r="EX6" s="63"/>
      <c r="EY6" s="37" t="s">
        <v>182</v>
      </c>
      <c r="EZ6" s="149">
        <f ca="1">OFFSET($D$52, 0, (COLUMN()-4)/4)</f>
        <v>40.256085339597085</v>
      </c>
      <c r="FA6" s="63"/>
      <c r="FB6" s="63"/>
      <c r="FC6" s="37" t="s">
        <v>182</v>
      </c>
      <c r="FD6" s="149">
        <f ca="1">OFFSET($D$52, 0, (COLUMN()-4)/4)</f>
        <v>40.124809012321144</v>
      </c>
      <c r="FE6" s="63"/>
      <c r="FF6" s="63"/>
      <c r="FG6" s="37" t="s">
        <v>182</v>
      </c>
      <c r="FH6" s="149">
        <f ca="1">OFFSET($D$52, 0, (COLUMN()-4)/4)</f>
        <v>40.001580290217277</v>
      </c>
      <c r="FI6" s="63"/>
      <c r="FJ6" s="63"/>
      <c r="FK6" s="37" t="s">
        <v>182</v>
      </c>
      <c r="FL6" s="149">
        <f ca="1">OFFSET($D$52, 0, (COLUMN()-4)/4)</f>
        <v>40.678260110154284</v>
      </c>
      <c r="FM6" s="63"/>
      <c r="FN6" s="63"/>
      <c r="FO6" s="37" t="s">
        <v>182</v>
      </c>
      <c r="FP6" s="149">
        <f ca="1">OFFSET($D$52, 0, (COLUMN()-4)/4)</f>
        <v>40.224122857497747</v>
      </c>
      <c r="FQ6" s="63"/>
      <c r="FR6" s="63"/>
      <c r="FS6" s="37" t="s">
        <v>182</v>
      </c>
      <c r="FT6" s="149">
        <f ca="1">OFFSET($D$52, 0, (COLUMN()-4)/4)</f>
        <v>39.633018093786077</v>
      </c>
      <c r="FU6" s="63"/>
      <c r="FV6" s="63"/>
      <c r="FW6" s="37" t="s">
        <v>182</v>
      </c>
      <c r="FX6" s="149">
        <f ca="1">OFFSET($D$52, 0, (COLUMN()-4)/4)</f>
        <v>40.623428727487813</v>
      </c>
      <c r="FY6" s="63"/>
      <c r="FZ6" s="63"/>
      <c r="GA6" s="37" t="s">
        <v>182</v>
      </c>
      <c r="GB6" s="149">
        <f ca="1">OFFSET($D$52, 0, (COLUMN()-4)/4)</f>
        <v>39.450115749923285</v>
      </c>
      <c r="GC6" s="63"/>
      <c r="GD6" s="63"/>
      <c r="GE6" s="37" t="s">
        <v>182</v>
      </c>
      <c r="GF6" s="149">
        <f ca="1">OFFSET($D$52, 0, (COLUMN()-4)/4)</f>
        <v>40.760635910165476</v>
      </c>
      <c r="GG6" s="63"/>
      <c r="GH6" s="63"/>
      <c r="GI6" s="37" t="s">
        <v>182</v>
      </c>
      <c r="GJ6" s="149">
        <f ca="1">OFFSET($D$52, 0, (COLUMN()-4)/4)</f>
        <v>40.138124851454151</v>
      </c>
      <c r="GK6" s="63"/>
      <c r="GL6" s="63"/>
      <c r="GM6" s="37" t="s">
        <v>182</v>
      </c>
      <c r="GN6" s="149">
        <f ca="1">OFFSET($D$52, 0, (COLUMN()-4)/4)</f>
        <v>39.147781689486365</v>
      </c>
      <c r="GO6" s="63"/>
      <c r="GP6" s="63"/>
      <c r="GQ6" s="37" t="s">
        <v>182</v>
      </c>
      <c r="GR6" s="149">
        <f ca="1">OFFSET($D$52, 0, (COLUMN()-4)/4)</f>
        <v>39.802824431890699</v>
      </c>
      <c r="GS6" s="63"/>
      <c r="GT6" s="63"/>
      <c r="GU6" s="37" t="s">
        <v>182</v>
      </c>
      <c r="GV6" s="149">
        <f ca="1">OFFSET($D$52, 0, (COLUMN()-4)/4)</f>
        <v>39.801621956494515</v>
      </c>
      <c r="GW6" s="63"/>
      <c r="GX6" s="63"/>
      <c r="GY6" s="37" t="s">
        <v>182</v>
      </c>
      <c r="GZ6" s="149">
        <f ca="1">OFFSET($D$52, 0, (COLUMN()-4)/4)</f>
        <v>39.53863072668512</v>
      </c>
      <c r="HA6" s="63"/>
      <c r="HB6" s="63"/>
      <c r="HC6" s="37" t="s">
        <v>182</v>
      </c>
      <c r="HD6" s="149">
        <f ca="1">OFFSET($D$52, 0, (COLUMN()-4)/4)</f>
        <v>39.318638228943961</v>
      </c>
      <c r="HE6" s="63"/>
      <c r="HF6" s="63"/>
      <c r="HG6" s="37" t="s">
        <v>182</v>
      </c>
      <c r="HH6" s="149">
        <f ca="1">OFFSET($D$52, 0, (COLUMN()-4)/4)</f>
        <v>39.95115256310158</v>
      </c>
      <c r="HI6" s="63"/>
      <c r="HJ6" s="63"/>
      <c r="HK6" s="37" t="s">
        <v>182</v>
      </c>
      <c r="HL6" s="149">
        <f ca="1">OFFSET($D$52, 0, (COLUMN()-4)/4)</f>
        <v>39.661636434150644</v>
      </c>
      <c r="HM6" s="63"/>
      <c r="HN6" s="63"/>
      <c r="HO6" s="37" t="s">
        <v>182</v>
      </c>
      <c r="HP6" s="149">
        <f ca="1">OFFSET($D$52, 0, (COLUMN()-4)/4)</f>
        <v>41.060457489295942</v>
      </c>
      <c r="HQ6" s="63"/>
      <c r="HR6" s="63"/>
      <c r="HS6" s="37" t="s">
        <v>182</v>
      </c>
      <c r="HT6" s="149">
        <f ca="1">OFFSET($D$52, 0, (COLUMN()-4)/4)</f>
        <v>41.133195271021442</v>
      </c>
      <c r="HU6" s="63"/>
      <c r="HV6" s="63"/>
      <c r="HW6" s="37" t="s">
        <v>182</v>
      </c>
      <c r="HX6" s="149">
        <f ca="1">OFFSET($D$52, 0, (COLUMN()-4)/4)</f>
        <v>40.341169263984519</v>
      </c>
      <c r="HY6" s="63"/>
      <c r="HZ6" s="63"/>
      <c r="IA6" s="37" t="s">
        <v>182</v>
      </c>
      <c r="IB6" s="149">
        <f ca="1">OFFSET($D$52, 0, (COLUMN()-4)/4)</f>
        <v>40.012766220853663</v>
      </c>
      <c r="IC6" s="63"/>
      <c r="ID6" s="63"/>
      <c r="IE6" s="37" t="s">
        <v>182</v>
      </c>
      <c r="IF6" s="149">
        <f ca="1">OFFSET($D$52, 0, (COLUMN()-4)/4)</f>
        <v>38.636150948506383</v>
      </c>
      <c r="IG6" s="63"/>
      <c r="IH6" s="63"/>
      <c r="II6" s="37" t="s">
        <v>182</v>
      </c>
      <c r="IJ6" s="149">
        <f ca="1">OFFSET($D$52, 0, (COLUMN()-4)/4)</f>
        <v>39.223379315524163</v>
      </c>
      <c r="IK6" s="63"/>
      <c r="IL6" s="63"/>
      <c r="IM6" s="37" t="s">
        <v>182</v>
      </c>
      <c r="IN6" s="149">
        <f ca="1">OFFSET($D$52, 0, (COLUMN()-4)/4)</f>
        <v>40.964821259388181</v>
      </c>
      <c r="IO6" s="63"/>
      <c r="IP6" s="63"/>
      <c r="IQ6" s="37" t="s">
        <v>182</v>
      </c>
      <c r="IR6" s="149">
        <f ca="1">OFFSET($D$52, 0, (COLUMN()-4)/4)</f>
        <v>38.437483132076672</v>
      </c>
      <c r="IS6" s="63"/>
      <c r="IT6" s="63"/>
      <c r="IU6" s="37" t="s">
        <v>182</v>
      </c>
      <c r="IV6" s="149">
        <f ca="1">OFFSET($D$52, 0, (COLUMN()-4)/4)</f>
        <v>40.305144082721029</v>
      </c>
      <c r="IW6" s="63"/>
      <c r="IX6" s="63"/>
      <c r="IY6" s="37" t="s">
        <v>182</v>
      </c>
      <c r="IZ6" s="149">
        <f ca="1">OFFSET($D$52, 0, (COLUMN()-4)/4)</f>
        <v>40.559369744409111</v>
      </c>
      <c r="JA6" s="63"/>
      <c r="JB6" s="63"/>
      <c r="JC6" s="37" t="s">
        <v>182</v>
      </c>
      <c r="JD6" s="149">
        <f ca="1">OFFSET($D$52, 0, (COLUMN()-4)/4)</f>
        <v>39.766170204803949</v>
      </c>
      <c r="JE6" s="63"/>
      <c r="JF6" s="63"/>
      <c r="JG6" s="37" t="s">
        <v>182</v>
      </c>
      <c r="JH6" s="149">
        <f ca="1">OFFSET($D$52, 0, (COLUMN()-4)/4)</f>
        <v>40.836566495089819</v>
      </c>
      <c r="JI6" s="63"/>
      <c r="JJ6" s="63"/>
      <c r="JK6" s="37" t="s">
        <v>182</v>
      </c>
      <c r="JL6" s="149">
        <f ca="1">OFFSET($D$52, 0, (COLUMN()-4)/4)</f>
        <v>39.506450390536607</v>
      </c>
      <c r="JM6" s="63"/>
      <c r="JN6" s="63"/>
      <c r="JO6" s="37" t="s">
        <v>182</v>
      </c>
      <c r="JP6" s="149">
        <f ca="1">OFFSET($D$52, 0, (COLUMN()-4)/4)</f>
        <v>41.271121225342384</v>
      </c>
      <c r="JQ6" s="63"/>
      <c r="JR6" s="63"/>
      <c r="JS6" s="37" t="s">
        <v>182</v>
      </c>
      <c r="JT6" s="149">
        <f ca="1">OFFSET($D$52, 0, (COLUMN()-4)/4)</f>
        <v>39.177372483513459</v>
      </c>
      <c r="JU6" s="63"/>
      <c r="JV6" s="63"/>
      <c r="JW6" s="37" t="s">
        <v>182</v>
      </c>
      <c r="JX6" s="149">
        <f ca="1">OFFSET($D$52, 0, (COLUMN()-4)/4)</f>
        <v>38.699730386878805</v>
      </c>
      <c r="JY6" s="63"/>
      <c r="JZ6" s="63"/>
      <c r="KA6" s="37" t="s">
        <v>182</v>
      </c>
      <c r="KB6" s="149">
        <f ca="1">OFFSET($D$52, 0, (COLUMN()-4)/4)</f>
        <v>40.58131425584768</v>
      </c>
      <c r="KC6" s="63"/>
    </row>
    <row r="7" spans="1:289" s="44" customFormat="1" x14ac:dyDescent="0.25">
      <c r="B7" s="35"/>
      <c r="C7" s="37"/>
    </row>
    <row r="8" spans="1:289" x14ac:dyDescent="0.25">
      <c r="C8" s="1" t="s">
        <v>204</v>
      </c>
      <c r="D8" s="19">
        <f ca="1">SUM(D$4)</f>
        <v>29661.515308848117</v>
      </c>
      <c r="E8" s="63"/>
      <c r="F8" s="63"/>
      <c r="G8" s="1" t="s">
        <v>204</v>
      </c>
      <c r="H8" s="19">
        <f ca="1">SUM(H$4)</f>
        <v>31296.373205280797</v>
      </c>
      <c r="I8" s="63"/>
      <c r="J8" s="63"/>
      <c r="K8" s="1" t="s">
        <v>204</v>
      </c>
      <c r="L8" s="19">
        <f ca="1">SUM(L$4)</f>
        <v>30043.168841450435</v>
      </c>
      <c r="M8" s="63"/>
      <c r="N8" s="63"/>
      <c r="O8" s="1" t="s">
        <v>204</v>
      </c>
      <c r="P8" s="19">
        <f t="shared" ref="P8" ca="1" si="207">SUM(P$4)</f>
        <v>32802.401200054592</v>
      </c>
      <c r="Q8" s="63"/>
      <c r="R8" s="63"/>
      <c r="S8" s="1" t="s">
        <v>204</v>
      </c>
      <c r="T8" s="19">
        <f t="shared" ref="T8" ca="1" si="208">SUM(T$4)</f>
        <v>37032.099137150733</v>
      </c>
      <c r="U8" s="63"/>
      <c r="V8" s="63"/>
      <c r="W8" s="1" t="s">
        <v>204</v>
      </c>
      <c r="X8" s="19">
        <f t="shared" ref="X8" ca="1" si="209">SUM(X$4)</f>
        <v>33254.991604012183</v>
      </c>
      <c r="Y8" s="63"/>
      <c r="Z8" s="63"/>
      <c r="AA8" s="1" t="s">
        <v>204</v>
      </c>
      <c r="AB8" s="19">
        <f t="shared" ref="AB8" ca="1" si="210">SUM(AB$4)</f>
        <v>36566.2428918281</v>
      </c>
      <c r="AC8" s="63"/>
      <c r="AD8" s="63"/>
      <c r="AE8" s="1" t="s">
        <v>204</v>
      </c>
      <c r="AF8" s="19">
        <f t="shared" ref="AF8" ca="1" si="211">SUM(AF$4)</f>
        <v>40073.895612439206</v>
      </c>
      <c r="AG8" s="63"/>
      <c r="AH8" s="63"/>
      <c r="AI8" s="1" t="s">
        <v>204</v>
      </c>
      <c r="AJ8" s="19">
        <f t="shared" ref="AJ8" ca="1" si="212">SUM(AJ$4)</f>
        <v>36474.93794337556</v>
      </c>
      <c r="AK8" s="63"/>
      <c r="AL8" s="63"/>
      <c r="AM8" s="1" t="s">
        <v>204</v>
      </c>
      <c r="AN8" s="19">
        <f t="shared" ref="AN8" ca="1" si="213">SUM(AN$4)</f>
        <v>38122.205205417798</v>
      </c>
      <c r="AO8" s="63"/>
      <c r="AP8" s="63"/>
      <c r="AQ8" s="1" t="s">
        <v>204</v>
      </c>
      <c r="AR8" s="19">
        <f t="shared" ref="AR8" ca="1" si="214">SUM(AR$4)</f>
        <v>48380.711569957733</v>
      </c>
      <c r="AS8" s="63"/>
      <c r="AT8" s="63"/>
      <c r="AU8" s="1" t="s">
        <v>204</v>
      </c>
      <c r="AV8" s="19">
        <f t="shared" ref="AV8" ca="1" si="215">SUM(AV$4)</f>
        <v>49916.109510811322</v>
      </c>
      <c r="AW8" s="63"/>
      <c r="AX8" s="63"/>
      <c r="AY8" s="1" t="s">
        <v>204</v>
      </c>
      <c r="AZ8" s="19">
        <f t="shared" ref="AZ8" ca="1" si="216">SUM(AZ$4)</f>
        <v>49433.992755757332</v>
      </c>
      <c r="BA8" s="63"/>
      <c r="BB8" s="63"/>
      <c r="BC8" s="1" t="s">
        <v>204</v>
      </c>
      <c r="BD8" s="19">
        <f t="shared" ref="BD8" ca="1" si="217">SUM(BD$4)</f>
        <v>42020.637960023421</v>
      </c>
      <c r="BE8" s="63"/>
      <c r="BF8" s="63"/>
      <c r="BG8" s="1" t="s">
        <v>204</v>
      </c>
      <c r="BH8" s="19">
        <f t="shared" ref="BH8" ca="1" si="218">SUM(BH$4)</f>
        <v>43598.812851073526</v>
      </c>
      <c r="BI8" s="63"/>
      <c r="BJ8" s="63"/>
      <c r="BK8" s="1" t="s">
        <v>204</v>
      </c>
      <c r="BL8" s="19">
        <f t="shared" ref="BL8" ca="1" si="219">SUM(BL$4)</f>
        <v>43913.662514648662</v>
      </c>
      <c r="BM8" s="63"/>
      <c r="BN8" s="63"/>
      <c r="BO8" s="1" t="s">
        <v>204</v>
      </c>
      <c r="BP8" s="19">
        <f t="shared" ref="BP8" ca="1" si="220">SUM(BP$4)</f>
        <v>49432.18019556225</v>
      </c>
      <c r="BQ8" s="63"/>
      <c r="BR8" s="63"/>
      <c r="BS8" s="1" t="s">
        <v>204</v>
      </c>
      <c r="BT8" s="19">
        <f t="shared" ref="BT8" ca="1" si="221">SUM(BT$4)</f>
        <v>44015.830692110867</v>
      </c>
      <c r="BU8" s="63"/>
      <c r="BV8" s="63"/>
      <c r="BW8" s="1" t="s">
        <v>204</v>
      </c>
      <c r="BX8" s="19">
        <f t="shared" ref="BX8" ca="1" si="222">SUM(BX$4)</f>
        <v>53020.16663378504</v>
      </c>
      <c r="BY8" s="63"/>
      <c r="BZ8" s="63"/>
      <c r="CA8" s="1" t="s">
        <v>204</v>
      </c>
      <c r="CB8" s="19">
        <f t="shared" ref="CB8" ca="1" si="223">SUM(CB$4)</f>
        <v>56382.160283466095</v>
      </c>
      <c r="CC8" s="63"/>
      <c r="CD8" s="63"/>
      <c r="CE8" s="1" t="s">
        <v>204</v>
      </c>
      <c r="CF8" s="19">
        <f t="shared" ref="CF8" ca="1" si="224">SUM(CF$4)</f>
        <v>64357.703743807215</v>
      </c>
      <c r="CG8" s="63"/>
      <c r="CH8" s="63"/>
      <c r="CI8" s="1" t="s">
        <v>204</v>
      </c>
      <c r="CJ8" s="19">
        <f t="shared" ref="CJ8" ca="1" si="225">SUM(CJ$4)</f>
        <v>50982.114323742331</v>
      </c>
      <c r="CK8" s="63"/>
      <c r="CL8" s="63"/>
      <c r="CM8" s="1" t="s">
        <v>204</v>
      </c>
      <c r="CN8" s="19">
        <f t="shared" ref="CN8" ca="1" si="226">SUM(CN$4)</f>
        <v>52590.279323960152</v>
      </c>
      <c r="CO8" s="63"/>
      <c r="CP8" s="63"/>
      <c r="CQ8" s="1" t="s">
        <v>204</v>
      </c>
      <c r="CR8" s="19">
        <f t="shared" ref="CR8" ca="1" si="227">SUM(CR$4)</f>
        <v>63151.192383034257</v>
      </c>
      <c r="CS8" s="63"/>
      <c r="CT8" s="63"/>
      <c r="CU8" s="1" t="s">
        <v>204</v>
      </c>
      <c r="CV8" s="19">
        <f t="shared" ref="CV8" ca="1" si="228">SUM(CV$4)</f>
        <v>58531.790286575379</v>
      </c>
      <c r="CW8" s="63"/>
      <c r="CX8" s="63"/>
      <c r="CY8" s="1" t="s">
        <v>204</v>
      </c>
      <c r="CZ8" s="19">
        <f t="shared" ref="CZ8" ca="1" si="229">SUM(CZ$4)</f>
        <v>53190.028411949243</v>
      </c>
      <c r="DA8" s="63"/>
      <c r="DB8" s="63"/>
      <c r="DC8" s="1" t="s">
        <v>204</v>
      </c>
      <c r="DD8" s="19">
        <f t="shared" ref="DD8" ca="1" si="230">SUM(DD$4)</f>
        <v>62409.733319575527</v>
      </c>
      <c r="DE8" s="63"/>
      <c r="DF8" s="63"/>
      <c r="DG8" s="1" t="s">
        <v>204</v>
      </c>
      <c r="DH8" s="19">
        <f t="shared" ref="DH8" ca="1" si="231">SUM(DH$4)</f>
        <v>60915.942917398039</v>
      </c>
      <c r="DI8" s="63"/>
      <c r="DJ8" s="63"/>
      <c r="DK8" s="1" t="s">
        <v>204</v>
      </c>
      <c r="DL8" s="19">
        <f t="shared" ref="DL8" ca="1" si="232">SUM(DL$4)</f>
        <v>66000.732925684395</v>
      </c>
      <c r="DM8" s="63"/>
      <c r="DN8" s="63"/>
      <c r="DO8" s="1" t="s">
        <v>204</v>
      </c>
      <c r="DP8" s="19">
        <f t="shared" ref="DP8" ca="1" si="233">SUM(DP$4)</f>
        <v>66452.203385681307</v>
      </c>
      <c r="DQ8" s="63"/>
      <c r="DR8" s="63"/>
      <c r="DS8" s="1" t="s">
        <v>204</v>
      </c>
      <c r="DT8" s="19">
        <f t="shared" ref="DT8" ca="1" si="234">SUM(DT$4)</f>
        <v>70221.546557904687</v>
      </c>
      <c r="DU8" s="63"/>
      <c r="DV8" s="63"/>
      <c r="DW8" s="1" t="s">
        <v>204</v>
      </c>
      <c r="DX8" s="19">
        <f t="shared" ref="DX8" ca="1" si="235">SUM(DX$4)</f>
        <v>68023.912058479851</v>
      </c>
      <c r="DY8" s="63"/>
      <c r="DZ8" s="63"/>
      <c r="EA8" s="1" t="s">
        <v>204</v>
      </c>
      <c r="EB8" s="19">
        <f t="shared" ref="EB8" ca="1" si="236">SUM(EB$4)</f>
        <v>71176.226369209297</v>
      </c>
      <c r="EC8" s="63"/>
      <c r="ED8" s="63"/>
      <c r="EE8" s="1" t="s">
        <v>204</v>
      </c>
      <c r="EF8" s="19">
        <f t="shared" ref="EF8" ca="1" si="237">SUM(EF$4)</f>
        <v>72515.529496982504</v>
      </c>
      <c r="EG8" s="63"/>
      <c r="EH8" s="63"/>
      <c r="EI8" s="1" t="s">
        <v>204</v>
      </c>
      <c r="EJ8" s="19">
        <f t="shared" ref="EJ8" ca="1" si="238">SUM(EJ$4)</f>
        <v>83085.462427042832</v>
      </c>
      <c r="EK8" s="63"/>
      <c r="EL8" s="63"/>
      <c r="EM8" s="1" t="s">
        <v>204</v>
      </c>
      <c r="EN8" s="19">
        <f t="shared" ref="EN8" ca="1" si="239">SUM(EN$4)</f>
        <v>84779.315762191734</v>
      </c>
      <c r="EO8" s="63"/>
      <c r="EP8" s="63"/>
      <c r="EQ8" s="1" t="s">
        <v>204</v>
      </c>
      <c r="ER8" s="19">
        <f t="shared" ref="ER8" ca="1" si="240">SUM(ER$4)</f>
        <v>69834.483613969976</v>
      </c>
      <c r="ES8" s="63"/>
      <c r="ET8" s="63"/>
      <c r="EU8" s="1" t="s">
        <v>204</v>
      </c>
      <c r="EV8" s="19">
        <f t="shared" ref="EV8" ca="1" si="241">SUM(EV$4)</f>
        <v>87311.336289607076</v>
      </c>
      <c r="EW8" s="63"/>
      <c r="EX8" s="63"/>
      <c r="EY8" s="1" t="s">
        <v>204</v>
      </c>
      <c r="EZ8" s="19">
        <f t="shared" ref="EZ8" ca="1" si="242">SUM(EZ$4)</f>
        <v>76325.537803876068</v>
      </c>
      <c r="FA8" s="63"/>
      <c r="FB8" s="63"/>
      <c r="FC8" s="1" t="s">
        <v>204</v>
      </c>
      <c r="FD8" s="19">
        <f t="shared" ref="FD8" ca="1" si="243">SUM(FD$4)</f>
        <v>87632.582882909381</v>
      </c>
      <c r="FE8" s="63"/>
      <c r="FF8" s="63"/>
      <c r="FG8" s="1" t="s">
        <v>204</v>
      </c>
      <c r="FH8" s="19">
        <f t="shared" ref="FH8" ca="1" si="244">SUM(FH$4)</f>
        <v>85443.375499904098</v>
      </c>
      <c r="FI8" s="63"/>
      <c r="FJ8" s="63"/>
      <c r="FK8" s="1" t="s">
        <v>204</v>
      </c>
      <c r="FL8" s="19">
        <f t="shared" ref="FL8" ca="1" si="245">SUM(FL$4)</f>
        <v>85912.485352645846</v>
      </c>
      <c r="FM8" s="63"/>
      <c r="FN8" s="63"/>
      <c r="FO8" s="1" t="s">
        <v>204</v>
      </c>
      <c r="FP8" s="19">
        <f t="shared" ref="FP8" ca="1" si="246">SUM(FP$4)</f>
        <v>76264.936937815728</v>
      </c>
      <c r="FQ8" s="63"/>
      <c r="FR8" s="63"/>
      <c r="FS8" s="1" t="s">
        <v>204</v>
      </c>
      <c r="FT8" s="19">
        <f t="shared" ref="FT8" ca="1" si="247">SUM(FT$4)</f>
        <v>77997.779608570985</v>
      </c>
      <c r="FU8" s="63"/>
      <c r="FV8" s="63"/>
      <c r="FW8" s="1" t="s">
        <v>204</v>
      </c>
      <c r="FX8" s="19">
        <f t="shared" ref="FX8" ca="1" si="248">SUM(FX$4)</f>
        <v>94571.342077591631</v>
      </c>
      <c r="FY8" s="63"/>
      <c r="FZ8" s="63"/>
      <c r="GA8" s="1" t="s">
        <v>204</v>
      </c>
      <c r="GB8" s="19">
        <f t="shared" ref="GB8" ca="1" si="249">SUM(GB$4)</f>
        <v>79531.433351845335</v>
      </c>
      <c r="GC8" s="63"/>
      <c r="GD8" s="63"/>
      <c r="GE8" s="1" t="s">
        <v>204</v>
      </c>
      <c r="GF8" s="19">
        <f t="shared" ref="GF8" ca="1" si="250">SUM(GF$4)</f>
        <v>100760.29196992905</v>
      </c>
      <c r="GG8" s="63"/>
      <c r="GH8" s="63"/>
      <c r="GI8" s="1" t="s">
        <v>204</v>
      </c>
      <c r="GJ8" s="19">
        <f t="shared" ref="GJ8" ca="1" si="251">SUM(GJ$4)</f>
        <v>99221.444632794664</v>
      </c>
      <c r="GK8" s="63"/>
      <c r="GL8" s="63"/>
      <c r="GM8" s="1" t="s">
        <v>204</v>
      </c>
      <c r="GN8" s="19">
        <f t="shared" ref="GN8" ca="1" si="252">SUM(GN$4)</f>
        <v>81740.568167647536</v>
      </c>
      <c r="GO8" s="63"/>
      <c r="GP8" s="63"/>
      <c r="GQ8" s="1" t="s">
        <v>204</v>
      </c>
      <c r="GR8" s="19">
        <f t="shared" ref="GR8" ca="1" si="253">SUM(GR$4)</f>
        <v>102213.65314109532</v>
      </c>
      <c r="GS8" s="63"/>
      <c r="GT8" s="63"/>
      <c r="GU8" s="1" t="s">
        <v>204</v>
      </c>
      <c r="GV8" s="19">
        <f t="shared" ref="GV8" ca="1" si="254">SUM(GV$4)</f>
        <v>106031.52089210138</v>
      </c>
      <c r="GW8" s="63"/>
      <c r="GX8" s="63"/>
      <c r="GY8" s="1" t="s">
        <v>204</v>
      </c>
      <c r="GZ8" s="19">
        <f t="shared" ref="GZ8" ca="1" si="255">SUM(GZ$4)</f>
        <v>86352.369507080308</v>
      </c>
      <c r="HA8" s="63"/>
      <c r="HB8" s="63"/>
      <c r="HC8" s="1" t="s">
        <v>204</v>
      </c>
      <c r="HD8" s="19">
        <f t="shared" ref="HD8" ca="1" si="256">SUM(HD$4)</f>
        <v>95308.379066960159</v>
      </c>
      <c r="HE8" s="63"/>
      <c r="HF8" s="63"/>
      <c r="HG8" s="1" t="s">
        <v>204</v>
      </c>
      <c r="HH8" s="19">
        <f t="shared" ref="HH8" ca="1" si="257">SUM(HH$4)</f>
        <v>109306.35341264593</v>
      </c>
      <c r="HI8" s="63"/>
      <c r="HJ8" s="63"/>
      <c r="HK8" s="1" t="s">
        <v>204</v>
      </c>
      <c r="HL8" s="19">
        <f t="shared" ref="HL8" ca="1" si="258">SUM(HL$4)</f>
        <v>99947.323814059622</v>
      </c>
      <c r="HM8" s="63"/>
      <c r="HN8" s="63"/>
      <c r="HO8" s="1" t="s">
        <v>204</v>
      </c>
      <c r="HP8" s="19">
        <f t="shared" ref="HP8" ca="1" si="259">SUM(HP$4)</f>
        <v>117268.66658942921</v>
      </c>
      <c r="HQ8" s="63"/>
      <c r="HR8" s="63"/>
      <c r="HS8" s="1" t="s">
        <v>204</v>
      </c>
      <c r="HT8" s="19">
        <f t="shared" ref="HT8" ca="1" si="260">SUM(HT$4)</f>
        <v>95758.078590937919</v>
      </c>
      <c r="HU8" s="63"/>
      <c r="HV8" s="63"/>
      <c r="HW8" s="1" t="s">
        <v>204</v>
      </c>
      <c r="HX8" s="19">
        <f t="shared" ref="HX8" ca="1" si="261">SUM(HX$4)</f>
        <v>119087.1316672823</v>
      </c>
      <c r="HY8" s="63"/>
      <c r="HZ8" s="63"/>
      <c r="IA8" s="1" t="s">
        <v>204</v>
      </c>
      <c r="IB8" s="19">
        <f t="shared" ref="IB8" ca="1" si="262">SUM(IB$4)</f>
        <v>96990.945319349281</v>
      </c>
      <c r="IC8" s="63"/>
      <c r="ID8" s="63"/>
      <c r="IE8" s="1" t="s">
        <v>204</v>
      </c>
      <c r="IF8" s="19">
        <f t="shared" ref="IF8" ca="1" si="263">SUM(IF$4)</f>
        <v>105708.50899511346</v>
      </c>
      <c r="IG8" s="63"/>
      <c r="IH8" s="63"/>
      <c r="II8" s="1" t="s">
        <v>204</v>
      </c>
      <c r="IJ8" s="19">
        <f t="shared" ref="IJ8" ca="1" si="264">SUM(IJ$4)</f>
        <v>96018.832564403157</v>
      </c>
      <c r="IK8" s="63"/>
      <c r="IL8" s="63"/>
      <c r="IM8" s="1" t="s">
        <v>204</v>
      </c>
      <c r="IN8" s="19">
        <f t="shared" ref="IN8" ca="1" si="265">SUM(IN$4)</f>
        <v>112079.75096568606</v>
      </c>
      <c r="IO8" s="63"/>
      <c r="IP8" s="63"/>
      <c r="IQ8" s="1" t="s">
        <v>204</v>
      </c>
      <c r="IR8" s="19">
        <f t="shared" ref="IR8" ca="1" si="266">SUM(IR$4)</f>
        <v>104242.45425419194</v>
      </c>
      <c r="IS8" s="63"/>
      <c r="IT8" s="63"/>
      <c r="IU8" s="1" t="s">
        <v>204</v>
      </c>
      <c r="IV8" s="19">
        <f t="shared" ref="IV8" ca="1" si="267">SUM(IV$4)</f>
        <v>125752.0495380896</v>
      </c>
      <c r="IW8" s="63"/>
      <c r="IX8" s="63"/>
      <c r="IY8" s="1" t="s">
        <v>204</v>
      </c>
      <c r="IZ8" s="19">
        <f t="shared" ref="IZ8" ca="1" si="268">SUM(IZ$4)</f>
        <v>117784.40973776406</v>
      </c>
      <c r="JA8" s="63"/>
      <c r="JB8" s="63"/>
      <c r="JC8" s="1" t="s">
        <v>204</v>
      </c>
      <c r="JD8" s="19">
        <f t="shared" ref="JD8" ca="1" si="269">SUM(JD$4)</f>
        <v>125024.83912390361</v>
      </c>
      <c r="JE8" s="63"/>
      <c r="JF8" s="63"/>
      <c r="JG8" s="1" t="s">
        <v>204</v>
      </c>
      <c r="JH8" s="19">
        <f t="shared" ref="JH8" ca="1" si="270">SUM(JH$4)</f>
        <v>130350.32025232671</v>
      </c>
      <c r="JI8" s="63"/>
      <c r="JJ8" s="63"/>
      <c r="JK8" s="1" t="s">
        <v>204</v>
      </c>
      <c r="JL8" s="19">
        <f t="shared" ref="JL8" ca="1" si="271">SUM(JL$4)</f>
        <v>112830.42231537255</v>
      </c>
      <c r="JM8" s="63"/>
      <c r="JN8" s="63"/>
      <c r="JO8" s="1" t="s">
        <v>204</v>
      </c>
      <c r="JP8" s="19">
        <f t="shared" ref="JP8" ca="1" si="272">SUM(JP$4)</f>
        <v>128765.89822306823</v>
      </c>
      <c r="JQ8" s="63"/>
      <c r="JR8" s="63"/>
      <c r="JS8" s="1" t="s">
        <v>204</v>
      </c>
      <c r="JT8" s="19">
        <f t="shared" ref="JT8" ca="1" si="273">SUM(JT$4)</f>
        <v>123173.65908816631</v>
      </c>
      <c r="JU8" s="63"/>
      <c r="JV8" s="63"/>
      <c r="JW8" s="1" t="s">
        <v>204</v>
      </c>
      <c r="JX8" s="19">
        <f t="shared" ref="JX8" ca="1" si="274">SUM(JX$4)</f>
        <v>117956.77821920659</v>
      </c>
      <c r="JY8" s="63"/>
      <c r="JZ8" s="63"/>
      <c r="KA8" s="1" t="s">
        <v>204</v>
      </c>
      <c r="KB8" s="19">
        <f t="shared" ref="KB8" ca="1" si="275">SUM(KB$4)</f>
        <v>140249.02206820957</v>
      </c>
      <c r="KC8" s="63"/>
    </row>
    <row r="9" spans="1:289" x14ac:dyDescent="0.25">
      <c r="E9" s="63"/>
      <c r="F9" s="63"/>
      <c r="H9" s="44"/>
      <c r="I9" s="63"/>
      <c r="J9" s="63"/>
      <c r="K9" s="37"/>
      <c r="L9" s="44"/>
      <c r="M9" s="63"/>
      <c r="N9" s="63"/>
      <c r="O9" s="37"/>
      <c r="P9" s="44"/>
      <c r="Q9" s="63"/>
      <c r="R9" s="63"/>
      <c r="S9" s="37"/>
      <c r="T9" s="44"/>
      <c r="U9" s="63"/>
      <c r="V9" s="63"/>
      <c r="W9" s="37"/>
      <c r="X9" s="44"/>
      <c r="Y9" s="63"/>
      <c r="Z9" s="63"/>
      <c r="AA9" s="37"/>
      <c r="AB9" s="44"/>
      <c r="AC9" s="63"/>
      <c r="AD9" s="63"/>
      <c r="AE9" s="37"/>
      <c r="AF9" s="44"/>
      <c r="AG9" s="63"/>
      <c r="AH9" s="63"/>
      <c r="AI9" s="37"/>
      <c r="AJ9" s="44"/>
      <c r="AK9" s="63"/>
      <c r="AL9" s="63"/>
      <c r="AM9" s="37"/>
      <c r="AN9" s="44"/>
      <c r="AO9" s="63"/>
      <c r="AP9" s="63"/>
      <c r="AQ9" s="37"/>
      <c r="AR9" s="44"/>
      <c r="AS9" s="63"/>
      <c r="AT9" s="63"/>
      <c r="AU9" s="37"/>
      <c r="AV9" s="44"/>
      <c r="AW9" s="63"/>
      <c r="AX9" s="63"/>
      <c r="AY9" s="37"/>
      <c r="AZ9" s="44"/>
      <c r="BA9" s="63"/>
      <c r="BB9" s="63"/>
      <c r="BC9" s="37"/>
      <c r="BD9" s="44"/>
      <c r="BE9" s="63"/>
      <c r="BF9" s="63"/>
      <c r="BG9" s="37"/>
      <c r="BH9" s="44"/>
      <c r="BI9" s="63"/>
      <c r="BJ9" s="63"/>
      <c r="BK9" s="37"/>
      <c r="BL9" s="44"/>
      <c r="BM9" s="63"/>
      <c r="BN9" s="63"/>
      <c r="BO9" s="37"/>
      <c r="BP9" s="44"/>
      <c r="BQ9" s="63"/>
      <c r="BR9" s="63"/>
      <c r="BS9" s="37"/>
      <c r="BT9" s="44"/>
      <c r="BU9" s="63"/>
      <c r="BV9" s="63"/>
      <c r="BW9" s="37"/>
      <c r="BX9" s="44"/>
      <c r="BY9" s="63"/>
      <c r="BZ9" s="63"/>
      <c r="CA9" s="37"/>
      <c r="CB9" s="44"/>
      <c r="CC9" s="63"/>
      <c r="CD9" s="63"/>
      <c r="CE9" s="37"/>
      <c r="CF9" s="44"/>
      <c r="CG9" s="63"/>
      <c r="CH9" s="63"/>
      <c r="CI9" s="37"/>
      <c r="CJ9" s="44"/>
      <c r="CK9" s="63"/>
      <c r="CL9" s="63"/>
      <c r="CM9" s="37"/>
      <c r="CN9" s="44"/>
      <c r="CO9" s="63"/>
      <c r="CP9" s="63"/>
      <c r="CQ9" s="37"/>
      <c r="CR9" s="44"/>
      <c r="CS9" s="63"/>
      <c r="CT9" s="63"/>
      <c r="CU9" s="37"/>
      <c r="CV9" s="44"/>
      <c r="CW9" s="63"/>
      <c r="CX9" s="63"/>
      <c r="CY9" s="37"/>
      <c r="CZ9" s="44"/>
      <c r="DA9" s="63"/>
      <c r="DB9" s="63"/>
      <c r="DC9" s="37"/>
      <c r="DD9" s="44"/>
      <c r="DE9" s="63"/>
      <c r="DF9" s="63"/>
      <c r="DG9" s="37"/>
      <c r="DH9" s="44"/>
      <c r="DI9" s="63"/>
      <c r="DJ9" s="63"/>
      <c r="DK9" s="37"/>
      <c r="DL9" s="44"/>
      <c r="DM9" s="63"/>
      <c r="DN9" s="63"/>
      <c r="DO9" s="37"/>
      <c r="DP9" s="44"/>
      <c r="DQ9" s="63"/>
      <c r="DR9" s="63"/>
      <c r="DS9" s="37"/>
      <c r="DT9" s="44"/>
      <c r="DU9" s="63"/>
      <c r="DV9" s="63"/>
      <c r="DW9" s="37"/>
      <c r="DX9" s="44"/>
      <c r="DY9" s="63"/>
      <c r="DZ9" s="63"/>
      <c r="EA9" s="37"/>
      <c r="EB9" s="44"/>
      <c r="EC9" s="63"/>
      <c r="ED9" s="63"/>
      <c r="EE9" s="37"/>
      <c r="EF9" s="44"/>
      <c r="EG9" s="63"/>
      <c r="EH9" s="63"/>
      <c r="EI9" s="37"/>
      <c r="EJ9" s="44"/>
      <c r="EK9" s="63"/>
      <c r="EL9" s="63"/>
      <c r="EM9" s="37"/>
      <c r="EN9" s="44"/>
      <c r="EO9" s="63"/>
      <c r="EP9" s="63"/>
      <c r="EQ9" s="37"/>
      <c r="ER9" s="44"/>
      <c r="ES9" s="63"/>
      <c r="ET9" s="63"/>
      <c r="EU9" s="37"/>
      <c r="EV9" s="44"/>
      <c r="EW9" s="63"/>
      <c r="EX9" s="63"/>
      <c r="EY9" s="37"/>
      <c r="EZ9" s="44"/>
      <c r="FA9" s="63"/>
      <c r="FB9" s="63"/>
      <c r="FC9" s="37"/>
      <c r="FD9" s="44"/>
      <c r="FE9" s="63"/>
      <c r="FF9" s="63"/>
      <c r="FG9" s="37"/>
      <c r="FH9" s="44"/>
      <c r="FI9" s="63"/>
      <c r="FJ9" s="63"/>
      <c r="FK9" s="37"/>
      <c r="FL9" s="44"/>
      <c r="FM9" s="63"/>
      <c r="FN9" s="63"/>
      <c r="FO9" s="37"/>
      <c r="FP9" s="44"/>
      <c r="FQ9" s="63"/>
      <c r="FR9" s="63"/>
      <c r="FS9" s="37"/>
      <c r="FT9" s="44"/>
      <c r="FU9" s="63"/>
      <c r="FV9" s="63"/>
      <c r="FW9" s="37"/>
      <c r="FX9" s="44"/>
      <c r="FY9" s="63"/>
      <c r="FZ9" s="63"/>
      <c r="GA9" s="37"/>
      <c r="GB9" s="44"/>
      <c r="GC9" s="63"/>
      <c r="GD9" s="63"/>
      <c r="GE9" s="37"/>
      <c r="GF9" s="44"/>
      <c r="GG9" s="63"/>
      <c r="GH9" s="63"/>
      <c r="GI9" s="37"/>
      <c r="GJ9" s="44"/>
      <c r="GK9" s="63"/>
      <c r="GL9" s="63"/>
      <c r="GM9" s="37"/>
      <c r="GN9" s="44"/>
      <c r="GO9" s="63"/>
      <c r="GP9" s="63"/>
      <c r="GQ9" s="37"/>
      <c r="GR9" s="44"/>
      <c r="GS9" s="63"/>
      <c r="GT9" s="63"/>
      <c r="GU9" s="37"/>
      <c r="GV9" s="44"/>
      <c r="GW9" s="63"/>
      <c r="GX9" s="63"/>
      <c r="GY9" s="37"/>
      <c r="GZ9" s="44"/>
      <c r="HA9" s="63"/>
      <c r="HB9" s="63"/>
      <c r="HC9" s="37"/>
      <c r="HD9" s="44"/>
      <c r="HE9" s="63"/>
      <c r="HF9" s="63"/>
      <c r="HG9" s="37"/>
      <c r="HH9" s="44"/>
      <c r="HI9" s="63"/>
      <c r="HJ9" s="63"/>
      <c r="HK9" s="37"/>
      <c r="HL9" s="44"/>
      <c r="HM9" s="63"/>
      <c r="HN9" s="63"/>
      <c r="HO9" s="37"/>
      <c r="HP9" s="44"/>
      <c r="HQ9" s="63"/>
      <c r="HR9" s="63"/>
      <c r="HS9" s="37"/>
      <c r="HT9" s="44"/>
      <c r="HU9" s="63"/>
      <c r="HV9" s="63"/>
      <c r="HW9" s="37"/>
      <c r="HX9" s="44"/>
      <c r="HY9" s="63"/>
      <c r="HZ9" s="63"/>
      <c r="IA9" s="37"/>
      <c r="IB9" s="44"/>
      <c r="IC9" s="63"/>
      <c r="ID9" s="63"/>
      <c r="IE9" s="37"/>
      <c r="IF9" s="44"/>
      <c r="IG9" s="63"/>
      <c r="IH9" s="63"/>
      <c r="II9" s="37"/>
      <c r="IJ9" s="44"/>
      <c r="IK9" s="63"/>
      <c r="IL9" s="63"/>
      <c r="IM9" s="37"/>
      <c r="IN9" s="44"/>
      <c r="IO9" s="63"/>
      <c r="IP9" s="63"/>
      <c r="IQ9" s="37"/>
      <c r="IR9" s="44"/>
      <c r="IS9" s="63"/>
      <c r="IT9" s="63"/>
      <c r="IU9" s="37"/>
      <c r="IV9" s="44"/>
      <c r="IW9" s="63"/>
      <c r="IX9" s="63"/>
      <c r="IY9" s="37"/>
      <c r="IZ9" s="44"/>
      <c r="JA9" s="63"/>
      <c r="JB9" s="63"/>
      <c r="JC9" s="37"/>
      <c r="JD9" s="44"/>
      <c r="JE9" s="63"/>
      <c r="JF9" s="63"/>
      <c r="JG9" s="37"/>
      <c r="JH9" s="44"/>
      <c r="JI9" s="63"/>
      <c r="JJ9" s="63"/>
      <c r="JK9" s="37"/>
      <c r="JL9" s="44"/>
      <c r="JM9" s="63"/>
      <c r="JN9" s="63"/>
      <c r="JO9" s="37"/>
      <c r="JP9" s="44"/>
      <c r="JQ9" s="63"/>
      <c r="JR9" s="63"/>
      <c r="JS9" s="37"/>
      <c r="JT9" s="44"/>
      <c r="JU9" s="63"/>
      <c r="JV9" s="63"/>
      <c r="JW9" s="37"/>
      <c r="JX9" s="44"/>
      <c r="JY9" s="63"/>
      <c r="JZ9" s="63"/>
      <c r="KA9" s="37"/>
      <c r="KB9" s="44"/>
      <c r="KC9" s="63"/>
    </row>
    <row r="10" spans="1:289" x14ac:dyDescent="0.25">
      <c r="C10" s="95" t="s">
        <v>202</v>
      </c>
      <c r="D10" s="88" t="s">
        <v>146</v>
      </c>
      <c r="E10" s="63"/>
      <c r="F10" s="63"/>
      <c r="G10" s="95" t="s">
        <v>202</v>
      </c>
      <c r="H10" s="88" t="s">
        <v>146</v>
      </c>
      <c r="I10" s="63"/>
      <c r="J10" s="63"/>
      <c r="K10" s="95" t="s">
        <v>202</v>
      </c>
      <c r="L10" s="88" t="s">
        <v>146</v>
      </c>
      <c r="M10" s="63"/>
      <c r="N10" s="63"/>
      <c r="O10" s="95" t="s">
        <v>202</v>
      </c>
      <c r="P10" s="88" t="s">
        <v>146</v>
      </c>
      <c r="Q10" s="63"/>
      <c r="R10" s="63"/>
      <c r="S10" s="95" t="s">
        <v>202</v>
      </c>
      <c r="T10" s="88" t="s">
        <v>146</v>
      </c>
      <c r="U10" s="63"/>
      <c r="V10" s="63"/>
      <c r="W10" s="95" t="s">
        <v>202</v>
      </c>
      <c r="X10" s="88" t="s">
        <v>146</v>
      </c>
      <c r="Y10" s="63"/>
      <c r="Z10" s="63"/>
      <c r="AA10" s="95" t="s">
        <v>202</v>
      </c>
      <c r="AB10" s="88" t="s">
        <v>146</v>
      </c>
      <c r="AC10" s="63"/>
      <c r="AD10" s="63"/>
      <c r="AE10" s="95" t="s">
        <v>202</v>
      </c>
      <c r="AF10" s="88" t="s">
        <v>146</v>
      </c>
      <c r="AG10" s="63"/>
      <c r="AH10" s="63"/>
      <c r="AI10" s="95" t="s">
        <v>202</v>
      </c>
      <c r="AJ10" s="88" t="s">
        <v>146</v>
      </c>
      <c r="AK10" s="63"/>
      <c r="AL10" s="63"/>
      <c r="AM10" s="95" t="s">
        <v>202</v>
      </c>
      <c r="AN10" s="88" t="s">
        <v>146</v>
      </c>
      <c r="AO10" s="63"/>
      <c r="AP10" s="63"/>
      <c r="AQ10" s="95" t="s">
        <v>202</v>
      </c>
      <c r="AR10" s="88" t="s">
        <v>146</v>
      </c>
      <c r="AS10" s="63"/>
      <c r="AT10" s="63"/>
      <c r="AU10" s="95" t="s">
        <v>202</v>
      </c>
      <c r="AV10" s="88" t="s">
        <v>146</v>
      </c>
      <c r="AW10" s="63"/>
      <c r="AX10" s="63"/>
      <c r="AY10" s="95" t="s">
        <v>202</v>
      </c>
      <c r="AZ10" s="88" t="s">
        <v>146</v>
      </c>
      <c r="BA10" s="63"/>
      <c r="BB10" s="63"/>
      <c r="BC10" s="95" t="s">
        <v>202</v>
      </c>
      <c r="BD10" s="88" t="s">
        <v>146</v>
      </c>
      <c r="BE10" s="63"/>
      <c r="BF10" s="63"/>
      <c r="BG10" s="95" t="s">
        <v>202</v>
      </c>
      <c r="BH10" s="88" t="s">
        <v>146</v>
      </c>
      <c r="BI10" s="63"/>
      <c r="BJ10" s="63"/>
      <c r="BK10" s="95" t="s">
        <v>202</v>
      </c>
      <c r="BL10" s="88" t="s">
        <v>146</v>
      </c>
      <c r="BM10" s="63"/>
      <c r="BN10" s="63"/>
      <c r="BO10" s="95" t="s">
        <v>202</v>
      </c>
      <c r="BP10" s="88" t="s">
        <v>146</v>
      </c>
      <c r="BQ10" s="63"/>
      <c r="BR10" s="63"/>
      <c r="BS10" s="95" t="s">
        <v>202</v>
      </c>
      <c r="BT10" s="88" t="s">
        <v>146</v>
      </c>
      <c r="BU10" s="63"/>
      <c r="BV10" s="63"/>
      <c r="BW10" s="95" t="s">
        <v>202</v>
      </c>
      <c r="BX10" s="88" t="s">
        <v>146</v>
      </c>
      <c r="BY10" s="63"/>
      <c r="BZ10" s="63"/>
      <c r="CA10" s="95" t="s">
        <v>202</v>
      </c>
      <c r="CB10" s="88" t="s">
        <v>146</v>
      </c>
      <c r="CC10" s="63"/>
      <c r="CD10" s="63"/>
      <c r="CE10" s="95" t="s">
        <v>202</v>
      </c>
      <c r="CF10" s="88" t="s">
        <v>146</v>
      </c>
      <c r="CG10" s="63"/>
      <c r="CH10" s="63"/>
      <c r="CI10" s="95" t="s">
        <v>202</v>
      </c>
      <c r="CJ10" s="88" t="s">
        <v>146</v>
      </c>
      <c r="CK10" s="63"/>
      <c r="CL10" s="63"/>
      <c r="CM10" s="95" t="s">
        <v>202</v>
      </c>
      <c r="CN10" s="88" t="s">
        <v>146</v>
      </c>
      <c r="CO10" s="63"/>
      <c r="CP10" s="63"/>
      <c r="CQ10" s="95" t="s">
        <v>202</v>
      </c>
      <c r="CR10" s="88" t="s">
        <v>146</v>
      </c>
      <c r="CS10" s="63"/>
      <c r="CT10" s="63"/>
      <c r="CU10" s="95" t="s">
        <v>202</v>
      </c>
      <c r="CV10" s="88" t="s">
        <v>146</v>
      </c>
      <c r="CW10" s="63"/>
      <c r="CX10" s="63"/>
      <c r="CY10" s="95" t="s">
        <v>202</v>
      </c>
      <c r="CZ10" s="88" t="s">
        <v>146</v>
      </c>
      <c r="DA10" s="63"/>
      <c r="DB10" s="63"/>
      <c r="DC10" s="95" t="s">
        <v>202</v>
      </c>
      <c r="DD10" s="88" t="s">
        <v>146</v>
      </c>
      <c r="DE10" s="63"/>
      <c r="DF10" s="63"/>
      <c r="DG10" s="95" t="s">
        <v>202</v>
      </c>
      <c r="DH10" s="88" t="s">
        <v>146</v>
      </c>
      <c r="DI10" s="63"/>
      <c r="DJ10" s="63"/>
      <c r="DK10" s="95" t="s">
        <v>202</v>
      </c>
      <c r="DL10" s="88" t="s">
        <v>146</v>
      </c>
      <c r="DM10" s="63"/>
      <c r="DN10" s="63"/>
      <c r="DO10" s="95" t="s">
        <v>202</v>
      </c>
      <c r="DP10" s="88" t="s">
        <v>146</v>
      </c>
      <c r="DQ10" s="63"/>
      <c r="DR10" s="63"/>
      <c r="DS10" s="95" t="s">
        <v>202</v>
      </c>
      <c r="DT10" s="88" t="s">
        <v>146</v>
      </c>
      <c r="DU10" s="63"/>
      <c r="DV10" s="63"/>
      <c r="DW10" s="95" t="s">
        <v>202</v>
      </c>
      <c r="DX10" s="88" t="s">
        <v>146</v>
      </c>
      <c r="DY10" s="63"/>
      <c r="DZ10" s="63"/>
      <c r="EA10" s="95" t="s">
        <v>202</v>
      </c>
      <c r="EB10" s="88" t="s">
        <v>146</v>
      </c>
      <c r="EC10" s="63"/>
      <c r="ED10" s="63"/>
      <c r="EE10" s="95" t="s">
        <v>202</v>
      </c>
      <c r="EF10" s="88" t="s">
        <v>146</v>
      </c>
      <c r="EG10" s="63"/>
      <c r="EH10" s="63"/>
      <c r="EI10" s="95" t="s">
        <v>202</v>
      </c>
      <c r="EJ10" s="88" t="s">
        <v>146</v>
      </c>
      <c r="EK10" s="63"/>
      <c r="EL10" s="63"/>
      <c r="EM10" s="95" t="s">
        <v>202</v>
      </c>
      <c r="EN10" s="88" t="s">
        <v>146</v>
      </c>
      <c r="EO10" s="63"/>
      <c r="EP10" s="63"/>
      <c r="EQ10" s="95" t="s">
        <v>202</v>
      </c>
      <c r="ER10" s="88" t="s">
        <v>146</v>
      </c>
      <c r="ES10" s="63"/>
      <c r="ET10" s="63"/>
      <c r="EU10" s="95" t="s">
        <v>202</v>
      </c>
      <c r="EV10" s="88" t="s">
        <v>146</v>
      </c>
      <c r="EW10" s="63"/>
      <c r="EX10" s="63"/>
      <c r="EY10" s="95" t="s">
        <v>202</v>
      </c>
      <c r="EZ10" s="88" t="s">
        <v>146</v>
      </c>
      <c r="FA10" s="63"/>
      <c r="FB10" s="63"/>
      <c r="FC10" s="95" t="s">
        <v>202</v>
      </c>
      <c r="FD10" s="88" t="s">
        <v>146</v>
      </c>
      <c r="FE10" s="63"/>
      <c r="FF10" s="63"/>
      <c r="FG10" s="95" t="s">
        <v>202</v>
      </c>
      <c r="FH10" s="88" t="s">
        <v>146</v>
      </c>
      <c r="FI10" s="63"/>
      <c r="FJ10" s="63"/>
      <c r="FK10" s="95" t="s">
        <v>202</v>
      </c>
      <c r="FL10" s="88" t="s">
        <v>146</v>
      </c>
      <c r="FM10" s="63"/>
      <c r="FN10" s="63"/>
      <c r="FO10" s="95" t="s">
        <v>202</v>
      </c>
      <c r="FP10" s="88" t="s">
        <v>146</v>
      </c>
      <c r="FQ10" s="63"/>
      <c r="FR10" s="63"/>
      <c r="FS10" s="95" t="s">
        <v>202</v>
      </c>
      <c r="FT10" s="88" t="s">
        <v>146</v>
      </c>
      <c r="FU10" s="63"/>
      <c r="FV10" s="63"/>
      <c r="FW10" s="95" t="s">
        <v>202</v>
      </c>
      <c r="FX10" s="88" t="s">
        <v>146</v>
      </c>
      <c r="FY10" s="63"/>
      <c r="FZ10" s="63"/>
      <c r="GA10" s="95" t="s">
        <v>202</v>
      </c>
      <c r="GB10" s="88" t="s">
        <v>146</v>
      </c>
      <c r="GC10" s="63"/>
      <c r="GD10" s="63"/>
      <c r="GE10" s="95" t="s">
        <v>202</v>
      </c>
      <c r="GF10" s="88" t="s">
        <v>146</v>
      </c>
      <c r="GG10" s="63"/>
      <c r="GH10" s="63"/>
      <c r="GI10" s="95" t="s">
        <v>202</v>
      </c>
      <c r="GJ10" s="88" t="s">
        <v>146</v>
      </c>
      <c r="GK10" s="63"/>
      <c r="GL10" s="63"/>
      <c r="GM10" s="95" t="s">
        <v>202</v>
      </c>
      <c r="GN10" s="88" t="s">
        <v>146</v>
      </c>
      <c r="GO10" s="63"/>
      <c r="GP10" s="63"/>
      <c r="GQ10" s="95" t="s">
        <v>202</v>
      </c>
      <c r="GR10" s="88" t="s">
        <v>146</v>
      </c>
      <c r="GS10" s="63"/>
      <c r="GT10" s="63"/>
      <c r="GU10" s="95" t="s">
        <v>202</v>
      </c>
      <c r="GV10" s="88" t="s">
        <v>146</v>
      </c>
      <c r="GW10" s="63"/>
      <c r="GX10" s="63"/>
      <c r="GY10" s="95" t="s">
        <v>202</v>
      </c>
      <c r="GZ10" s="88" t="s">
        <v>146</v>
      </c>
      <c r="HA10" s="63"/>
      <c r="HB10" s="63"/>
      <c r="HC10" s="95" t="s">
        <v>202</v>
      </c>
      <c r="HD10" s="88" t="s">
        <v>146</v>
      </c>
      <c r="HE10" s="63"/>
      <c r="HF10" s="63"/>
      <c r="HG10" s="95" t="s">
        <v>202</v>
      </c>
      <c r="HH10" s="88" t="s">
        <v>146</v>
      </c>
      <c r="HI10" s="63"/>
      <c r="HJ10" s="63"/>
      <c r="HK10" s="95" t="s">
        <v>202</v>
      </c>
      <c r="HL10" s="88" t="s">
        <v>146</v>
      </c>
      <c r="HM10" s="63"/>
      <c r="HN10" s="63"/>
      <c r="HO10" s="95" t="s">
        <v>202</v>
      </c>
      <c r="HP10" s="88" t="s">
        <v>146</v>
      </c>
      <c r="HQ10" s="63"/>
      <c r="HR10" s="63"/>
      <c r="HS10" s="95" t="s">
        <v>202</v>
      </c>
      <c r="HT10" s="88" t="s">
        <v>146</v>
      </c>
      <c r="HU10" s="63"/>
      <c r="HV10" s="63"/>
      <c r="HW10" s="95" t="s">
        <v>202</v>
      </c>
      <c r="HX10" s="88" t="s">
        <v>146</v>
      </c>
      <c r="HY10" s="63"/>
      <c r="HZ10" s="63"/>
      <c r="IA10" s="95" t="s">
        <v>202</v>
      </c>
      <c r="IB10" s="88" t="s">
        <v>146</v>
      </c>
      <c r="IC10" s="63"/>
      <c r="ID10" s="63"/>
      <c r="IE10" s="95" t="s">
        <v>202</v>
      </c>
      <c r="IF10" s="88" t="s">
        <v>146</v>
      </c>
      <c r="IG10" s="63"/>
      <c r="IH10" s="63"/>
      <c r="II10" s="95" t="s">
        <v>202</v>
      </c>
      <c r="IJ10" s="88" t="s">
        <v>146</v>
      </c>
      <c r="IK10" s="63"/>
      <c r="IL10" s="63"/>
      <c r="IM10" s="95" t="s">
        <v>202</v>
      </c>
      <c r="IN10" s="88" t="s">
        <v>146</v>
      </c>
      <c r="IO10" s="63"/>
      <c r="IP10" s="63"/>
      <c r="IQ10" s="95" t="s">
        <v>202</v>
      </c>
      <c r="IR10" s="88" t="s">
        <v>146</v>
      </c>
      <c r="IS10" s="63"/>
      <c r="IT10" s="63"/>
      <c r="IU10" s="95" t="s">
        <v>202</v>
      </c>
      <c r="IV10" s="88" t="s">
        <v>146</v>
      </c>
      <c r="IW10" s="63"/>
      <c r="IX10" s="63"/>
      <c r="IY10" s="95" t="s">
        <v>202</v>
      </c>
      <c r="IZ10" s="88" t="s">
        <v>146</v>
      </c>
      <c r="JA10" s="63"/>
      <c r="JB10" s="63"/>
      <c r="JC10" s="95" t="s">
        <v>202</v>
      </c>
      <c r="JD10" s="88" t="s">
        <v>146</v>
      </c>
      <c r="JE10" s="63"/>
      <c r="JF10" s="63"/>
      <c r="JG10" s="95" t="s">
        <v>202</v>
      </c>
      <c r="JH10" s="88" t="s">
        <v>146</v>
      </c>
      <c r="JI10" s="63"/>
      <c r="JJ10" s="63"/>
      <c r="JK10" s="95" t="s">
        <v>202</v>
      </c>
      <c r="JL10" s="88" t="s">
        <v>146</v>
      </c>
      <c r="JM10" s="63"/>
      <c r="JN10" s="63"/>
      <c r="JO10" s="95" t="s">
        <v>202</v>
      </c>
      <c r="JP10" s="88" t="s">
        <v>146</v>
      </c>
      <c r="JQ10" s="63"/>
      <c r="JR10" s="63"/>
      <c r="JS10" s="95" t="s">
        <v>202</v>
      </c>
      <c r="JT10" s="88" t="s">
        <v>146</v>
      </c>
      <c r="JU10" s="63"/>
      <c r="JV10" s="63"/>
      <c r="JW10" s="95" t="s">
        <v>202</v>
      </c>
      <c r="JX10" s="88" t="s">
        <v>146</v>
      </c>
      <c r="JY10" s="63"/>
      <c r="JZ10" s="63"/>
      <c r="KA10" s="95" t="s">
        <v>202</v>
      </c>
      <c r="KB10" s="88" t="s">
        <v>146</v>
      </c>
      <c r="KC10" s="63"/>
    </row>
    <row r="11" spans="1:289" outlineLevel="1" x14ac:dyDescent="0.25">
      <c r="A11" s="99" t="s">
        <v>313</v>
      </c>
      <c r="C11" s="100" t="s">
        <v>303</v>
      </c>
      <c r="D11" s="101">
        <v>-146000</v>
      </c>
      <c r="E11" s="63"/>
      <c r="F11" s="63"/>
      <c r="G11" s="100"/>
      <c r="H11" s="101"/>
      <c r="I11" s="63"/>
      <c r="J11" s="63"/>
      <c r="K11" s="100"/>
      <c r="L11" s="101"/>
      <c r="M11" s="63"/>
      <c r="N11" s="63"/>
      <c r="O11" s="100"/>
      <c r="P11" s="101"/>
      <c r="Q11" s="63"/>
      <c r="R11" s="63"/>
      <c r="S11" s="100"/>
      <c r="T11" s="101"/>
      <c r="U11" s="63"/>
      <c r="V11" s="63"/>
      <c r="W11" s="100"/>
      <c r="X11" s="101"/>
      <c r="Y11" s="63"/>
      <c r="Z11" s="63"/>
      <c r="AA11" s="100"/>
      <c r="AB11" s="101"/>
      <c r="AC11" s="63"/>
      <c r="AD11" s="63"/>
      <c r="AE11" s="100"/>
      <c r="AF11" s="101"/>
      <c r="AG11" s="63"/>
      <c r="AH11" s="63"/>
      <c r="AI11" s="100"/>
      <c r="AJ11" s="101"/>
      <c r="AK11" s="63"/>
      <c r="AL11" s="63"/>
      <c r="AM11" s="100"/>
      <c r="AN11" s="101"/>
      <c r="AO11" s="63"/>
      <c r="AP11" s="63"/>
      <c r="AQ11" s="100"/>
      <c r="AR11" s="101"/>
      <c r="AS11" s="63"/>
      <c r="AT11" s="63"/>
      <c r="AU11" s="100"/>
      <c r="AV11" s="101"/>
      <c r="AW11" s="63"/>
      <c r="AX11" s="63"/>
      <c r="AY11" s="100"/>
      <c r="AZ11" s="101"/>
      <c r="BA11" s="63"/>
      <c r="BB11" s="63"/>
      <c r="BC11" s="100"/>
      <c r="BD11" s="101"/>
      <c r="BE11" s="63"/>
      <c r="BF11" s="63"/>
      <c r="BG11" s="100"/>
      <c r="BH11" s="101"/>
      <c r="BI11" s="63"/>
      <c r="BJ11" s="63"/>
      <c r="BK11" s="100"/>
      <c r="BL11" s="101"/>
      <c r="BM11" s="63"/>
      <c r="BN11" s="63"/>
      <c r="BO11" s="100"/>
      <c r="BP11" s="101"/>
      <c r="BQ11" s="63"/>
      <c r="BR11" s="63"/>
      <c r="BS11" s="100"/>
      <c r="BT11" s="101"/>
      <c r="BU11" s="63"/>
      <c r="BV11" s="63"/>
      <c r="BW11" s="100"/>
      <c r="BX11" s="101"/>
      <c r="BY11" s="63"/>
      <c r="BZ11" s="63"/>
      <c r="CA11" s="100"/>
      <c r="CB11" s="101"/>
      <c r="CC11" s="63"/>
      <c r="CD11" s="63"/>
      <c r="CE11" s="100"/>
      <c r="CF11" s="101"/>
      <c r="CG11" s="63"/>
      <c r="CH11" s="63"/>
      <c r="CI11" s="100"/>
      <c r="CJ11" s="101"/>
      <c r="CK11" s="63"/>
      <c r="CL11" s="63"/>
      <c r="CM11" s="100"/>
      <c r="CN11" s="101"/>
      <c r="CO11" s="63"/>
      <c r="CP11" s="63"/>
      <c r="CQ11" s="100"/>
      <c r="CR11" s="101"/>
      <c r="CS11" s="63"/>
      <c r="CT11" s="63"/>
      <c r="CU11" s="100"/>
      <c r="CV11" s="101"/>
      <c r="CW11" s="63"/>
      <c r="CX11" s="63"/>
      <c r="CY11" s="100"/>
      <c r="CZ11" s="101"/>
      <c r="DA11" s="63"/>
      <c r="DB11" s="63"/>
      <c r="DC11" s="100"/>
      <c r="DD11" s="101"/>
      <c r="DE11" s="63"/>
      <c r="DF11" s="63"/>
      <c r="DG11" s="100"/>
      <c r="DH11" s="101"/>
      <c r="DI11" s="63"/>
      <c r="DJ11" s="63"/>
      <c r="DK11" s="100"/>
      <c r="DL11" s="101"/>
      <c r="DM11" s="63"/>
      <c r="DN11" s="63"/>
      <c r="DO11" s="100"/>
      <c r="DP11" s="101"/>
      <c r="DQ11" s="63"/>
      <c r="DR11" s="63"/>
      <c r="DS11" s="100"/>
      <c r="DT11" s="101"/>
      <c r="DU11" s="63"/>
      <c r="DV11" s="63"/>
      <c r="DW11" s="100"/>
      <c r="DX11" s="101"/>
      <c r="DY11" s="63"/>
      <c r="DZ11" s="63"/>
      <c r="EA11" s="100"/>
      <c r="EB11" s="101"/>
      <c r="EC11" s="63"/>
      <c r="ED11" s="63"/>
      <c r="EE11" s="100"/>
      <c r="EF11" s="101"/>
      <c r="EG11" s="63"/>
      <c r="EH11" s="63"/>
      <c r="EI11" s="100"/>
      <c r="EJ11" s="101"/>
      <c r="EK11" s="63"/>
      <c r="EL11" s="63"/>
      <c r="EM11" s="100"/>
      <c r="EN11" s="101"/>
      <c r="EO11" s="63"/>
      <c r="EP11" s="63"/>
      <c r="EQ11" s="100"/>
      <c r="ER11" s="101"/>
      <c r="ES11" s="63"/>
      <c r="ET11" s="63"/>
      <c r="EU11" s="100"/>
      <c r="EV11" s="101"/>
      <c r="EW11" s="63"/>
      <c r="EX11" s="63"/>
      <c r="EY11" s="100"/>
      <c r="EZ11" s="101"/>
      <c r="FA11" s="63"/>
      <c r="FB11" s="63"/>
      <c r="FC11" s="100"/>
      <c r="FD11" s="101"/>
      <c r="FE11" s="63"/>
      <c r="FF11" s="63"/>
      <c r="FG11" s="100"/>
      <c r="FH11" s="101"/>
      <c r="FI11" s="63"/>
      <c r="FJ11" s="63"/>
      <c r="FK11" s="100"/>
      <c r="FL11" s="101"/>
      <c r="FM11" s="63"/>
      <c r="FN11" s="63"/>
      <c r="FO11" s="100"/>
      <c r="FP11" s="101"/>
      <c r="FQ11" s="63"/>
      <c r="FR11" s="63"/>
      <c r="FS11" s="100"/>
      <c r="FT11" s="101"/>
      <c r="FU11" s="63"/>
      <c r="FV11" s="63"/>
      <c r="FW11" s="100"/>
      <c r="FX11" s="101"/>
      <c r="FY11" s="63"/>
      <c r="FZ11" s="63"/>
      <c r="GA11" s="100"/>
      <c r="GB11" s="101"/>
      <c r="GC11" s="63"/>
      <c r="GD11" s="63"/>
      <c r="GE11" s="100"/>
      <c r="GF11" s="101"/>
      <c r="GG11" s="63"/>
      <c r="GH11" s="63"/>
      <c r="GI11" s="100"/>
      <c r="GJ11" s="101"/>
      <c r="GK11" s="63"/>
      <c r="GL11" s="63"/>
      <c r="GM11" s="100"/>
      <c r="GN11" s="101"/>
      <c r="GO11" s="63"/>
      <c r="GP11" s="63"/>
      <c r="GQ11" s="100"/>
      <c r="GR11" s="101"/>
      <c r="GS11" s="63"/>
      <c r="GT11" s="63"/>
      <c r="GU11" s="100"/>
      <c r="GV11" s="101"/>
      <c r="GW11" s="63"/>
      <c r="GX11" s="63"/>
      <c r="GY11" s="100"/>
      <c r="GZ11" s="101"/>
      <c r="HA11" s="63"/>
      <c r="HB11" s="63"/>
      <c r="HC11" s="100"/>
      <c r="HD11" s="101"/>
      <c r="HE11" s="63"/>
      <c r="HF11" s="63"/>
      <c r="HG11" s="100"/>
      <c r="HH11" s="101"/>
      <c r="HI11" s="63"/>
      <c r="HJ11" s="63"/>
      <c r="HK11" s="100"/>
      <c r="HL11" s="101"/>
      <c r="HM11" s="63"/>
      <c r="HN11" s="63"/>
      <c r="HO11" s="100"/>
      <c r="HP11" s="101"/>
      <c r="HQ11" s="63"/>
      <c r="HR11" s="63"/>
      <c r="HS11" s="100"/>
      <c r="HT11" s="101"/>
      <c r="HU11" s="63"/>
      <c r="HV11" s="63"/>
      <c r="HW11" s="100"/>
      <c r="HX11" s="101"/>
      <c r="HY11" s="63"/>
      <c r="HZ11" s="63"/>
      <c r="IA11" s="100"/>
      <c r="IB11" s="101"/>
      <c r="IC11" s="63"/>
      <c r="ID11" s="63"/>
      <c r="IE11" s="100"/>
      <c r="IF11" s="101"/>
      <c r="IG11" s="63"/>
      <c r="IH11" s="63"/>
      <c r="II11" s="100"/>
      <c r="IJ11" s="101"/>
      <c r="IK11" s="63"/>
      <c r="IL11" s="63"/>
      <c r="IM11" s="100"/>
      <c r="IN11" s="101"/>
      <c r="IO11" s="63"/>
      <c r="IP11" s="63"/>
      <c r="IQ11" s="100"/>
      <c r="IR11" s="101"/>
      <c r="IS11" s="63"/>
      <c r="IT11" s="63"/>
      <c r="IU11" s="100"/>
      <c r="IV11" s="101"/>
      <c r="IW11" s="63"/>
      <c r="IX11" s="63"/>
      <c r="IY11" s="100"/>
      <c r="IZ11" s="101"/>
      <c r="JA11" s="63"/>
      <c r="JB11" s="63"/>
      <c r="JC11" s="100"/>
      <c r="JD11" s="101"/>
      <c r="JE11" s="63"/>
      <c r="JF11" s="63"/>
      <c r="JG11" s="100"/>
      <c r="JH11" s="101"/>
      <c r="JI11" s="63"/>
      <c r="JJ11" s="63"/>
      <c r="JK11" s="100"/>
      <c r="JL11" s="101"/>
      <c r="JM11" s="63"/>
      <c r="JN11" s="63"/>
      <c r="JO11" s="100"/>
      <c r="JP11" s="101"/>
      <c r="JQ11" s="63"/>
      <c r="JR11" s="63"/>
      <c r="JS11" s="100"/>
      <c r="JT11" s="101"/>
      <c r="JU11" s="63"/>
      <c r="JV11" s="63"/>
      <c r="JW11" s="100"/>
      <c r="JX11" s="101"/>
      <c r="JY11" s="63"/>
      <c r="JZ11" s="63"/>
      <c r="KA11" s="100"/>
      <c r="KB11" s="101"/>
      <c r="KC11" s="63"/>
    </row>
    <row r="12" spans="1:289" outlineLevel="1" x14ac:dyDescent="0.25">
      <c r="A12" s="103" t="s">
        <v>314</v>
      </c>
      <c r="C12" s="120" t="str">
        <f ca="1">IF(D12&lt;&gt;"", $A$14&amp;" meses de café", "")</f>
        <v>3 meses de café</v>
      </c>
      <c r="D12" s="108">
        <f ca="1">IF(AND(NOT(ISBLANK(C$1)), MOD(C$1,$A$14)=0), -D$2*SUM(OFFSET(C5,0,0,1,$A$14*4)), "")</f>
        <v>-27418.769717103121</v>
      </c>
      <c r="E12" s="120" t="str">
        <f ca="1">IF(F12&lt;&gt;"", $A$14&amp;" meses de café", "")</f>
        <v/>
      </c>
      <c r="F12" s="108" t="str">
        <f ca="1">IF(AND(NOT(ISBLANK(E$1)), MOD(E$1,$A$14)=0), -$A$3*SUM(OFFSET(E5,0,0,1,$A$14*4)), "")</f>
        <v/>
      </c>
      <c r="G12" s="120" t="str">
        <f ca="1">IF(H12&lt;&gt;"", $A$14&amp;" meses de café", "")</f>
        <v/>
      </c>
      <c r="H12" s="108" t="str">
        <f ca="1">IF(AND(NOT(ISBLANK(G$1)), MOD(G$1,$A$14)=0), -H$2*SUM(OFFSET(G5,0,0,1,$A$14*4)), "")</f>
        <v/>
      </c>
      <c r="I12" s="108" t="str">
        <f ca="1">IF(AND(NOT(ISBLANK(H$2)), MOD(H$2,$A$14)=0), -I$1*SUM(OFFSET(H5,0,0,1,$A$14*4)), "")</f>
        <v/>
      </c>
      <c r="J12" s="108" t="str">
        <f ca="1">IF(AND(NOT(ISBLANK(I$1)), MOD(I$1,$A$14)=0), -J$1*SUM(OFFSET(I5,0,0,1,$A$14*4)), "")</f>
        <v/>
      </c>
      <c r="K12" s="120" t="str">
        <f ca="1">IF(L12&lt;&gt;"", $A$14&amp;" meses de café", "")</f>
        <v/>
      </c>
      <c r="L12" s="108" t="str">
        <f ca="1">IF(AND(NOT(ISBLANK(K$1)), MOD(K$1,$A$14)=0), -L$2*SUM(OFFSET(K5,0,0,1,$A$14*4)), "")</f>
        <v/>
      </c>
      <c r="M12" s="108" t="str">
        <f ca="1">IF(AND(NOT(ISBLANK(L$2)), MOD(L$2,$A$14)=0), -M$1*SUM(OFFSET(L5,0,0,1,$A$14*4)), "")</f>
        <v/>
      </c>
      <c r="N12" s="108" t="str">
        <f ca="1">IF(AND(NOT(ISBLANK(M$1)), MOD(M$1,$A$14)=0), -N$1*SUM(OFFSET(M5,0,0,1,$A$14*4)), "")</f>
        <v/>
      </c>
      <c r="O12" s="120" t="str">
        <f t="shared" ref="O12" ca="1" si="276">IF(P12&lt;&gt;"", $A$14&amp;" meses de café", "")</f>
        <v>3 meses de café</v>
      </c>
      <c r="P12" s="108">
        <f t="shared" ref="P12" ca="1" si="277">IF(AND(NOT(ISBLANK(O$1)), MOD(O$1,$A$14)=0), -P$2*SUM(OFFSET(O5,0,0,1,$A$14*4)), "")</f>
        <v>-26951.47259114472</v>
      </c>
      <c r="Q12" s="108" t="str">
        <f t="shared" ref="Q12" ca="1" si="278">IF(AND(NOT(ISBLANK(P$2)), MOD(P$2,$A$14)=0), -Q$1*SUM(OFFSET(P5,0,0,1,$A$14*4)), "")</f>
        <v/>
      </c>
      <c r="R12" s="108" t="str">
        <f t="shared" ref="R12" ca="1" si="279">IF(AND(NOT(ISBLANK(Q$1)), MOD(Q$1,$A$14)=0), -R$1*SUM(OFFSET(Q5,0,0,1,$A$14*4)), "")</f>
        <v/>
      </c>
      <c r="S12" s="120" t="str">
        <f t="shared" ref="S12" ca="1" si="280">IF(T12&lt;&gt;"", $A$14&amp;" meses de café", "")</f>
        <v/>
      </c>
      <c r="T12" s="108" t="str">
        <f t="shared" ref="T12" ca="1" si="281">IF(AND(NOT(ISBLANK(S$1)), MOD(S$1,$A$14)=0), -T$2*SUM(OFFSET(S5,0,0,1,$A$14*4)), "")</f>
        <v/>
      </c>
      <c r="U12" s="108" t="str">
        <f t="shared" ref="U12" ca="1" si="282">IF(AND(NOT(ISBLANK(T$2)), MOD(T$2,$A$14)=0), -U$1*SUM(OFFSET(T5,0,0,1,$A$14*4)), "")</f>
        <v/>
      </c>
      <c r="V12" s="108" t="str">
        <f t="shared" ref="V12" ca="1" si="283">IF(AND(NOT(ISBLANK(U$1)), MOD(U$1,$A$14)=0), -V$1*SUM(OFFSET(U5,0,0,1,$A$14*4)), "")</f>
        <v/>
      </c>
      <c r="W12" s="120" t="str">
        <f t="shared" ref="W12" ca="1" si="284">IF(X12&lt;&gt;"", $A$14&amp;" meses de café", "")</f>
        <v/>
      </c>
      <c r="X12" s="108" t="str">
        <f t="shared" ref="X12" ca="1" si="285">IF(AND(NOT(ISBLANK(W$1)), MOD(W$1,$A$14)=0), -X$2*SUM(OFFSET(W5,0,0,1,$A$14*4)), "")</f>
        <v/>
      </c>
      <c r="Y12" s="108" t="str">
        <f t="shared" ref="Y12" ca="1" si="286">IF(AND(NOT(ISBLANK(X$2)), MOD(X$2,$A$14)=0), -Y$1*SUM(OFFSET(X5,0,0,1,$A$14*4)), "")</f>
        <v/>
      </c>
      <c r="Z12" s="108" t="str">
        <f t="shared" ref="Z12" ca="1" si="287">IF(AND(NOT(ISBLANK(Y$1)), MOD(Y$1,$A$14)=0), -Z$1*SUM(OFFSET(Y5,0,0,1,$A$14*4)), "")</f>
        <v/>
      </c>
      <c r="AA12" s="120" t="str">
        <f t="shared" ref="AA12" ca="1" si="288">IF(AB12&lt;&gt;"", $A$14&amp;" meses de café", "")</f>
        <v>3 meses de café</v>
      </c>
      <c r="AB12" s="108">
        <f t="shared" ref="AB12" ca="1" si="289">IF(AND(NOT(ISBLANK(AA$1)), MOD(AA$1,$A$14)=0), -AB$2*SUM(OFFSET(AA5,0,0,1,$A$14*4)), "")</f>
        <v>-29898.36666491532</v>
      </c>
      <c r="AC12" s="108" t="str">
        <f t="shared" ref="AC12" ca="1" si="290">IF(AND(NOT(ISBLANK(AB$2)), MOD(AB$2,$A$14)=0), -AC$1*SUM(OFFSET(AB5,0,0,1,$A$14*4)), "")</f>
        <v/>
      </c>
      <c r="AD12" s="108" t="str">
        <f t="shared" ref="AD12" ca="1" si="291">IF(AND(NOT(ISBLANK(AC$1)), MOD(AC$1,$A$14)=0), -AD$1*SUM(OFFSET(AC5,0,0,1,$A$14*4)), "")</f>
        <v/>
      </c>
      <c r="AE12" s="120" t="str">
        <f t="shared" ref="AE12" ca="1" si="292">IF(AF12&lt;&gt;"", $A$14&amp;" meses de café", "")</f>
        <v/>
      </c>
      <c r="AF12" s="108" t="str">
        <f t="shared" ref="AF12" ca="1" si="293">IF(AND(NOT(ISBLANK(AE$1)), MOD(AE$1,$A$14)=0), -AF$2*SUM(OFFSET(AE5,0,0,1,$A$14*4)), "")</f>
        <v/>
      </c>
      <c r="AG12" s="108" t="str">
        <f t="shared" ref="AG12" ca="1" si="294">IF(AND(NOT(ISBLANK(AF$2)), MOD(AF$2,$A$14)=0), -AG$1*SUM(OFFSET(AF5,0,0,1,$A$14*4)), "")</f>
        <v/>
      </c>
      <c r="AH12" s="108" t="str">
        <f t="shared" ref="AH12" ca="1" si="295">IF(AND(NOT(ISBLANK(AG$1)), MOD(AG$1,$A$14)=0), -AH$1*SUM(OFFSET(AG5,0,0,1,$A$14*4)), "")</f>
        <v/>
      </c>
      <c r="AI12" s="120" t="str">
        <f t="shared" ref="AI12" ca="1" si="296">IF(AJ12&lt;&gt;"", $A$14&amp;" meses de café", "")</f>
        <v/>
      </c>
      <c r="AJ12" s="108" t="str">
        <f t="shared" ref="AJ12" ca="1" si="297">IF(AND(NOT(ISBLANK(AI$1)), MOD(AI$1,$A$14)=0), -AJ$2*SUM(OFFSET(AI5,0,0,1,$A$14*4)), "")</f>
        <v/>
      </c>
      <c r="AK12" s="108" t="str">
        <f t="shared" ref="AK12" ca="1" si="298">IF(AND(NOT(ISBLANK(AJ$2)), MOD(AJ$2,$A$14)=0), -AK$1*SUM(OFFSET(AJ5,0,0,1,$A$14*4)), "")</f>
        <v/>
      </c>
      <c r="AL12" s="108" t="str">
        <f t="shared" ref="AL12" ca="1" si="299">IF(AND(NOT(ISBLANK(AK$1)), MOD(AK$1,$A$14)=0), -AL$1*SUM(OFFSET(AK5,0,0,1,$A$14*4)), "")</f>
        <v/>
      </c>
      <c r="AM12" s="120" t="str">
        <f t="shared" ref="AM12" ca="1" si="300">IF(AN12&lt;&gt;"", $A$14&amp;" meses de café", "")</f>
        <v>3 meses de café</v>
      </c>
      <c r="AN12" s="108">
        <f t="shared" ref="AN12" ca="1" si="301">IF(AND(NOT(ISBLANK(AM$1)), MOD(AM$1,$A$14)=0), -AN$2*SUM(OFFSET(AM5,0,0,1,$A$14*4)), "")</f>
        <v>-28749.427292507389</v>
      </c>
      <c r="AO12" s="108" t="str">
        <f t="shared" ref="AO12" ca="1" si="302">IF(AND(NOT(ISBLANK(AN$2)), MOD(AN$2,$A$14)=0), -AO$1*SUM(OFFSET(AN5,0,0,1,$A$14*4)), "")</f>
        <v/>
      </c>
      <c r="AP12" s="108" t="str">
        <f t="shared" ref="AP12" ca="1" si="303">IF(AND(NOT(ISBLANK(AO$1)), MOD(AO$1,$A$14)=0), -AP$1*SUM(OFFSET(AO5,0,0,1,$A$14*4)), "")</f>
        <v/>
      </c>
      <c r="AQ12" s="120" t="str">
        <f t="shared" ref="AQ12" ca="1" si="304">IF(AR12&lt;&gt;"", $A$14&amp;" meses de café", "")</f>
        <v/>
      </c>
      <c r="AR12" s="108" t="str">
        <f t="shared" ref="AR12" ca="1" si="305">IF(AND(NOT(ISBLANK(AQ$1)), MOD(AQ$1,$A$14)=0), -AR$2*SUM(OFFSET(AQ5,0,0,1,$A$14*4)), "")</f>
        <v/>
      </c>
      <c r="AS12" s="108" t="str">
        <f t="shared" ref="AS12" ca="1" si="306">IF(AND(NOT(ISBLANK(AR$2)), MOD(AR$2,$A$14)=0), -AS$1*SUM(OFFSET(AR5,0,0,1,$A$14*4)), "")</f>
        <v/>
      </c>
      <c r="AT12" s="108" t="str">
        <f t="shared" ref="AT12" ca="1" si="307">IF(AND(NOT(ISBLANK(AS$1)), MOD(AS$1,$A$14)=0), -AT$1*SUM(OFFSET(AS5,0,0,1,$A$14*4)), "")</f>
        <v/>
      </c>
      <c r="AU12" s="120" t="str">
        <f t="shared" ref="AU12" ca="1" si="308">IF(AV12&lt;&gt;"", $A$14&amp;" meses de café", "")</f>
        <v/>
      </c>
      <c r="AV12" s="108" t="str">
        <f t="shared" ref="AV12" ca="1" si="309">IF(AND(NOT(ISBLANK(AU$1)), MOD(AU$1,$A$14)=0), -AV$2*SUM(OFFSET(AU5,0,0,1,$A$14*4)), "")</f>
        <v/>
      </c>
      <c r="AW12" s="108" t="str">
        <f t="shared" ref="AW12" ca="1" si="310">IF(AND(NOT(ISBLANK(AV$2)), MOD(AV$2,$A$14)=0), -AW$1*SUM(OFFSET(AV5,0,0,1,$A$14*4)), "")</f>
        <v/>
      </c>
      <c r="AX12" s="108" t="str">
        <f t="shared" ref="AX12" ca="1" si="311">IF(AND(NOT(ISBLANK(AW$1)), MOD(AW$1,$A$14)=0), -AX$1*SUM(OFFSET(AW5,0,0,1,$A$14*4)), "")</f>
        <v/>
      </c>
      <c r="AY12" s="120" t="str">
        <f t="shared" ref="AY12" ca="1" si="312">IF(AZ12&lt;&gt;"", $A$14&amp;" meses de café", "")</f>
        <v>3 meses de café</v>
      </c>
      <c r="AZ12" s="108">
        <f t="shared" ref="AZ12" ca="1" si="313">IF(AND(NOT(ISBLANK(AY$1)), MOD(AY$1,$A$14)=0), -AZ$2*SUM(OFFSET(AY5,0,0,1,$A$14*4)), "")</f>
        <v>-28586.895619305593</v>
      </c>
      <c r="BA12" s="108" t="str">
        <f t="shared" ref="BA12" ca="1" si="314">IF(AND(NOT(ISBLANK(AZ$2)), MOD(AZ$2,$A$14)=0), -BA$1*SUM(OFFSET(AZ5,0,0,1,$A$14*4)), "")</f>
        <v/>
      </c>
      <c r="BB12" s="108" t="str">
        <f t="shared" ref="BB12" ca="1" si="315">IF(AND(NOT(ISBLANK(BA$1)), MOD(BA$1,$A$14)=0), -BB$1*SUM(OFFSET(BA5,0,0,1,$A$14*4)), "")</f>
        <v/>
      </c>
      <c r="BC12" s="120" t="str">
        <f t="shared" ref="BC12" ca="1" si="316">IF(BD12&lt;&gt;"", $A$14&amp;" meses de café", "")</f>
        <v/>
      </c>
      <c r="BD12" s="108" t="str">
        <f t="shared" ref="BD12" ca="1" si="317">IF(AND(NOT(ISBLANK(BC$1)), MOD(BC$1,$A$14)=0), -BD$2*SUM(OFFSET(BC5,0,0,1,$A$14*4)), "")</f>
        <v/>
      </c>
      <c r="BE12" s="108" t="str">
        <f t="shared" ref="BE12" ca="1" si="318">IF(AND(NOT(ISBLANK(BD$2)), MOD(BD$2,$A$14)=0), -BE$1*SUM(OFFSET(BD5,0,0,1,$A$14*4)), "")</f>
        <v/>
      </c>
      <c r="BF12" s="108" t="str">
        <f t="shared" ref="BF12" ca="1" si="319">IF(AND(NOT(ISBLANK(BE$1)), MOD(BE$1,$A$14)=0), -BF$1*SUM(OFFSET(BE5,0,0,1,$A$14*4)), "")</f>
        <v/>
      </c>
      <c r="BG12" s="120" t="str">
        <f t="shared" ref="BG12" ca="1" si="320">IF(BH12&lt;&gt;"", $A$14&amp;" meses de café", "")</f>
        <v/>
      </c>
      <c r="BH12" s="108" t="str">
        <f t="shared" ref="BH12" ca="1" si="321">IF(AND(NOT(ISBLANK(BG$1)), MOD(BG$1,$A$14)=0), -BH$2*SUM(OFFSET(BG5,0,0,1,$A$14*4)), "")</f>
        <v/>
      </c>
      <c r="BI12" s="108" t="str">
        <f t="shared" ref="BI12" ca="1" si="322">IF(AND(NOT(ISBLANK(BH$2)), MOD(BH$2,$A$14)=0), -BI$1*SUM(OFFSET(BH5,0,0,1,$A$14*4)), "")</f>
        <v/>
      </c>
      <c r="BJ12" s="108" t="str">
        <f t="shared" ref="BJ12" ca="1" si="323">IF(AND(NOT(ISBLANK(BI$1)), MOD(BI$1,$A$14)=0), -BJ$1*SUM(OFFSET(BI5,0,0,1,$A$14*4)), "")</f>
        <v/>
      </c>
      <c r="BK12" s="120" t="str">
        <f t="shared" ref="BK12" ca="1" si="324">IF(BL12&lt;&gt;"", $A$14&amp;" meses de café", "")</f>
        <v>3 meses de café</v>
      </c>
      <c r="BL12" s="108">
        <f t="shared" ref="BL12" ca="1" si="325">IF(AND(NOT(ISBLANK(BK$1)), MOD(BK$1,$A$14)=0), -BL$2*SUM(OFFSET(BK5,0,0,1,$A$14*4)), "")</f>
        <v>-29913.668641997152</v>
      </c>
      <c r="BM12" s="108" t="str">
        <f t="shared" ref="BM12" ca="1" si="326">IF(AND(NOT(ISBLANK(BL$2)), MOD(BL$2,$A$14)=0), -BM$1*SUM(OFFSET(BL5,0,0,1,$A$14*4)), "")</f>
        <v/>
      </c>
      <c r="BN12" s="108" t="str">
        <f t="shared" ref="BN12" ca="1" si="327">IF(AND(NOT(ISBLANK(BM$1)), MOD(BM$1,$A$14)=0), -BN$1*SUM(OFFSET(BM5,0,0,1,$A$14*4)), "")</f>
        <v/>
      </c>
      <c r="BO12" s="120" t="str">
        <f t="shared" ref="BO12" ca="1" si="328">IF(BP12&lt;&gt;"", $A$14&amp;" meses de café", "")</f>
        <v/>
      </c>
      <c r="BP12" s="108" t="str">
        <f t="shared" ref="BP12" ca="1" si="329">IF(AND(NOT(ISBLANK(BO$1)), MOD(BO$1,$A$14)=0), -BP$2*SUM(OFFSET(BO5,0,0,1,$A$14*4)), "")</f>
        <v/>
      </c>
      <c r="BQ12" s="108" t="str">
        <f t="shared" ref="BQ12" ca="1" si="330">IF(AND(NOT(ISBLANK(BP$2)), MOD(BP$2,$A$14)=0), -BQ$1*SUM(OFFSET(BP5,0,0,1,$A$14*4)), "")</f>
        <v/>
      </c>
      <c r="BR12" s="108" t="str">
        <f t="shared" ref="BR12" ca="1" si="331">IF(AND(NOT(ISBLANK(BQ$1)), MOD(BQ$1,$A$14)=0), -BR$1*SUM(OFFSET(BQ5,0,0,1,$A$14*4)), "")</f>
        <v/>
      </c>
      <c r="BS12" s="120" t="str">
        <f t="shared" ref="BS12" ca="1" si="332">IF(BT12&lt;&gt;"", $A$14&amp;" meses de café", "")</f>
        <v/>
      </c>
      <c r="BT12" s="108" t="str">
        <f t="shared" ref="BT12" ca="1" si="333">IF(AND(NOT(ISBLANK(BS$1)), MOD(BS$1,$A$14)=0), -BT$2*SUM(OFFSET(BS5,0,0,1,$A$14*4)), "")</f>
        <v/>
      </c>
      <c r="BU12" s="108" t="str">
        <f t="shared" ref="BU12" ca="1" si="334">IF(AND(NOT(ISBLANK(BT$2)), MOD(BT$2,$A$14)=0), -BU$1*SUM(OFFSET(BT5,0,0,1,$A$14*4)), "")</f>
        <v/>
      </c>
      <c r="BV12" s="108" t="str">
        <f t="shared" ref="BV12" ca="1" si="335">IF(AND(NOT(ISBLANK(BU$1)), MOD(BU$1,$A$14)=0), -BV$1*SUM(OFFSET(BU5,0,0,1,$A$14*4)), "")</f>
        <v/>
      </c>
      <c r="BW12" s="120" t="str">
        <f t="shared" ref="BW12" ca="1" si="336">IF(BX12&lt;&gt;"", $A$14&amp;" meses de café", "")</f>
        <v>3 meses de café</v>
      </c>
      <c r="BX12" s="108">
        <f t="shared" ref="BX12" ca="1" si="337">IF(AND(NOT(ISBLANK(BW$1)), MOD(BW$1,$A$14)=0), -BX$2*SUM(OFFSET(BW5,0,0,1,$A$14*4)), "")</f>
        <v>-38631.563032962142</v>
      </c>
      <c r="BY12" s="108" t="str">
        <f t="shared" ref="BY12" ca="1" si="338">IF(AND(NOT(ISBLANK(BX$2)), MOD(BX$2,$A$14)=0), -BY$1*SUM(OFFSET(BX5,0,0,1,$A$14*4)), "")</f>
        <v/>
      </c>
      <c r="BZ12" s="108" t="str">
        <f t="shared" ref="BZ12" ca="1" si="339">IF(AND(NOT(ISBLANK(BY$1)), MOD(BY$1,$A$14)=0), -BZ$1*SUM(OFFSET(BY5,0,0,1,$A$14*4)), "")</f>
        <v/>
      </c>
      <c r="CA12" s="120" t="str">
        <f t="shared" ref="CA12" ca="1" si="340">IF(CB12&lt;&gt;"", $A$14&amp;" meses de café", "")</f>
        <v/>
      </c>
      <c r="CB12" s="108" t="str">
        <f t="shared" ref="CB12" ca="1" si="341">IF(AND(NOT(ISBLANK(CA$1)), MOD(CA$1,$A$14)=0), -CB$2*SUM(OFFSET(CA5,0,0,1,$A$14*4)), "")</f>
        <v/>
      </c>
      <c r="CC12" s="108" t="str">
        <f t="shared" ref="CC12" ca="1" si="342">IF(AND(NOT(ISBLANK(CB$2)), MOD(CB$2,$A$14)=0), -CC$1*SUM(OFFSET(CB5,0,0,1,$A$14*4)), "")</f>
        <v/>
      </c>
      <c r="CD12" s="108" t="str">
        <f t="shared" ref="CD12" ca="1" si="343">IF(AND(NOT(ISBLANK(CC$1)), MOD(CC$1,$A$14)=0), -CD$1*SUM(OFFSET(CC5,0,0,1,$A$14*4)), "")</f>
        <v/>
      </c>
      <c r="CE12" s="120" t="str">
        <f t="shared" ref="CE12" ca="1" si="344">IF(CF12&lt;&gt;"", $A$14&amp;" meses de café", "")</f>
        <v/>
      </c>
      <c r="CF12" s="108" t="str">
        <f t="shared" ref="CF12" ca="1" si="345">IF(AND(NOT(ISBLANK(CE$1)), MOD(CE$1,$A$14)=0), -CF$2*SUM(OFFSET(CE5,0,0,1,$A$14*4)), "")</f>
        <v/>
      </c>
      <c r="CG12" s="108" t="str">
        <f t="shared" ref="CG12" ca="1" si="346">IF(AND(NOT(ISBLANK(CF$2)), MOD(CF$2,$A$14)=0), -CG$1*SUM(OFFSET(CF5,0,0,1,$A$14*4)), "")</f>
        <v/>
      </c>
      <c r="CH12" s="108" t="str">
        <f t="shared" ref="CH12" ca="1" si="347">IF(AND(NOT(ISBLANK(CG$1)), MOD(CG$1,$A$14)=0), -CH$1*SUM(OFFSET(CG5,0,0,1,$A$14*4)), "")</f>
        <v/>
      </c>
      <c r="CI12" s="120" t="str">
        <f t="shared" ref="CI12" ca="1" si="348">IF(CJ12&lt;&gt;"", $A$14&amp;" meses de café", "")</f>
        <v>3 meses de café</v>
      </c>
      <c r="CJ12" s="108">
        <f t="shared" ref="CJ12" ca="1" si="349">IF(AND(NOT(ISBLANK(CI$1)), MOD(CI$1,$A$14)=0), -CJ$2*SUM(OFFSET(CI5,0,0,1,$A$14*4)), "")</f>
        <v>-28341.516795335174</v>
      </c>
      <c r="CK12" s="108" t="str">
        <f t="shared" ref="CK12" ca="1" si="350">IF(AND(NOT(ISBLANK(CJ$2)), MOD(CJ$2,$A$14)=0), -CK$1*SUM(OFFSET(CJ5,0,0,1,$A$14*4)), "")</f>
        <v/>
      </c>
      <c r="CL12" s="108" t="str">
        <f t="shared" ref="CL12" ca="1" si="351">IF(AND(NOT(ISBLANK(CK$1)), MOD(CK$1,$A$14)=0), -CL$1*SUM(OFFSET(CK5,0,0,1,$A$14*4)), "")</f>
        <v/>
      </c>
      <c r="CM12" s="120" t="str">
        <f t="shared" ref="CM12" ca="1" si="352">IF(CN12&lt;&gt;"", $A$14&amp;" meses de café", "")</f>
        <v/>
      </c>
      <c r="CN12" s="108" t="str">
        <f t="shared" ref="CN12" ca="1" si="353">IF(AND(NOT(ISBLANK(CM$1)), MOD(CM$1,$A$14)=0), -CN$2*SUM(OFFSET(CM5,0,0,1,$A$14*4)), "")</f>
        <v/>
      </c>
      <c r="CO12" s="108" t="str">
        <f t="shared" ref="CO12" ca="1" si="354">IF(AND(NOT(ISBLANK(CN$2)), MOD(CN$2,$A$14)=0), -CO$1*SUM(OFFSET(CN5,0,0,1,$A$14*4)), "")</f>
        <v/>
      </c>
      <c r="CP12" s="108" t="str">
        <f t="shared" ref="CP12" ca="1" si="355">IF(AND(NOT(ISBLANK(CO$1)), MOD(CO$1,$A$14)=0), -CP$1*SUM(OFFSET(CO5,0,0,1,$A$14*4)), "")</f>
        <v/>
      </c>
      <c r="CQ12" s="120" t="str">
        <f t="shared" ref="CQ12" ca="1" si="356">IF(CR12&lt;&gt;"", $A$14&amp;" meses de café", "")</f>
        <v/>
      </c>
      <c r="CR12" s="108" t="str">
        <f t="shared" ref="CR12" ca="1" si="357">IF(AND(NOT(ISBLANK(CQ$1)), MOD(CQ$1,$A$14)=0), -CR$2*SUM(OFFSET(CQ5,0,0,1,$A$14*4)), "")</f>
        <v/>
      </c>
      <c r="CS12" s="108" t="str">
        <f t="shared" ref="CS12" ca="1" si="358">IF(AND(NOT(ISBLANK(CR$2)), MOD(CR$2,$A$14)=0), -CS$1*SUM(OFFSET(CR5,0,0,1,$A$14*4)), "")</f>
        <v/>
      </c>
      <c r="CT12" s="108" t="str">
        <f t="shared" ref="CT12" ca="1" si="359">IF(AND(NOT(ISBLANK(CS$1)), MOD(CS$1,$A$14)=0), -CT$1*SUM(OFFSET(CS5,0,0,1,$A$14*4)), "")</f>
        <v/>
      </c>
      <c r="CU12" s="120" t="str">
        <f t="shared" ref="CU12" ca="1" si="360">IF(CV12&lt;&gt;"", $A$14&amp;" meses de café", "")</f>
        <v>3 meses de café</v>
      </c>
      <c r="CV12" s="108">
        <f t="shared" ref="CV12" ca="1" si="361">IF(AND(NOT(ISBLANK(CU$1)), MOD(CU$1,$A$14)=0), -CV$2*SUM(OFFSET(CU5,0,0,1,$A$14*4)), "")</f>
        <v>-28806.516949714842</v>
      </c>
      <c r="CW12" s="108" t="str">
        <f t="shared" ref="CW12" ca="1" si="362">IF(AND(NOT(ISBLANK(CV$2)), MOD(CV$2,$A$14)=0), -CW$1*SUM(OFFSET(CV5,0,0,1,$A$14*4)), "")</f>
        <v/>
      </c>
      <c r="CX12" s="108" t="str">
        <f t="shared" ref="CX12" ca="1" si="363">IF(AND(NOT(ISBLANK(CW$1)), MOD(CW$1,$A$14)=0), -CX$1*SUM(OFFSET(CW5,0,0,1,$A$14*4)), "")</f>
        <v/>
      </c>
      <c r="CY12" s="120" t="str">
        <f t="shared" ref="CY12" ca="1" si="364">IF(CZ12&lt;&gt;"", $A$14&amp;" meses de café", "")</f>
        <v/>
      </c>
      <c r="CZ12" s="108" t="str">
        <f t="shared" ref="CZ12" ca="1" si="365">IF(AND(NOT(ISBLANK(CY$1)), MOD(CY$1,$A$14)=0), -CZ$2*SUM(OFFSET(CY5,0,0,1,$A$14*4)), "")</f>
        <v/>
      </c>
      <c r="DA12" s="108" t="str">
        <f t="shared" ref="DA12" ca="1" si="366">IF(AND(NOT(ISBLANK(CZ$2)), MOD(CZ$2,$A$14)=0), -DA$1*SUM(OFFSET(CZ5,0,0,1,$A$14*4)), "")</f>
        <v/>
      </c>
      <c r="DB12" s="108" t="str">
        <f t="shared" ref="DB12" ca="1" si="367">IF(AND(NOT(ISBLANK(DA$1)), MOD(DA$1,$A$14)=0), -DB$1*SUM(OFFSET(DA5,0,0,1,$A$14*4)), "")</f>
        <v/>
      </c>
      <c r="DC12" s="120" t="str">
        <f t="shared" ref="DC12" ca="1" si="368">IF(DD12&lt;&gt;"", $A$14&amp;" meses de café", "")</f>
        <v/>
      </c>
      <c r="DD12" s="108" t="str">
        <f t="shared" ref="DD12" ca="1" si="369">IF(AND(NOT(ISBLANK(DC$1)), MOD(DC$1,$A$14)=0), -DD$2*SUM(OFFSET(DC5,0,0,1,$A$14*4)), "")</f>
        <v/>
      </c>
      <c r="DE12" s="108" t="str">
        <f t="shared" ref="DE12" ca="1" si="370">IF(AND(NOT(ISBLANK(DD$2)), MOD(DD$2,$A$14)=0), -DE$1*SUM(OFFSET(DD5,0,0,1,$A$14*4)), "")</f>
        <v/>
      </c>
      <c r="DF12" s="108" t="str">
        <f t="shared" ref="DF12" ca="1" si="371">IF(AND(NOT(ISBLANK(DE$1)), MOD(DE$1,$A$14)=0), -DF$1*SUM(OFFSET(DE5,0,0,1,$A$14*4)), "")</f>
        <v/>
      </c>
      <c r="DG12" s="120" t="str">
        <f t="shared" ref="DG12" ca="1" si="372">IF(DH12&lt;&gt;"", $A$14&amp;" meses de café", "")</f>
        <v>3 meses de café</v>
      </c>
      <c r="DH12" s="108">
        <f t="shared" ref="DH12" ca="1" si="373">IF(AND(NOT(ISBLANK(DG$1)), MOD(DG$1,$A$14)=0), -DH$2*SUM(OFFSET(DG5,0,0,1,$A$14*4)), "")</f>
        <v>-31354.006310713914</v>
      </c>
      <c r="DI12" s="108" t="str">
        <f t="shared" ref="DI12" ca="1" si="374">IF(AND(NOT(ISBLANK(DH$2)), MOD(DH$2,$A$14)=0), -DI$1*SUM(OFFSET(DH5,0,0,1,$A$14*4)), "")</f>
        <v/>
      </c>
      <c r="DJ12" s="108" t="str">
        <f t="shared" ref="DJ12" ca="1" si="375">IF(AND(NOT(ISBLANK(DI$1)), MOD(DI$1,$A$14)=0), -DJ$1*SUM(OFFSET(DI5,0,0,1,$A$14*4)), "")</f>
        <v/>
      </c>
      <c r="DK12" s="120" t="str">
        <f t="shared" ref="DK12" ca="1" si="376">IF(DL12&lt;&gt;"", $A$14&amp;" meses de café", "")</f>
        <v/>
      </c>
      <c r="DL12" s="108" t="str">
        <f t="shared" ref="DL12" ca="1" si="377">IF(AND(NOT(ISBLANK(DK$1)), MOD(DK$1,$A$14)=0), -DL$2*SUM(OFFSET(DK5,0,0,1,$A$14*4)), "")</f>
        <v/>
      </c>
      <c r="DM12" s="108" t="str">
        <f t="shared" ref="DM12" ca="1" si="378">IF(AND(NOT(ISBLANK(DL$2)), MOD(DL$2,$A$14)=0), -DM$1*SUM(OFFSET(DL5,0,0,1,$A$14*4)), "")</f>
        <v/>
      </c>
      <c r="DN12" s="108" t="str">
        <f t="shared" ref="DN12" ca="1" si="379">IF(AND(NOT(ISBLANK(DM$1)), MOD(DM$1,$A$14)=0), -DN$1*SUM(OFFSET(DM5,0,0,1,$A$14*4)), "")</f>
        <v/>
      </c>
      <c r="DO12" s="120" t="str">
        <f t="shared" ref="DO12" ca="1" si="380">IF(DP12&lt;&gt;"", $A$14&amp;" meses de café", "")</f>
        <v/>
      </c>
      <c r="DP12" s="108" t="str">
        <f t="shared" ref="DP12" ca="1" si="381">IF(AND(NOT(ISBLANK(DO$1)), MOD(DO$1,$A$14)=0), -DP$2*SUM(OFFSET(DO5,0,0,1,$A$14*4)), "")</f>
        <v/>
      </c>
      <c r="DQ12" s="108" t="str">
        <f t="shared" ref="DQ12" ca="1" si="382">IF(AND(NOT(ISBLANK(DP$2)), MOD(DP$2,$A$14)=0), -DQ$1*SUM(OFFSET(DP5,0,0,1,$A$14*4)), "")</f>
        <v/>
      </c>
      <c r="DR12" s="108" t="str">
        <f t="shared" ref="DR12" ca="1" si="383">IF(AND(NOT(ISBLANK(DQ$1)), MOD(DQ$1,$A$14)=0), -DR$1*SUM(OFFSET(DQ5,0,0,1,$A$14*4)), "")</f>
        <v/>
      </c>
      <c r="DS12" s="120" t="str">
        <f t="shared" ref="DS12" ca="1" si="384">IF(DT12&lt;&gt;"", $A$14&amp;" meses de café", "")</f>
        <v>3 meses de café</v>
      </c>
      <c r="DT12" s="108">
        <f t="shared" ref="DT12" ca="1" si="385">IF(AND(NOT(ISBLANK(DS$1)), MOD(DS$1,$A$14)=0), -DT$2*SUM(OFFSET(DS5,0,0,1,$A$14*4)), "")</f>
        <v>-45340.614454361043</v>
      </c>
      <c r="DU12" s="108" t="str">
        <f t="shared" ref="DU12" ca="1" si="386">IF(AND(NOT(ISBLANK(DT$2)), MOD(DT$2,$A$14)=0), -DU$1*SUM(OFFSET(DT5,0,0,1,$A$14*4)), "")</f>
        <v/>
      </c>
      <c r="DV12" s="108" t="str">
        <f t="shared" ref="DV12" ca="1" si="387">IF(AND(NOT(ISBLANK(DU$1)), MOD(DU$1,$A$14)=0), -DV$1*SUM(OFFSET(DU5,0,0,1,$A$14*4)), "")</f>
        <v/>
      </c>
      <c r="DW12" s="120" t="str">
        <f t="shared" ref="DW12" ca="1" si="388">IF(DX12&lt;&gt;"", $A$14&amp;" meses de café", "")</f>
        <v/>
      </c>
      <c r="DX12" s="108" t="str">
        <f t="shared" ref="DX12" ca="1" si="389">IF(AND(NOT(ISBLANK(DW$1)), MOD(DW$1,$A$14)=0), -DX$2*SUM(OFFSET(DW5,0,0,1,$A$14*4)), "")</f>
        <v/>
      </c>
      <c r="DY12" s="108" t="str">
        <f t="shared" ref="DY12" ca="1" si="390">IF(AND(NOT(ISBLANK(DX$2)), MOD(DX$2,$A$14)=0), -DY$1*SUM(OFFSET(DX5,0,0,1,$A$14*4)), "")</f>
        <v/>
      </c>
      <c r="DZ12" s="108" t="str">
        <f t="shared" ref="DZ12" ca="1" si="391">IF(AND(NOT(ISBLANK(DY$1)), MOD(DY$1,$A$14)=0), -DZ$1*SUM(OFFSET(DY5,0,0,1,$A$14*4)), "")</f>
        <v/>
      </c>
      <c r="EA12" s="120" t="str">
        <f t="shared" ref="EA12" ca="1" si="392">IF(EB12&lt;&gt;"", $A$14&amp;" meses de café", "")</f>
        <v/>
      </c>
      <c r="EB12" s="108" t="str">
        <f t="shared" ref="EB12" ca="1" si="393">IF(AND(NOT(ISBLANK(EA$1)), MOD(EA$1,$A$14)=0), -EB$2*SUM(OFFSET(EA5,0,0,1,$A$14*4)), "")</f>
        <v/>
      </c>
      <c r="EC12" s="108" t="str">
        <f t="shared" ref="EC12" ca="1" si="394">IF(AND(NOT(ISBLANK(EB$2)), MOD(EB$2,$A$14)=0), -EC$1*SUM(OFFSET(EB5,0,0,1,$A$14*4)), "")</f>
        <v/>
      </c>
      <c r="ED12" s="108" t="str">
        <f t="shared" ref="ED12" ca="1" si="395">IF(AND(NOT(ISBLANK(EC$1)), MOD(EC$1,$A$14)=0), -ED$1*SUM(OFFSET(EC5,0,0,1,$A$14*4)), "")</f>
        <v/>
      </c>
      <c r="EE12" s="120" t="str">
        <f t="shared" ref="EE12" ca="1" si="396">IF(EF12&lt;&gt;"", $A$14&amp;" meses de café", "")</f>
        <v>3 meses de café</v>
      </c>
      <c r="EF12" s="108">
        <f t="shared" ref="EF12" ca="1" si="397">IF(AND(NOT(ISBLANK(EE$1)), MOD(EE$1,$A$14)=0), -EF$2*SUM(OFFSET(EE5,0,0,1,$A$14*4)), "")</f>
        <v>-69181.719583213024</v>
      </c>
      <c r="EG12" s="108" t="str">
        <f t="shared" ref="EG12" ca="1" si="398">IF(AND(NOT(ISBLANK(EF$2)), MOD(EF$2,$A$14)=0), -EG$1*SUM(OFFSET(EF5,0,0,1,$A$14*4)), "")</f>
        <v/>
      </c>
      <c r="EH12" s="108" t="str">
        <f t="shared" ref="EH12" ca="1" si="399">IF(AND(NOT(ISBLANK(EG$1)), MOD(EG$1,$A$14)=0), -EH$1*SUM(OFFSET(EG5,0,0,1,$A$14*4)), "")</f>
        <v/>
      </c>
      <c r="EI12" s="120" t="str">
        <f t="shared" ref="EI12" ca="1" si="400">IF(EJ12&lt;&gt;"", $A$14&amp;" meses de café", "")</f>
        <v/>
      </c>
      <c r="EJ12" s="108" t="str">
        <f t="shared" ref="EJ12" ca="1" si="401">IF(AND(NOT(ISBLANK(EI$1)), MOD(EI$1,$A$14)=0), -EJ$2*SUM(OFFSET(EI5,0,0,1,$A$14*4)), "")</f>
        <v/>
      </c>
      <c r="EK12" s="108" t="str">
        <f t="shared" ref="EK12" ca="1" si="402">IF(AND(NOT(ISBLANK(EJ$2)), MOD(EJ$2,$A$14)=0), -EK$1*SUM(OFFSET(EJ5,0,0,1,$A$14*4)), "")</f>
        <v/>
      </c>
      <c r="EL12" s="108" t="str">
        <f t="shared" ref="EL12" ca="1" si="403">IF(AND(NOT(ISBLANK(EK$1)), MOD(EK$1,$A$14)=0), -EL$1*SUM(OFFSET(EK5,0,0,1,$A$14*4)), "")</f>
        <v/>
      </c>
      <c r="EM12" s="120" t="str">
        <f t="shared" ref="EM12" ca="1" si="404">IF(EN12&lt;&gt;"", $A$14&amp;" meses de café", "")</f>
        <v/>
      </c>
      <c r="EN12" s="108" t="str">
        <f t="shared" ref="EN12" ca="1" si="405">IF(AND(NOT(ISBLANK(EM$1)), MOD(EM$1,$A$14)=0), -EN$2*SUM(OFFSET(EM5,0,0,1,$A$14*4)), "")</f>
        <v/>
      </c>
      <c r="EO12" s="108" t="str">
        <f t="shared" ref="EO12" ca="1" si="406">IF(AND(NOT(ISBLANK(EN$2)), MOD(EN$2,$A$14)=0), -EO$1*SUM(OFFSET(EN5,0,0,1,$A$14*4)), "")</f>
        <v/>
      </c>
      <c r="EP12" s="108" t="str">
        <f t="shared" ref="EP12" ca="1" si="407">IF(AND(NOT(ISBLANK(EO$1)), MOD(EO$1,$A$14)=0), -EP$1*SUM(OFFSET(EO5,0,0,1,$A$14*4)), "")</f>
        <v/>
      </c>
      <c r="EQ12" s="120" t="str">
        <f t="shared" ref="EQ12" ca="1" si="408">IF(ER12&lt;&gt;"", $A$14&amp;" meses de café", "")</f>
        <v>3 meses de café</v>
      </c>
      <c r="ER12" s="108">
        <f t="shared" ref="ER12" ca="1" si="409">IF(AND(NOT(ISBLANK(EQ$1)), MOD(EQ$1,$A$14)=0), -ER$2*SUM(OFFSET(EQ5,0,0,1,$A$14*4)), "")</f>
        <v>-84470.229394078866</v>
      </c>
      <c r="ES12" s="108" t="str">
        <f t="shared" ref="ES12" ca="1" si="410">IF(AND(NOT(ISBLANK(ER$2)), MOD(ER$2,$A$14)=0), -ES$1*SUM(OFFSET(ER5,0,0,1,$A$14*4)), "")</f>
        <v/>
      </c>
      <c r="ET12" s="108" t="str">
        <f t="shared" ref="ET12" ca="1" si="411">IF(AND(NOT(ISBLANK(ES$1)), MOD(ES$1,$A$14)=0), -ET$1*SUM(OFFSET(ES5,0,0,1,$A$14*4)), "")</f>
        <v/>
      </c>
      <c r="EU12" s="120" t="str">
        <f t="shared" ref="EU12" ca="1" si="412">IF(EV12&lt;&gt;"", $A$14&amp;" meses de café", "")</f>
        <v/>
      </c>
      <c r="EV12" s="108" t="str">
        <f t="shared" ref="EV12" ca="1" si="413">IF(AND(NOT(ISBLANK(EU$1)), MOD(EU$1,$A$14)=0), -EV$2*SUM(OFFSET(EU5,0,0,1,$A$14*4)), "")</f>
        <v/>
      </c>
      <c r="EW12" s="108" t="str">
        <f t="shared" ref="EW12" ca="1" si="414">IF(AND(NOT(ISBLANK(EV$2)), MOD(EV$2,$A$14)=0), -EW$1*SUM(OFFSET(EV5,0,0,1,$A$14*4)), "")</f>
        <v/>
      </c>
      <c r="EX12" s="108" t="str">
        <f t="shared" ref="EX12" ca="1" si="415">IF(AND(NOT(ISBLANK(EW$1)), MOD(EW$1,$A$14)=0), -EX$1*SUM(OFFSET(EW5,0,0,1,$A$14*4)), "")</f>
        <v/>
      </c>
      <c r="EY12" s="120" t="str">
        <f t="shared" ref="EY12" ca="1" si="416">IF(EZ12&lt;&gt;"", $A$14&amp;" meses de café", "")</f>
        <v/>
      </c>
      <c r="EZ12" s="108" t="str">
        <f t="shared" ref="EZ12" ca="1" si="417">IF(AND(NOT(ISBLANK(EY$1)), MOD(EY$1,$A$14)=0), -EZ$2*SUM(OFFSET(EY5,0,0,1,$A$14*4)), "")</f>
        <v/>
      </c>
      <c r="FA12" s="108" t="str">
        <f t="shared" ref="FA12" ca="1" si="418">IF(AND(NOT(ISBLANK(EZ$2)), MOD(EZ$2,$A$14)=0), -FA$1*SUM(OFFSET(EZ5,0,0,1,$A$14*4)), "")</f>
        <v/>
      </c>
      <c r="FB12" s="108" t="str">
        <f t="shared" ref="FB12" ca="1" si="419">IF(AND(NOT(ISBLANK(FA$1)), MOD(FA$1,$A$14)=0), -FB$1*SUM(OFFSET(FA5,0,0,1,$A$14*4)), "")</f>
        <v/>
      </c>
      <c r="FC12" s="120" t="str">
        <f t="shared" ref="FC12" ca="1" si="420">IF(FD12&lt;&gt;"", $A$14&amp;" meses de café", "")</f>
        <v>3 meses de café</v>
      </c>
      <c r="FD12" s="108">
        <f t="shared" ref="FD12" ca="1" si="421">IF(AND(NOT(ISBLANK(FC$1)), MOD(FC$1,$A$14)=0), -FD$2*SUM(OFFSET(FC5,0,0,1,$A$14*4)), "")</f>
        <v>-97483.918251394338</v>
      </c>
      <c r="FE12" s="108" t="str">
        <f t="shared" ref="FE12" ca="1" si="422">IF(AND(NOT(ISBLANK(FD$2)), MOD(FD$2,$A$14)=0), -FE$1*SUM(OFFSET(FD5,0,0,1,$A$14*4)), "")</f>
        <v/>
      </c>
      <c r="FF12" s="108" t="str">
        <f t="shared" ref="FF12" ca="1" si="423">IF(AND(NOT(ISBLANK(FE$1)), MOD(FE$1,$A$14)=0), -FF$1*SUM(OFFSET(FE5,0,0,1,$A$14*4)), "")</f>
        <v/>
      </c>
      <c r="FG12" s="120" t="str">
        <f t="shared" ref="FG12" ca="1" si="424">IF(FH12&lt;&gt;"", $A$14&amp;" meses de café", "")</f>
        <v/>
      </c>
      <c r="FH12" s="108" t="str">
        <f t="shared" ref="FH12" ca="1" si="425">IF(AND(NOT(ISBLANK(FG$1)), MOD(FG$1,$A$14)=0), -FH$2*SUM(OFFSET(FG5,0,0,1,$A$14*4)), "")</f>
        <v/>
      </c>
      <c r="FI12" s="108" t="str">
        <f t="shared" ref="FI12" ca="1" si="426">IF(AND(NOT(ISBLANK(FH$2)), MOD(FH$2,$A$14)=0), -FI$1*SUM(OFFSET(FH5,0,0,1,$A$14*4)), "")</f>
        <v/>
      </c>
      <c r="FJ12" s="108" t="str">
        <f t="shared" ref="FJ12" ca="1" si="427">IF(AND(NOT(ISBLANK(FI$1)), MOD(FI$1,$A$14)=0), -FJ$1*SUM(OFFSET(FI5,0,0,1,$A$14*4)), "")</f>
        <v/>
      </c>
      <c r="FK12" s="120" t="str">
        <f t="shared" ref="FK12" ca="1" si="428">IF(FL12&lt;&gt;"", $A$14&amp;" meses de café", "")</f>
        <v/>
      </c>
      <c r="FL12" s="108" t="str">
        <f t="shared" ref="FL12" ca="1" si="429">IF(AND(NOT(ISBLANK(FK$1)), MOD(FK$1,$A$14)=0), -FL$2*SUM(OFFSET(FK5,0,0,1,$A$14*4)), "")</f>
        <v/>
      </c>
      <c r="FM12" s="108" t="str">
        <f t="shared" ref="FM12" ca="1" si="430">IF(AND(NOT(ISBLANK(FL$2)), MOD(FL$2,$A$14)=0), -FM$1*SUM(OFFSET(FL5,0,0,1,$A$14*4)), "")</f>
        <v/>
      </c>
      <c r="FN12" s="108" t="str">
        <f t="shared" ref="FN12" ca="1" si="431">IF(AND(NOT(ISBLANK(FM$1)), MOD(FM$1,$A$14)=0), -FN$1*SUM(OFFSET(FM5,0,0,1,$A$14*4)), "")</f>
        <v/>
      </c>
      <c r="FO12" s="120" t="str">
        <f t="shared" ref="FO12" ca="1" si="432">IF(FP12&lt;&gt;"", $A$14&amp;" meses de café", "")</f>
        <v>3 meses de café</v>
      </c>
      <c r="FP12" s="108">
        <f t="shared" ref="FP12" ca="1" si="433">IF(AND(NOT(ISBLANK(FO$1)), MOD(FO$1,$A$14)=0), -FP$2*SUM(OFFSET(FO5,0,0,1,$A$14*4)), "")</f>
        <v>-108147.30019751626</v>
      </c>
      <c r="FQ12" s="108" t="str">
        <f t="shared" ref="FQ12" ca="1" si="434">IF(AND(NOT(ISBLANK(FP$2)), MOD(FP$2,$A$14)=0), -FQ$1*SUM(OFFSET(FP5,0,0,1,$A$14*4)), "")</f>
        <v/>
      </c>
      <c r="FR12" s="108" t="str">
        <f t="shared" ref="FR12" ca="1" si="435">IF(AND(NOT(ISBLANK(FQ$1)), MOD(FQ$1,$A$14)=0), -FR$1*SUM(OFFSET(FQ5,0,0,1,$A$14*4)), "")</f>
        <v/>
      </c>
      <c r="FS12" s="120" t="str">
        <f t="shared" ref="FS12" ca="1" si="436">IF(FT12&lt;&gt;"", $A$14&amp;" meses de café", "")</f>
        <v/>
      </c>
      <c r="FT12" s="108" t="str">
        <f t="shared" ref="FT12" ca="1" si="437">IF(AND(NOT(ISBLANK(FS$1)), MOD(FS$1,$A$14)=0), -FT$2*SUM(OFFSET(FS5,0,0,1,$A$14*4)), "")</f>
        <v/>
      </c>
      <c r="FU12" s="108" t="str">
        <f t="shared" ref="FU12" ca="1" si="438">IF(AND(NOT(ISBLANK(FT$2)), MOD(FT$2,$A$14)=0), -FU$1*SUM(OFFSET(FT5,0,0,1,$A$14*4)), "")</f>
        <v/>
      </c>
      <c r="FV12" s="108" t="str">
        <f t="shared" ref="FV12" ca="1" si="439">IF(AND(NOT(ISBLANK(FU$1)), MOD(FU$1,$A$14)=0), -FV$1*SUM(OFFSET(FU5,0,0,1,$A$14*4)), "")</f>
        <v/>
      </c>
      <c r="FW12" s="120" t="str">
        <f t="shared" ref="FW12" ca="1" si="440">IF(FX12&lt;&gt;"", $A$14&amp;" meses de café", "")</f>
        <v/>
      </c>
      <c r="FX12" s="108" t="str">
        <f t="shared" ref="FX12" ca="1" si="441">IF(AND(NOT(ISBLANK(FW$1)), MOD(FW$1,$A$14)=0), -FX$2*SUM(OFFSET(FW5,0,0,1,$A$14*4)), "")</f>
        <v/>
      </c>
      <c r="FY12" s="108" t="str">
        <f t="shared" ref="FY12" ca="1" si="442">IF(AND(NOT(ISBLANK(FX$2)), MOD(FX$2,$A$14)=0), -FY$1*SUM(OFFSET(FX5,0,0,1,$A$14*4)), "")</f>
        <v/>
      </c>
      <c r="FZ12" s="108" t="str">
        <f t="shared" ref="FZ12" ca="1" si="443">IF(AND(NOT(ISBLANK(FY$1)), MOD(FY$1,$A$14)=0), -FZ$1*SUM(OFFSET(FY5,0,0,1,$A$14*4)), "")</f>
        <v/>
      </c>
      <c r="GA12" s="120" t="str">
        <f t="shared" ref="GA12" ca="1" si="444">IF(GB12&lt;&gt;"", $A$14&amp;" meses de café", "")</f>
        <v>3 meses de café</v>
      </c>
      <c r="GB12" s="108">
        <f t="shared" ref="GB12" ca="1" si="445">IF(AND(NOT(ISBLANK(GA$1)), MOD(GA$1,$A$14)=0), -GB$2*SUM(OFFSET(GA5,0,0,1,$A$14*4)), "")</f>
        <v>-144162.8862624414</v>
      </c>
      <c r="GC12" s="108" t="str">
        <f t="shared" ref="GC12" ca="1" si="446">IF(AND(NOT(ISBLANK(GB$2)), MOD(GB$2,$A$14)=0), -GC$1*SUM(OFFSET(GB5,0,0,1,$A$14*4)), "")</f>
        <v/>
      </c>
      <c r="GD12" s="108" t="str">
        <f t="shared" ref="GD12" ca="1" si="447">IF(AND(NOT(ISBLANK(GC$1)), MOD(GC$1,$A$14)=0), -GD$1*SUM(OFFSET(GC5,0,0,1,$A$14*4)), "")</f>
        <v/>
      </c>
      <c r="GE12" s="120" t="str">
        <f t="shared" ref="GE12" ca="1" si="448">IF(GF12&lt;&gt;"", $A$14&amp;" meses de café", "")</f>
        <v/>
      </c>
      <c r="GF12" s="108" t="str">
        <f t="shared" ref="GF12" ca="1" si="449">IF(AND(NOT(ISBLANK(GE$1)), MOD(GE$1,$A$14)=0), -GF$2*SUM(OFFSET(GE5,0,0,1,$A$14*4)), "")</f>
        <v/>
      </c>
      <c r="GG12" s="108" t="str">
        <f t="shared" ref="GG12" ca="1" si="450">IF(AND(NOT(ISBLANK(GF$2)), MOD(GF$2,$A$14)=0), -GG$1*SUM(OFFSET(GF5,0,0,1,$A$14*4)), "")</f>
        <v/>
      </c>
      <c r="GH12" s="108" t="str">
        <f t="shared" ref="GH12" ca="1" si="451">IF(AND(NOT(ISBLANK(GG$1)), MOD(GG$1,$A$14)=0), -GH$1*SUM(OFFSET(GG5,0,0,1,$A$14*4)), "")</f>
        <v/>
      </c>
      <c r="GI12" s="120" t="str">
        <f t="shared" ref="GI12" ca="1" si="452">IF(GJ12&lt;&gt;"", $A$14&amp;" meses de café", "")</f>
        <v/>
      </c>
      <c r="GJ12" s="108" t="str">
        <f t="shared" ref="GJ12" ca="1" si="453">IF(AND(NOT(ISBLANK(GI$1)), MOD(GI$1,$A$14)=0), -GJ$2*SUM(OFFSET(GI5,0,0,1,$A$14*4)), "")</f>
        <v/>
      </c>
      <c r="GK12" s="108" t="str">
        <f t="shared" ref="GK12" ca="1" si="454">IF(AND(NOT(ISBLANK(GJ$2)), MOD(GJ$2,$A$14)=0), -GK$1*SUM(OFFSET(GJ5,0,0,1,$A$14*4)), "")</f>
        <v/>
      </c>
      <c r="GL12" s="108" t="str">
        <f t="shared" ref="GL12" ca="1" si="455">IF(AND(NOT(ISBLANK(GK$1)), MOD(GK$1,$A$14)=0), -GL$1*SUM(OFFSET(GK5,0,0,1,$A$14*4)), "")</f>
        <v/>
      </c>
      <c r="GM12" s="120" t="str">
        <f t="shared" ref="GM12" ca="1" si="456">IF(GN12&lt;&gt;"", $A$14&amp;" meses de café", "")</f>
        <v>3 meses de café</v>
      </c>
      <c r="GN12" s="108">
        <f t="shared" ref="GN12" ca="1" si="457">IF(AND(NOT(ISBLANK(GM$1)), MOD(GM$1,$A$14)=0), -GN$2*SUM(OFFSET(GM5,0,0,1,$A$14*4)), "")</f>
        <v>-137285.18666277625</v>
      </c>
      <c r="GO12" s="108" t="str">
        <f t="shared" ref="GO12" ca="1" si="458">IF(AND(NOT(ISBLANK(GN$2)), MOD(GN$2,$A$14)=0), -GO$1*SUM(OFFSET(GN5,0,0,1,$A$14*4)), "")</f>
        <v/>
      </c>
      <c r="GP12" s="108" t="str">
        <f t="shared" ref="GP12" ca="1" si="459">IF(AND(NOT(ISBLANK(GO$1)), MOD(GO$1,$A$14)=0), -GP$1*SUM(OFFSET(GO5,0,0,1,$A$14*4)), "")</f>
        <v/>
      </c>
      <c r="GQ12" s="120" t="str">
        <f t="shared" ref="GQ12" ca="1" si="460">IF(GR12&lt;&gt;"", $A$14&amp;" meses de café", "")</f>
        <v/>
      </c>
      <c r="GR12" s="108" t="str">
        <f t="shared" ref="GR12" ca="1" si="461">IF(AND(NOT(ISBLANK(GQ$1)), MOD(GQ$1,$A$14)=0), -GR$2*SUM(OFFSET(GQ5,0,0,1,$A$14*4)), "")</f>
        <v/>
      </c>
      <c r="GS12" s="108" t="str">
        <f t="shared" ref="GS12" ca="1" si="462">IF(AND(NOT(ISBLANK(GR$2)), MOD(GR$2,$A$14)=0), -GS$1*SUM(OFFSET(GR5,0,0,1,$A$14*4)), "")</f>
        <v/>
      </c>
      <c r="GT12" s="108" t="str">
        <f t="shared" ref="GT12" ca="1" si="463">IF(AND(NOT(ISBLANK(GS$1)), MOD(GS$1,$A$14)=0), -GT$1*SUM(OFFSET(GS5,0,0,1,$A$14*4)), "")</f>
        <v/>
      </c>
      <c r="GU12" s="120" t="str">
        <f t="shared" ref="GU12" ca="1" si="464">IF(GV12&lt;&gt;"", $A$14&amp;" meses de café", "")</f>
        <v/>
      </c>
      <c r="GV12" s="108" t="str">
        <f t="shared" ref="GV12" ca="1" si="465">IF(AND(NOT(ISBLANK(GU$1)), MOD(GU$1,$A$14)=0), -GV$2*SUM(OFFSET(GU5,0,0,1,$A$14*4)), "")</f>
        <v/>
      </c>
      <c r="GW12" s="108" t="str">
        <f t="shared" ref="GW12" ca="1" si="466">IF(AND(NOT(ISBLANK(GV$2)), MOD(GV$2,$A$14)=0), -GW$1*SUM(OFFSET(GV5,0,0,1,$A$14*4)), "")</f>
        <v/>
      </c>
      <c r="GX12" s="108" t="str">
        <f t="shared" ref="GX12" ca="1" si="467">IF(AND(NOT(ISBLANK(GW$1)), MOD(GW$1,$A$14)=0), -GX$1*SUM(OFFSET(GW5,0,0,1,$A$14*4)), "")</f>
        <v/>
      </c>
      <c r="GY12" s="120" t="str">
        <f t="shared" ref="GY12" ca="1" si="468">IF(GZ12&lt;&gt;"", $A$14&amp;" meses de café", "")</f>
        <v>3 meses de café</v>
      </c>
      <c r="GZ12" s="108">
        <f t="shared" ref="GZ12" ca="1" si="469">IF(AND(NOT(ISBLANK(GY$1)), MOD(GY$1,$A$14)=0), -GZ$2*SUM(OFFSET(GY5,0,0,1,$A$14*4)), "")</f>
        <v>-128901.03418213807</v>
      </c>
      <c r="HA12" s="108" t="str">
        <f t="shared" ref="HA12" ca="1" si="470">IF(AND(NOT(ISBLANK(GZ$2)), MOD(GZ$2,$A$14)=0), -HA$1*SUM(OFFSET(GZ5,0,0,1,$A$14*4)), "")</f>
        <v/>
      </c>
      <c r="HB12" s="108" t="str">
        <f t="shared" ref="HB12" ca="1" si="471">IF(AND(NOT(ISBLANK(HA$1)), MOD(HA$1,$A$14)=0), -HB$1*SUM(OFFSET(HA5,0,0,1,$A$14*4)), "")</f>
        <v/>
      </c>
      <c r="HC12" s="120" t="str">
        <f t="shared" ref="HC12" ca="1" si="472">IF(HD12&lt;&gt;"", $A$14&amp;" meses de café", "")</f>
        <v/>
      </c>
      <c r="HD12" s="108" t="str">
        <f t="shared" ref="HD12" ca="1" si="473">IF(AND(NOT(ISBLANK(HC$1)), MOD(HC$1,$A$14)=0), -HD$2*SUM(OFFSET(HC5,0,0,1,$A$14*4)), "")</f>
        <v/>
      </c>
      <c r="HE12" s="108" t="str">
        <f t="shared" ref="HE12" ca="1" si="474">IF(AND(NOT(ISBLANK(HD$2)), MOD(HD$2,$A$14)=0), -HE$1*SUM(OFFSET(HD5,0,0,1,$A$14*4)), "")</f>
        <v/>
      </c>
      <c r="HF12" s="108" t="str">
        <f t="shared" ref="HF12" ca="1" si="475">IF(AND(NOT(ISBLANK(HE$1)), MOD(HE$1,$A$14)=0), -HF$1*SUM(OFFSET(HE5,0,0,1,$A$14*4)), "")</f>
        <v/>
      </c>
      <c r="HG12" s="120" t="str">
        <f t="shared" ref="HG12" ca="1" si="476">IF(HH12&lt;&gt;"", $A$14&amp;" meses de café", "")</f>
        <v/>
      </c>
      <c r="HH12" s="108" t="str">
        <f t="shared" ref="HH12" ca="1" si="477">IF(AND(NOT(ISBLANK(HG$1)), MOD(HG$1,$A$14)=0), -HH$2*SUM(OFFSET(HG5,0,0,1,$A$14*4)), "")</f>
        <v/>
      </c>
      <c r="HI12" s="108" t="str">
        <f t="shared" ref="HI12" ca="1" si="478">IF(AND(NOT(ISBLANK(HH$2)), MOD(HH$2,$A$14)=0), -HI$1*SUM(OFFSET(HH5,0,0,1,$A$14*4)), "")</f>
        <v/>
      </c>
      <c r="HJ12" s="108" t="str">
        <f t="shared" ref="HJ12" ca="1" si="479">IF(AND(NOT(ISBLANK(HI$1)), MOD(HI$1,$A$14)=0), -HJ$1*SUM(OFFSET(HI5,0,0,1,$A$14*4)), "")</f>
        <v/>
      </c>
      <c r="HK12" s="120" t="str">
        <f t="shared" ref="HK12" ca="1" si="480">IF(HL12&lt;&gt;"", $A$14&amp;" meses de café", "")</f>
        <v>3 meses de café</v>
      </c>
      <c r="HL12" s="108">
        <f t="shared" ref="HL12" ca="1" si="481">IF(AND(NOT(ISBLANK(HK$1)), MOD(HK$1,$A$14)=0), -HL$2*SUM(OFFSET(HK5,0,0,1,$A$14*4)), "")</f>
        <v>-128595.79601138202</v>
      </c>
      <c r="HM12" s="108" t="str">
        <f t="shared" ref="HM12" ca="1" si="482">IF(AND(NOT(ISBLANK(HL$2)), MOD(HL$2,$A$14)=0), -HM$1*SUM(OFFSET(HL5,0,0,1,$A$14*4)), "")</f>
        <v/>
      </c>
      <c r="HN12" s="108" t="str">
        <f t="shared" ref="HN12" ca="1" si="483">IF(AND(NOT(ISBLANK(HM$1)), MOD(HM$1,$A$14)=0), -HN$1*SUM(OFFSET(HM5,0,0,1,$A$14*4)), "")</f>
        <v/>
      </c>
      <c r="HO12" s="120" t="str">
        <f t="shared" ref="HO12" ca="1" si="484">IF(HP12&lt;&gt;"", $A$14&amp;" meses de café", "")</f>
        <v/>
      </c>
      <c r="HP12" s="108" t="str">
        <f t="shared" ref="HP12" ca="1" si="485">IF(AND(NOT(ISBLANK(HO$1)), MOD(HO$1,$A$14)=0), -HP$2*SUM(OFFSET(HO5,0,0,1,$A$14*4)), "")</f>
        <v/>
      </c>
      <c r="HQ12" s="108" t="str">
        <f t="shared" ref="HQ12" ca="1" si="486">IF(AND(NOT(ISBLANK(HP$2)), MOD(HP$2,$A$14)=0), -HQ$1*SUM(OFFSET(HP5,0,0,1,$A$14*4)), "")</f>
        <v/>
      </c>
      <c r="HR12" s="108" t="str">
        <f t="shared" ref="HR12" ca="1" si="487">IF(AND(NOT(ISBLANK(HQ$1)), MOD(HQ$1,$A$14)=0), -HR$1*SUM(OFFSET(HQ5,0,0,1,$A$14*4)), "")</f>
        <v/>
      </c>
      <c r="HS12" s="120" t="str">
        <f t="shared" ref="HS12" ca="1" si="488">IF(HT12&lt;&gt;"", $A$14&amp;" meses de café", "")</f>
        <v/>
      </c>
      <c r="HT12" s="108" t="str">
        <f t="shared" ref="HT12" ca="1" si="489">IF(AND(NOT(ISBLANK(HS$1)), MOD(HS$1,$A$14)=0), -HT$2*SUM(OFFSET(HS5,0,0,1,$A$14*4)), "")</f>
        <v/>
      </c>
      <c r="HU12" s="108" t="str">
        <f t="shared" ref="HU12" ca="1" si="490">IF(AND(NOT(ISBLANK(HT$2)), MOD(HT$2,$A$14)=0), -HU$1*SUM(OFFSET(HT5,0,0,1,$A$14*4)), "")</f>
        <v/>
      </c>
      <c r="HV12" s="108" t="str">
        <f t="shared" ref="HV12" ca="1" si="491">IF(AND(NOT(ISBLANK(HU$1)), MOD(HU$1,$A$14)=0), -HV$1*SUM(OFFSET(HU5,0,0,1,$A$14*4)), "")</f>
        <v/>
      </c>
      <c r="HW12" s="120" t="str">
        <f t="shared" ref="HW12" ca="1" si="492">IF(HX12&lt;&gt;"", $A$14&amp;" meses de café", "")</f>
        <v>3 meses de café</v>
      </c>
      <c r="HX12" s="108">
        <f t="shared" ref="HX12" ca="1" si="493">IF(AND(NOT(ISBLANK(HW$1)), MOD(HW$1,$A$14)=0), -HX$2*SUM(OFFSET(HW5,0,0,1,$A$14*4)), "")</f>
        <v>-124474.1519058157</v>
      </c>
      <c r="HY12" s="108" t="str">
        <f t="shared" ref="HY12" ca="1" si="494">IF(AND(NOT(ISBLANK(HX$2)), MOD(HX$2,$A$14)=0), -HY$1*SUM(OFFSET(HX5,0,0,1,$A$14*4)), "")</f>
        <v/>
      </c>
      <c r="HZ12" s="108" t="str">
        <f t="shared" ref="HZ12" ca="1" si="495">IF(AND(NOT(ISBLANK(HY$1)), MOD(HY$1,$A$14)=0), -HZ$1*SUM(OFFSET(HY5,0,0,1,$A$14*4)), "")</f>
        <v/>
      </c>
      <c r="IA12" s="120" t="str">
        <f t="shared" ref="IA12" ca="1" si="496">IF(IB12&lt;&gt;"", $A$14&amp;" meses de café", "")</f>
        <v/>
      </c>
      <c r="IB12" s="108" t="str">
        <f t="shared" ref="IB12" ca="1" si="497">IF(AND(NOT(ISBLANK(IA$1)), MOD(IA$1,$A$14)=0), -IB$2*SUM(OFFSET(IA5,0,0,1,$A$14*4)), "")</f>
        <v/>
      </c>
      <c r="IC12" s="108" t="str">
        <f t="shared" ref="IC12" ca="1" si="498">IF(AND(NOT(ISBLANK(IB$2)), MOD(IB$2,$A$14)=0), -IC$1*SUM(OFFSET(IB5,0,0,1,$A$14*4)), "")</f>
        <v/>
      </c>
      <c r="ID12" s="108" t="str">
        <f t="shared" ref="ID12" ca="1" si="499">IF(AND(NOT(ISBLANK(IC$1)), MOD(IC$1,$A$14)=0), -ID$1*SUM(OFFSET(IC5,0,0,1,$A$14*4)), "")</f>
        <v/>
      </c>
      <c r="IE12" s="120" t="str">
        <f t="shared" ref="IE12" ca="1" si="500">IF(IF12&lt;&gt;"", $A$14&amp;" meses de café", "")</f>
        <v/>
      </c>
      <c r="IF12" s="108" t="str">
        <f t="shared" ref="IF12" ca="1" si="501">IF(AND(NOT(ISBLANK(IE$1)), MOD(IE$1,$A$14)=0), -IF$2*SUM(OFFSET(IE5,0,0,1,$A$14*4)), "")</f>
        <v/>
      </c>
      <c r="IG12" s="108" t="str">
        <f t="shared" ref="IG12" ca="1" si="502">IF(AND(NOT(ISBLANK(IF$2)), MOD(IF$2,$A$14)=0), -IG$1*SUM(OFFSET(IF5,0,0,1,$A$14*4)), "")</f>
        <v/>
      </c>
      <c r="IH12" s="108" t="str">
        <f t="shared" ref="IH12" ca="1" si="503">IF(AND(NOT(ISBLANK(IG$1)), MOD(IG$1,$A$14)=0), -IH$1*SUM(OFFSET(IG5,0,0,1,$A$14*4)), "")</f>
        <v/>
      </c>
      <c r="II12" s="120" t="str">
        <f t="shared" ref="II12" ca="1" si="504">IF(IJ12&lt;&gt;"", $A$14&amp;" meses de café", "")</f>
        <v>3 meses de café</v>
      </c>
      <c r="IJ12" s="108">
        <f t="shared" ref="IJ12" ca="1" si="505">IF(AND(NOT(ISBLANK(II$1)), MOD(II$1,$A$14)=0), -IJ$2*SUM(OFFSET(II5,0,0,1,$A$14*4)), "")</f>
        <v>-119515.31420385302</v>
      </c>
      <c r="IK12" s="108" t="str">
        <f t="shared" ref="IK12" ca="1" si="506">IF(AND(NOT(ISBLANK(IJ$2)), MOD(IJ$2,$A$14)=0), -IK$1*SUM(OFFSET(IJ5,0,0,1,$A$14*4)), "")</f>
        <v/>
      </c>
      <c r="IL12" s="108" t="str">
        <f t="shared" ref="IL12" ca="1" si="507">IF(AND(NOT(ISBLANK(IK$1)), MOD(IK$1,$A$14)=0), -IL$1*SUM(OFFSET(IK5,0,0,1,$A$14*4)), "")</f>
        <v/>
      </c>
      <c r="IM12" s="120" t="str">
        <f t="shared" ref="IM12" ca="1" si="508">IF(IN12&lt;&gt;"", $A$14&amp;" meses de café", "")</f>
        <v/>
      </c>
      <c r="IN12" s="108" t="str">
        <f t="shared" ref="IN12" ca="1" si="509">IF(AND(NOT(ISBLANK(IM$1)), MOD(IM$1,$A$14)=0), -IN$2*SUM(OFFSET(IM5,0,0,1,$A$14*4)), "")</f>
        <v/>
      </c>
      <c r="IO12" s="108" t="str">
        <f t="shared" ref="IO12" ca="1" si="510">IF(AND(NOT(ISBLANK(IN$2)), MOD(IN$2,$A$14)=0), -IO$1*SUM(OFFSET(IN5,0,0,1,$A$14*4)), "")</f>
        <v/>
      </c>
      <c r="IP12" s="108" t="str">
        <f t="shared" ref="IP12" ca="1" si="511">IF(AND(NOT(ISBLANK(IO$1)), MOD(IO$1,$A$14)=0), -IP$1*SUM(OFFSET(IO5,0,0,1,$A$14*4)), "")</f>
        <v/>
      </c>
      <c r="IQ12" s="120" t="str">
        <f t="shared" ref="IQ12" ca="1" si="512">IF(IR12&lt;&gt;"", $A$14&amp;" meses de café", "")</f>
        <v/>
      </c>
      <c r="IR12" s="108" t="str">
        <f t="shared" ref="IR12" ca="1" si="513">IF(AND(NOT(ISBLANK(IQ$1)), MOD(IQ$1,$A$14)=0), -IR$2*SUM(OFFSET(IQ5,0,0,1,$A$14*4)), "")</f>
        <v/>
      </c>
      <c r="IS12" s="108" t="str">
        <f t="shared" ref="IS12" ca="1" si="514">IF(AND(NOT(ISBLANK(IR$2)), MOD(IR$2,$A$14)=0), -IS$1*SUM(OFFSET(IR5,0,0,1,$A$14*4)), "")</f>
        <v/>
      </c>
      <c r="IT12" s="108" t="str">
        <f t="shared" ref="IT12" ca="1" si="515">IF(AND(NOT(ISBLANK(IS$1)), MOD(IS$1,$A$14)=0), -IT$1*SUM(OFFSET(IS5,0,0,1,$A$14*4)), "")</f>
        <v/>
      </c>
      <c r="IU12" s="120" t="str">
        <f t="shared" ref="IU12" ca="1" si="516">IF(IV12&lt;&gt;"", $A$14&amp;" meses de café", "")</f>
        <v>3 meses de café</v>
      </c>
      <c r="IV12" s="108">
        <f t="shared" ref="IV12" ca="1" si="517">IF(AND(NOT(ISBLANK(IU$1)), MOD(IU$1,$A$14)=0), -IV$2*SUM(OFFSET(IU5,0,0,1,$A$14*4)), "")</f>
        <v>-151929.94402090029</v>
      </c>
      <c r="IW12" s="108" t="str">
        <f t="shared" ref="IW12" ca="1" si="518">IF(AND(NOT(ISBLANK(IV$2)), MOD(IV$2,$A$14)=0), -IW$1*SUM(OFFSET(IV5,0,0,1,$A$14*4)), "")</f>
        <v/>
      </c>
      <c r="IX12" s="108" t="str">
        <f t="shared" ref="IX12" ca="1" si="519">IF(AND(NOT(ISBLANK(IW$1)), MOD(IW$1,$A$14)=0), -IX$1*SUM(OFFSET(IW5,0,0,1,$A$14*4)), "")</f>
        <v/>
      </c>
      <c r="IY12" s="120" t="str">
        <f t="shared" ref="IY12" ca="1" si="520">IF(IZ12&lt;&gt;"", $A$14&amp;" meses de café", "")</f>
        <v/>
      </c>
      <c r="IZ12" s="108" t="str">
        <f t="shared" ref="IZ12" ca="1" si="521">IF(AND(NOT(ISBLANK(IY$1)), MOD(IY$1,$A$14)=0), -IZ$2*SUM(OFFSET(IY5,0,0,1,$A$14*4)), "")</f>
        <v/>
      </c>
      <c r="JA12" s="108" t="str">
        <f t="shared" ref="JA12" ca="1" si="522">IF(AND(NOT(ISBLANK(IZ$2)), MOD(IZ$2,$A$14)=0), -JA$1*SUM(OFFSET(IZ5,0,0,1,$A$14*4)), "")</f>
        <v/>
      </c>
      <c r="JB12" s="108" t="str">
        <f t="shared" ref="JB12" ca="1" si="523">IF(AND(NOT(ISBLANK(JA$1)), MOD(JA$1,$A$14)=0), -JB$1*SUM(OFFSET(JA5,0,0,1,$A$14*4)), "")</f>
        <v/>
      </c>
      <c r="JC12" s="120" t="str">
        <f t="shared" ref="JC12" ca="1" si="524">IF(JD12&lt;&gt;"", $A$14&amp;" meses de café", "")</f>
        <v/>
      </c>
      <c r="JD12" s="108" t="str">
        <f t="shared" ref="JD12" ca="1" si="525">IF(AND(NOT(ISBLANK(JC$1)), MOD(JC$1,$A$14)=0), -JD$2*SUM(OFFSET(JC5,0,0,1,$A$14*4)), "")</f>
        <v/>
      </c>
      <c r="JE12" s="108" t="str">
        <f t="shared" ref="JE12" ca="1" si="526">IF(AND(NOT(ISBLANK(JD$2)), MOD(JD$2,$A$14)=0), -JE$1*SUM(OFFSET(JD5,0,0,1,$A$14*4)), "")</f>
        <v/>
      </c>
      <c r="JF12" s="108" t="str">
        <f t="shared" ref="JF12" ca="1" si="527">IF(AND(NOT(ISBLANK(JE$1)), MOD(JE$1,$A$14)=0), -JF$1*SUM(OFFSET(JE5,0,0,1,$A$14*4)), "")</f>
        <v/>
      </c>
      <c r="JG12" s="120" t="str">
        <f t="shared" ref="JG12" ca="1" si="528">IF(JH12&lt;&gt;"", $A$14&amp;" meses de café", "")</f>
        <v>3 meses de café</v>
      </c>
      <c r="JH12" s="108">
        <f t="shared" ref="JH12" ca="1" si="529">IF(AND(NOT(ISBLANK(JG$1)), MOD(JG$1,$A$14)=0), -JH$2*SUM(OFFSET(JG5,0,0,1,$A$14*4)), "")</f>
        <v>-158804.5183616014</v>
      </c>
      <c r="JI12" s="108" t="str">
        <f t="shared" ref="JI12" ca="1" si="530">IF(AND(NOT(ISBLANK(JH$2)), MOD(JH$2,$A$14)=0), -JI$1*SUM(OFFSET(JH5,0,0,1,$A$14*4)), "")</f>
        <v/>
      </c>
      <c r="JJ12" s="108" t="str">
        <f t="shared" ref="JJ12" ca="1" si="531">IF(AND(NOT(ISBLANK(JI$1)), MOD(JI$1,$A$14)=0), -JJ$1*SUM(OFFSET(JI5,0,0,1,$A$14*4)), "")</f>
        <v/>
      </c>
      <c r="JK12" s="120" t="str">
        <f t="shared" ref="JK12" ca="1" si="532">IF(JL12&lt;&gt;"", $A$14&amp;" meses de café", "")</f>
        <v/>
      </c>
      <c r="JL12" s="108" t="str">
        <f t="shared" ref="JL12" ca="1" si="533">IF(AND(NOT(ISBLANK(JK$1)), MOD(JK$1,$A$14)=0), -JL$2*SUM(OFFSET(JK5,0,0,1,$A$14*4)), "")</f>
        <v/>
      </c>
      <c r="JM12" s="108" t="str">
        <f t="shared" ref="JM12" ca="1" si="534">IF(AND(NOT(ISBLANK(JL$2)), MOD(JL$2,$A$14)=0), -JM$1*SUM(OFFSET(JL5,0,0,1,$A$14*4)), "")</f>
        <v/>
      </c>
      <c r="JN12" s="108" t="str">
        <f t="shared" ref="JN12" ca="1" si="535">IF(AND(NOT(ISBLANK(JM$1)), MOD(JM$1,$A$14)=0), -JN$1*SUM(OFFSET(JM5,0,0,1,$A$14*4)), "")</f>
        <v/>
      </c>
      <c r="JO12" s="120" t="str">
        <f t="shared" ref="JO12" ca="1" si="536">IF(JP12&lt;&gt;"", $A$14&amp;" meses de café", "")</f>
        <v/>
      </c>
      <c r="JP12" s="108" t="str">
        <f t="shared" ref="JP12" ca="1" si="537">IF(AND(NOT(ISBLANK(JO$1)), MOD(JO$1,$A$14)=0), -JP$2*SUM(OFFSET(JO5,0,0,1,$A$14*4)), "")</f>
        <v/>
      </c>
      <c r="JQ12" s="108" t="str">
        <f t="shared" ref="JQ12" ca="1" si="538">IF(AND(NOT(ISBLANK(JP$2)), MOD(JP$2,$A$14)=0), -JQ$1*SUM(OFFSET(JP5,0,0,1,$A$14*4)), "")</f>
        <v/>
      </c>
      <c r="JR12" s="108" t="str">
        <f t="shared" ref="JR12" ca="1" si="539">IF(AND(NOT(ISBLANK(JQ$1)), MOD(JQ$1,$A$14)=0), -JR$1*SUM(OFFSET(JQ5,0,0,1,$A$14*4)), "")</f>
        <v/>
      </c>
      <c r="JS12" s="120" t="str">
        <f t="shared" ref="JS12" ca="1" si="540">IF(JT12&lt;&gt;"", $A$14&amp;" meses de café", "")</f>
        <v>3 meses de café</v>
      </c>
      <c r="JT12" s="108">
        <f t="shared" ref="JT12" ca="1" si="541">IF(AND(NOT(ISBLANK(JS$1)), MOD(JS$1,$A$14)=0), -JT$2*SUM(OFFSET(JS5,0,0,1,$A$14*4)), "")</f>
        <v>-190066.13895130894</v>
      </c>
      <c r="JU12" s="108" t="str">
        <f t="shared" ref="JU12" ca="1" si="542">IF(AND(NOT(ISBLANK(JT$2)), MOD(JT$2,$A$14)=0), -JU$1*SUM(OFFSET(JT5,0,0,1,$A$14*4)), "")</f>
        <v/>
      </c>
      <c r="JV12" s="108" t="str">
        <f t="shared" ref="JV12" ca="1" si="543">IF(AND(NOT(ISBLANK(JU$1)), MOD(JU$1,$A$14)=0), -JV$1*SUM(OFFSET(JU5,0,0,1,$A$14*4)), "")</f>
        <v/>
      </c>
      <c r="JW12" s="120" t="str">
        <f t="shared" ref="JW12" ca="1" si="544">IF(JX12&lt;&gt;"", $A$14&amp;" meses de café", "")</f>
        <v/>
      </c>
      <c r="JX12" s="108" t="str">
        <f t="shared" ref="JX12" ca="1" si="545">IF(AND(NOT(ISBLANK(JW$1)), MOD(JW$1,$A$14)=0), -JX$2*SUM(OFFSET(JW5,0,0,1,$A$14*4)), "")</f>
        <v/>
      </c>
      <c r="JY12" s="108" t="str">
        <f t="shared" ref="JY12" ca="1" si="546">IF(AND(NOT(ISBLANK(JX$2)), MOD(JX$2,$A$14)=0), -JY$1*SUM(OFFSET(JX5,0,0,1,$A$14*4)), "")</f>
        <v/>
      </c>
      <c r="JZ12" s="108" t="str">
        <f t="shared" ref="JZ12" ca="1" si="547">IF(AND(NOT(ISBLANK(JY$1)), MOD(JY$1,$A$14)=0), -JZ$1*SUM(OFFSET(JY5,0,0,1,$A$14*4)), "")</f>
        <v/>
      </c>
      <c r="KA12" s="120" t="str">
        <f t="shared" ref="KA12" ca="1" si="548">IF(KB12&lt;&gt;"", $A$14&amp;" meses de café", "")</f>
        <v/>
      </c>
      <c r="KB12" s="108" t="str">
        <f t="shared" ref="KB12" ca="1" si="549">IF(AND(NOT(ISBLANK(KA$1)), MOD(KA$1,$A$14)=0), -KB$2*SUM(OFFSET(KA5,0,0,1,$A$14*4)), "")</f>
        <v/>
      </c>
      <c r="KC12" s="108" t="str">
        <f t="shared" ref="KC12" ca="1" si="550">IF(AND(NOT(ISBLANK(KB$2)), MOD(KB$2,$A$14)=0), -KC$1*SUM(OFFSET(KB5,0,0,1,$A$14*4)), "")</f>
        <v/>
      </c>
    </row>
    <row r="13" spans="1:289" outlineLevel="1" x14ac:dyDescent="0.25">
      <c r="A13" s="106" t="s">
        <v>315</v>
      </c>
      <c r="C13" s="104" t="s">
        <v>191</v>
      </c>
      <c r="D13" s="105">
        <f>-'Investimento Inicial'!$B$7</f>
        <v>-3000</v>
      </c>
      <c r="E13" s="63"/>
      <c r="F13" s="63"/>
      <c r="G13" s="104" t="s">
        <v>191</v>
      </c>
      <c r="H13" s="105">
        <f>-'Investimento Inicial'!$B$7</f>
        <v>-3000</v>
      </c>
      <c r="I13" s="63"/>
      <c r="J13" s="63"/>
      <c r="K13" s="104" t="s">
        <v>191</v>
      </c>
      <c r="L13" s="105">
        <f>-'Investimento Inicial'!$B$7</f>
        <v>-3000</v>
      </c>
      <c r="M13" s="63"/>
      <c r="N13" s="63"/>
      <c r="O13" s="104" t="s">
        <v>191</v>
      </c>
      <c r="P13" s="105">
        <f>-'Investimento Inicial'!$B$7</f>
        <v>-3000</v>
      </c>
      <c r="Q13" s="63"/>
      <c r="R13" s="63"/>
      <c r="S13" s="104" t="s">
        <v>191</v>
      </c>
      <c r="T13" s="105">
        <f>-'Investimento Inicial'!$B$7</f>
        <v>-3000</v>
      </c>
      <c r="U13" s="63"/>
      <c r="V13" s="63"/>
      <c r="W13" s="104" t="s">
        <v>191</v>
      </c>
      <c r="X13" s="105">
        <f>-'Investimento Inicial'!$B$7</f>
        <v>-3000</v>
      </c>
      <c r="Y13" s="63"/>
      <c r="Z13" s="63"/>
      <c r="AA13" s="104" t="s">
        <v>191</v>
      </c>
      <c r="AB13" s="105">
        <f>-'Investimento Inicial'!$B$7</f>
        <v>-3000</v>
      </c>
      <c r="AC13" s="63"/>
      <c r="AD13" s="63"/>
      <c r="AE13" s="104" t="s">
        <v>191</v>
      </c>
      <c r="AF13" s="105">
        <f>-'Investimento Inicial'!$B$7</f>
        <v>-3000</v>
      </c>
      <c r="AG13" s="63"/>
      <c r="AH13" s="63"/>
      <c r="AI13" s="104" t="s">
        <v>191</v>
      </c>
      <c r="AJ13" s="105">
        <f>-'Investimento Inicial'!$B$7</f>
        <v>-3000</v>
      </c>
      <c r="AK13" s="63"/>
      <c r="AL13" s="63"/>
      <c r="AM13" s="104" t="s">
        <v>191</v>
      </c>
      <c r="AN13" s="105">
        <f>-'Investimento Inicial'!$B$7</f>
        <v>-3000</v>
      </c>
      <c r="AO13" s="63"/>
      <c r="AP13" s="63"/>
      <c r="AQ13" s="104" t="s">
        <v>191</v>
      </c>
      <c r="AR13" s="105">
        <f>-'Investimento Inicial'!$B$7</f>
        <v>-3000</v>
      </c>
      <c r="AS13" s="63"/>
      <c r="AT13" s="63"/>
      <c r="AU13" s="104" t="s">
        <v>191</v>
      </c>
      <c r="AV13" s="105">
        <f>-'Investimento Inicial'!$B$7</f>
        <v>-3000</v>
      </c>
      <c r="AW13" s="63"/>
      <c r="AX13" s="63"/>
      <c r="AY13" s="104" t="s">
        <v>191</v>
      </c>
      <c r="AZ13" s="105">
        <f>-'Investimento Inicial'!$B$7</f>
        <v>-3000</v>
      </c>
      <c r="BA13" s="63"/>
      <c r="BB13" s="63"/>
      <c r="BC13" s="104" t="s">
        <v>191</v>
      </c>
      <c r="BD13" s="105">
        <f>-'Investimento Inicial'!$B$7</f>
        <v>-3000</v>
      </c>
      <c r="BE13" s="63"/>
      <c r="BF13" s="63"/>
      <c r="BG13" s="104" t="s">
        <v>191</v>
      </c>
      <c r="BH13" s="105">
        <f>-'Investimento Inicial'!$B$7</f>
        <v>-3000</v>
      </c>
      <c r="BI13" s="63"/>
      <c r="BJ13" s="63"/>
      <c r="BK13" s="104" t="s">
        <v>191</v>
      </c>
      <c r="BL13" s="105">
        <f>-'Investimento Inicial'!$B$7</f>
        <v>-3000</v>
      </c>
      <c r="BM13" s="63"/>
      <c r="BN13" s="63"/>
      <c r="BO13" s="104" t="s">
        <v>191</v>
      </c>
      <c r="BP13" s="105">
        <f>-'Investimento Inicial'!$B$7</f>
        <v>-3000</v>
      </c>
      <c r="BQ13" s="63"/>
      <c r="BR13" s="63"/>
      <c r="BS13" s="104" t="s">
        <v>191</v>
      </c>
      <c r="BT13" s="105">
        <f>-'Investimento Inicial'!$B$7</f>
        <v>-3000</v>
      </c>
      <c r="BU13" s="63"/>
      <c r="BV13" s="63"/>
      <c r="BW13" s="104" t="s">
        <v>191</v>
      </c>
      <c r="BX13" s="105">
        <f>-'Investimento Inicial'!$B$7</f>
        <v>-3000</v>
      </c>
      <c r="BY13" s="63"/>
      <c r="BZ13" s="63"/>
      <c r="CA13" s="104" t="s">
        <v>191</v>
      </c>
      <c r="CB13" s="105">
        <f>-'Investimento Inicial'!$B$7</f>
        <v>-3000</v>
      </c>
      <c r="CC13" s="63"/>
      <c r="CD13" s="63"/>
      <c r="CE13" s="104" t="s">
        <v>191</v>
      </c>
      <c r="CF13" s="105">
        <f>-'Investimento Inicial'!$B$7</f>
        <v>-3000</v>
      </c>
      <c r="CG13" s="63"/>
      <c r="CH13" s="63"/>
      <c r="CI13" s="104" t="s">
        <v>191</v>
      </c>
      <c r="CJ13" s="105">
        <f>-'Investimento Inicial'!$B$7</f>
        <v>-3000</v>
      </c>
      <c r="CK13" s="63"/>
      <c r="CL13" s="63"/>
      <c r="CM13" s="104" t="s">
        <v>191</v>
      </c>
      <c r="CN13" s="105">
        <f>-'Investimento Inicial'!$B$7</f>
        <v>-3000</v>
      </c>
      <c r="CO13" s="63"/>
      <c r="CP13" s="63"/>
      <c r="CQ13" s="104" t="s">
        <v>191</v>
      </c>
      <c r="CR13" s="105">
        <f>-'Investimento Inicial'!$B$7</f>
        <v>-3000</v>
      </c>
      <c r="CS13" s="63"/>
      <c r="CT13" s="63"/>
      <c r="CU13" s="104" t="s">
        <v>191</v>
      </c>
      <c r="CV13" s="105">
        <f>-'Investimento Inicial'!$B$7</f>
        <v>-3000</v>
      </c>
      <c r="CW13" s="63"/>
      <c r="CX13" s="63"/>
      <c r="CY13" s="104" t="s">
        <v>191</v>
      </c>
      <c r="CZ13" s="105">
        <f>-'Investimento Inicial'!$B$7</f>
        <v>-3000</v>
      </c>
      <c r="DA13" s="63"/>
      <c r="DB13" s="63"/>
      <c r="DC13" s="104" t="s">
        <v>191</v>
      </c>
      <c r="DD13" s="105">
        <f>-'Investimento Inicial'!$B$7</f>
        <v>-3000</v>
      </c>
      <c r="DE13" s="63"/>
      <c r="DF13" s="63"/>
      <c r="DG13" s="104" t="s">
        <v>191</v>
      </c>
      <c r="DH13" s="105">
        <f>-'Investimento Inicial'!$B$7</f>
        <v>-3000</v>
      </c>
      <c r="DI13" s="63"/>
      <c r="DJ13" s="63"/>
      <c r="DK13" s="104" t="s">
        <v>191</v>
      </c>
      <c r="DL13" s="105">
        <f>-'Investimento Inicial'!$B$7</f>
        <v>-3000</v>
      </c>
      <c r="DM13" s="63"/>
      <c r="DN13" s="63"/>
      <c r="DO13" s="104" t="s">
        <v>191</v>
      </c>
      <c r="DP13" s="105">
        <f>-'Investimento Inicial'!$B$7</f>
        <v>-3000</v>
      </c>
      <c r="DQ13" s="63"/>
      <c r="DR13" s="63"/>
      <c r="DS13" s="104" t="s">
        <v>191</v>
      </c>
      <c r="DT13" s="105">
        <f>-'Investimento Inicial'!$B$7</f>
        <v>-3000</v>
      </c>
      <c r="DU13" s="63"/>
      <c r="DV13" s="63"/>
      <c r="DW13" s="104" t="s">
        <v>191</v>
      </c>
      <c r="DX13" s="105">
        <f>-'Investimento Inicial'!$B$7</f>
        <v>-3000</v>
      </c>
      <c r="DY13" s="63"/>
      <c r="DZ13" s="63"/>
      <c r="EA13" s="104" t="s">
        <v>191</v>
      </c>
      <c r="EB13" s="105">
        <f>-'Investimento Inicial'!$B$7</f>
        <v>-3000</v>
      </c>
      <c r="EC13" s="63"/>
      <c r="ED13" s="63"/>
      <c r="EE13" s="104" t="s">
        <v>191</v>
      </c>
      <c r="EF13" s="105">
        <f>-'Investimento Inicial'!$B$7</f>
        <v>-3000</v>
      </c>
      <c r="EG13" s="63"/>
      <c r="EH13" s="63"/>
      <c r="EI13" s="104" t="s">
        <v>191</v>
      </c>
      <c r="EJ13" s="105">
        <f>-'Investimento Inicial'!$B$7</f>
        <v>-3000</v>
      </c>
      <c r="EK13" s="63"/>
      <c r="EL13" s="63"/>
      <c r="EM13" s="104" t="s">
        <v>191</v>
      </c>
      <c r="EN13" s="105">
        <f>-'Investimento Inicial'!$B$7</f>
        <v>-3000</v>
      </c>
      <c r="EO13" s="63"/>
      <c r="EP13" s="63"/>
      <c r="EQ13" s="104" t="s">
        <v>191</v>
      </c>
      <c r="ER13" s="105">
        <f>-'Investimento Inicial'!$B$7</f>
        <v>-3000</v>
      </c>
      <c r="ES13" s="63"/>
      <c r="ET13" s="63"/>
      <c r="EU13" s="104" t="s">
        <v>191</v>
      </c>
      <c r="EV13" s="105">
        <f>-'Investimento Inicial'!$B$7</f>
        <v>-3000</v>
      </c>
      <c r="EW13" s="63"/>
      <c r="EX13" s="63"/>
      <c r="EY13" s="104" t="s">
        <v>191</v>
      </c>
      <c r="EZ13" s="105">
        <f>-'Investimento Inicial'!$B$7</f>
        <v>-3000</v>
      </c>
      <c r="FA13" s="63"/>
      <c r="FB13" s="63"/>
      <c r="FC13" s="104" t="s">
        <v>191</v>
      </c>
      <c r="FD13" s="105">
        <f>-'Investimento Inicial'!$B$7</f>
        <v>-3000</v>
      </c>
      <c r="FE13" s="63"/>
      <c r="FF13" s="63"/>
      <c r="FG13" s="104" t="s">
        <v>191</v>
      </c>
      <c r="FH13" s="105">
        <f>-'Investimento Inicial'!$B$7</f>
        <v>-3000</v>
      </c>
      <c r="FI13" s="63"/>
      <c r="FJ13" s="63"/>
      <c r="FK13" s="104" t="s">
        <v>191</v>
      </c>
      <c r="FL13" s="105">
        <f>-'Investimento Inicial'!$B$7</f>
        <v>-3000</v>
      </c>
      <c r="FM13" s="63"/>
      <c r="FN13" s="63"/>
      <c r="FO13" s="104" t="s">
        <v>191</v>
      </c>
      <c r="FP13" s="105">
        <f>-'Investimento Inicial'!$B$7</f>
        <v>-3000</v>
      </c>
      <c r="FQ13" s="63"/>
      <c r="FR13" s="63"/>
      <c r="FS13" s="104" t="s">
        <v>191</v>
      </c>
      <c r="FT13" s="105">
        <f>-'Investimento Inicial'!$B$7</f>
        <v>-3000</v>
      </c>
      <c r="FU13" s="63"/>
      <c r="FV13" s="63"/>
      <c r="FW13" s="104" t="s">
        <v>191</v>
      </c>
      <c r="FX13" s="105">
        <f>-'Investimento Inicial'!$B$7</f>
        <v>-3000</v>
      </c>
      <c r="FY13" s="63"/>
      <c r="FZ13" s="63"/>
      <c r="GA13" s="104" t="s">
        <v>191</v>
      </c>
      <c r="GB13" s="105">
        <f>-'Investimento Inicial'!$B$7</f>
        <v>-3000</v>
      </c>
      <c r="GC13" s="63"/>
      <c r="GD13" s="63"/>
      <c r="GE13" s="104" t="s">
        <v>191</v>
      </c>
      <c r="GF13" s="105">
        <f>-'Investimento Inicial'!$B$7</f>
        <v>-3000</v>
      </c>
      <c r="GG13" s="63"/>
      <c r="GH13" s="63"/>
      <c r="GI13" s="104" t="s">
        <v>191</v>
      </c>
      <c r="GJ13" s="105">
        <f>-'Investimento Inicial'!$B$7</f>
        <v>-3000</v>
      </c>
      <c r="GK13" s="63"/>
      <c r="GL13" s="63"/>
      <c r="GM13" s="104" t="s">
        <v>191</v>
      </c>
      <c r="GN13" s="105">
        <f>-'Investimento Inicial'!$B$7</f>
        <v>-3000</v>
      </c>
      <c r="GO13" s="63"/>
      <c r="GP13" s="63"/>
      <c r="GQ13" s="104" t="s">
        <v>191</v>
      </c>
      <c r="GR13" s="105">
        <f>-'Investimento Inicial'!$B$7</f>
        <v>-3000</v>
      </c>
      <c r="GS13" s="63"/>
      <c r="GT13" s="63"/>
      <c r="GU13" s="104" t="s">
        <v>191</v>
      </c>
      <c r="GV13" s="105">
        <f>-'Investimento Inicial'!$B$7</f>
        <v>-3000</v>
      </c>
      <c r="GW13" s="63"/>
      <c r="GX13" s="63"/>
      <c r="GY13" s="104" t="s">
        <v>191</v>
      </c>
      <c r="GZ13" s="105">
        <f>-'Investimento Inicial'!$B$7</f>
        <v>-3000</v>
      </c>
      <c r="HA13" s="63"/>
      <c r="HB13" s="63"/>
      <c r="HC13" s="104" t="s">
        <v>191</v>
      </c>
      <c r="HD13" s="105">
        <f>-'Investimento Inicial'!$B$7</f>
        <v>-3000</v>
      </c>
      <c r="HE13" s="63"/>
      <c r="HF13" s="63"/>
      <c r="HG13" s="104" t="s">
        <v>191</v>
      </c>
      <c r="HH13" s="105">
        <f>-'Investimento Inicial'!$B$7</f>
        <v>-3000</v>
      </c>
      <c r="HI13" s="63"/>
      <c r="HJ13" s="63"/>
      <c r="HK13" s="104" t="s">
        <v>191</v>
      </c>
      <c r="HL13" s="105">
        <f>-'Investimento Inicial'!$B$7</f>
        <v>-3000</v>
      </c>
      <c r="HM13" s="63"/>
      <c r="HN13" s="63"/>
      <c r="HO13" s="104" t="s">
        <v>191</v>
      </c>
      <c r="HP13" s="105">
        <f>-'Investimento Inicial'!$B$7</f>
        <v>-3000</v>
      </c>
      <c r="HQ13" s="63"/>
      <c r="HR13" s="63"/>
      <c r="HS13" s="104" t="s">
        <v>191</v>
      </c>
      <c r="HT13" s="105">
        <f>-'Investimento Inicial'!$B$7</f>
        <v>-3000</v>
      </c>
      <c r="HU13" s="63"/>
      <c r="HV13" s="63"/>
      <c r="HW13" s="104" t="s">
        <v>191</v>
      </c>
      <c r="HX13" s="105">
        <f>-'Investimento Inicial'!$B$7</f>
        <v>-3000</v>
      </c>
      <c r="HY13" s="63"/>
      <c r="HZ13" s="63"/>
      <c r="IA13" s="104" t="s">
        <v>191</v>
      </c>
      <c r="IB13" s="105">
        <f>-'Investimento Inicial'!$B$7</f>
        <v>-3000</v>
      </c>
      <c r="IC13" s="63"/>
      <c r="ID13" s="63"/>
      <c r="IE13" s="104" t="s">
        <v>191</v>
      </c>
      <c r="IF13" s="105">
        <f>-'Investimento Inicial'!$B$7</f>
        <v>-3000</v>
      </c>
      <c r="IG13" s="63"/>
      <c r="IH13" s="63"/>
      <c r="II13" s="104" t="s">
        <v>191</v>
      </c>
      <c r="IJ13" s="105">
        <f>-'Investimento Inicial'!$B$7</f>
        <v>-3000</v>
      </c>
      <c r="IK13" s="63"/>
      <c r="IL13" s="63"/>
      <c r="IM13" s="104" t="s">
        <v>191</v>
      </c>
      <c r="IN13" s="105">
        <f>-'Investimento Inicial'!$B$7</f>
        <v>-3000</v>
      </c>
      <c r="IO13" s="63"/>
      <c r="IP13" s="63"/>
      <c r="IQ13" s="104" t="s">
        <v>191</v>
      </c>
      <c r="IR13" s="105">
        <f>-'Investimento Inicial'!$B$7</f>
        <v>-3000</v>
      </c>
      <c r="IS13" s="63"/>
      <c r="IT13" s="63"/>
      <c r="IU13" s="104" t="s">
        <v>191</v>
      </c>
      <c r="IV13" s="105">
        <f>-'Investimento Inicial'!$B$7</f>
        <v>-3000</v>
      </c>
      <c r="IW13" s="63"/>
      <c r="IX13" s="63"/>
      <c r="IY13" s="104" t="s">
        <v>191</v>
      </c>
      <c r="IZ13" s="105">
        <f>-'Investimento Inicial'!$B$7</f>
        <v>-3000</v>
      </c>
      <c r="JA13" s="63"/>
      <c r="JB13" s="63"/>
      <c r="JC13" s="104" t="s">
        <v>191</v>
      </c>
      <c r="JD13" s="105">
        <f>-'Investimento Inicial'!$B$7</f>
        <v>-3000</v>
      </c>
      <c r="JE13" s="63"/>
      <c r="JF13" s="63"/>
      <c r="JG13" s="104" t="s">
        <v>191</v>
      </c>
      <c r="JH13" s="105">
        <f>-'Investimento Inicial'!$B$7</f>
        <v>-3000</v>
      </c>
      <c r="JI13" s="63"/>
      <c r="JJ13" s="63"/>
      <c r="JK13" s="104" t="s">
        <v>191</v>
      </c>
      <c r="JL13" s="105">
        <f>-'Investimento Inicial'!$B$7</f>
        <v>-3000</v>
      </c>
      <c r="JM13" s="63"/>
      <c r="JN13" s="63"/>
      <c r="JO13" s="104" t="s">
        <v>191</v>
      </c>
      <c r="JP13" s="105">
        <f>-'Investimento Inicial'!$B$7</f>
        <v>-3000</v>
      </c>
      <c r="JQ13" s="63"/>
      <c r="JR13" s="63"/>
      <c r="JS13" s="104" t="s">
        <v>191</v>
      </c>
      <c r="JT13" s="105">
        <f>-'Investimento Inicial'!$B$7</f>
        <v>-3000</v>
      </c>
      <c r="JU13" s="63"/>
      <c r="JV13" s="63"/>
      <c r="JW13" s="104" t="s">
        <v>191</v>
      </c>
      <c r="JX13" s="105">
        <f>-'Investimento Inicial'!$B$7</f>
        <v>-3000</v>
      </c>
      <c r="JY13" s="63"/>
      <c r="JZ13" s="63"/>
      <c r="KA13" s="104" t="s">
        <v>191</v>
      </c>
      <c r="KB13" s="105">
        <f>-'Investimento Inicial'!$B$7</f>
        <v>-3000</v>
      </c>
      <c r="KC13" s="63"/>
    </row>
    <row r="14" spans="1:289" outlineLevel="1" x14ac:dyDescent="0.25">
      <c r="A14" s="118">
        <v>3</v>
      </c>
      <c r="C14" s="104" t="s">
        <v>200</v>
      </c>
      <c r="D14" s="105">
        <f>-'Investimento Inicial'!$C$4</f>
        <v>-5000</v>
      </c>
      <c r="E14" s="63"/>
      <c r="F14" s="63"/>
      <c r="G14" s="104" t="s">
        <v>200</v>
      </c>
      <c r="H14" s="105">
        <f>-'Investimento Inicial'!$C$4</f>
        <v>-5000</v>
      </c>
      <c r="I14" s="63"/>
      <c r="J14" s="63"/>
      <c r="K14" s="104" t="s">
        <v>200</v>
      </c>
      <c r="L14" s="105">
        <f>-'Investimento Inicial'!$C$4</f>
        <v>-5000</v>
      </c>
      <c r="M14" s="63"/>
      <c r="N14" s="63"/>
      <c r="O14" s="104" t="s">
        <v>200</v>
      </c>
      <c r="P14" s="105">
        <f>-'Investimento Inicial'!$C$4</f>
        <v>-5000</v>
      </c>
      <c r="Q14" s="63"/>
      <c r="R14" s="63"/>
      <c r="S14" s="104" t="s">
        <v>200</v>
      </c>
      <c r="T14" s="105">
        <f>-'Investimento Inicial'!$C$4</f>
        <v>-5000</v>
      </c>
      <c r="U14" s="63"/>
      <c r="V14" s="63"/>
      <c r="W14" s="104" t="s">
        <v>200</v>
      </c>
      <c r="X14" s="105">
        <f>-'Investimento Inicial'!$C$4</f>
        <v>-5000</v>
      </c>
      <c r="Y14" s="63"/>
      <c r="Z14" s="63"/>
      <c r="AA14" s="104" t="s">
        <v>200</v>
      </c>
      <c r="AB14" s="105">
        <f>-'Investimento Inicial'!$C$4</f>
        <v>-5000</v>
      </c>
      <c r="AC14" s="63"/>
      <c r="AD14" s="63"/>
      <c r="AE14" s="104" t="s">
        <v>200</v>
      </c>
      <c r="AF14" s="105">
        <f>-'Investimento Inicial'!$C$4</f>
        <v>-5000</v>
      </c>
      <c r="AG14" s="63"/>
      <c r="AH14" s="63"/>
      <c r="AI14" s="104" t="s">
        <v>200</v>
      </c>
      <c r="AJ14" s="105">
        <f>-'Investimento Inicial'!$C$4</f>
        <v>-5000</v>
      </c>
      <c r="AK14" s="63"/>
      <c r="AL14" s="63"/>
      <c r="AM14" s="104" t="s">
        <v>200</v>
      </c>
      <c r="AN14" s="105">
        <f>-'Investimento Inicial'!$C$4</f>
        <v>-5000</v>
      </c>
      <c r="AO14" s="63"/>
      <c r="AP14" s="63"/>
      <c r="AQ14" s="104" t="s">
        <v>200</v>
      </c>
      <c r="AR14" s="105">
        <f>-'Investimento Inicial'!$C$4</f>
        <v>-5000</v>
      </c>
      <c r="AS14" s="63"/>
      <c r="AT14" s="63"/>
      <c r="AU14" s="104" t="s">
        <v>200</v>
      </c>
      <c r="AV14" s="105">
        <f>-'Investimento Inicial'!$C$4</f>
        <v>-5000</v>
      </c>
      <c r="AW14" s="63"/>
      <c r="AX14" s="63"/>
      <c r="AY14" s="104" t="s">
        <v>200</v>
      </c>
      <c r="AZ14" s="105">
        <f>-'Investimento Inicial'!$C$4</f>
        <v>-5000</v>
      </c>
      <c r="BA14" s="63"/>
      <c r="BB14" s="63"/>
      <c r="BC14" s="104" t="s">
        <v>200</v>
      </c>
      <c r="BD14" s="105">
        <f>-'Investimento Inicial'!$C$4</f>
        <v>-5000</v>
      </c>
      <c r="BE14" s="63"/>
      <c r="BF14" s="63"/>
      <c r="BG14" s="104" t="s">
        <v>200</v>
      </c>
      <c r="BH14" s="105">
        <f>-'Investimento Inicial'!$C$4</f>
        <v>-5000</v>
      </c>
      <c r="BI14" s="63"/>
      <c r="BJ14" s="63"/>
      <c r="BK14" s="104" t="s">
        <v>200</v>
      </c>
      <c r="BL14" s="105">
        <f>-'Investimento Inicial'!$C$4</f>
        <v>-5000</v>
      </c>
      <c r="BM14" s="63"/>
      <c r="BN14" s="63"/>
      <c r="BO14" s="104" t="s">
        <v>200</v>
      </c>
      <c r="BP14" s="105">
        <f>-'Investimento Inicial'!$C$4</f>
        <v>-5000</v>
      </c>
      <c r="BQ14" s="63"/>
      <c r="BR14" s="63"/>
      <c r="BS14" s="104" t="s">
        <v>200</v>
      </c>
      <c r="BT14" s="105">
        <f>-'Investimento Inicial'!$C$4</f>
        <v>-5000</v>
      </c>
      <c r="BU14" s="63"/>
      <c r="BV14" s="63"/>
      <c r="BW14" s="104" t="s">
        <v>200</v>
      </c>
      <c r="BX14" s="105">
        <f>-'Investimento Inicial'!$C$4</f>
        <v>-5000</v>
      </c>
      <c r="BY14" s="63"/>
      <c r="BZ14" s="63"/>
      <c r="CA14" s="104" t="s">
        <v>200</v>
      </c>
      <c r="CB14" s="105">
        <f>-'Investimento Inicial'!$C$4</f>
        <v>-5000</v>
      </c>
      <c r="CC14" s="63"/>
      <c r="CD14" s="63"/>
      <c r="CE14" s="104" t="s">
        <v>200</v>
      </c>
      <c r="CF14" s="105">
        <f>-'Investimento Inicial'!$C$4</f>
        <v>-5000</v>
      </c>
      <c r="CG14" s="63"/>
      <c r="CH14" s="63"/>
      <c r="CI14" s="104" t="s">
        <v>200</v>
      </c>
      <c r="CJ14" s="105">
        <f>-'Investimento Inicial'!$C$4</f>
        <v>-5000</v>
      </c>
      <c r="CK14" s="63"/>
      <c r="CL14" s="63"/>
      <c r="CM14" s="104" t="s">
        <v>200</v>
      </c>
      <c r="CN14" s="105">
        <f>-'Investimento Inicial'!$C$4</f>
        <v>-5000</v>
      </c>
      <c r="CO14" s="63"/>
      <c r="CP14" s="63"/>
      <c r="CQ14" s="104" t="s">
        <v>200</v>
      </c>
      <c r="CR14" s="105">
        <f>-'Investimento Inicial'!$C$4</f>
        <v>-5000</v>
      </c>
      <c r="CS14" s="63"/>
      <c r="CT14" s="63"/>
      <c r="CU14" s="104" t="s">
        <v>200</v>
      </c>
      <c r="CV14" s="105">
        <f>-'Investimento Inicial'!$C$4</f>
        <v>-5000</v>
      </c>
      <c r="CW14" s="63"/>
      <c r="CX14" s="63"/>
      <c r="CY14" s="104" t="s">
        <v>200</v>
      </c>
      <c r="CZ14" s="105">
        <f>-'Investimento Inicial'!$C$4</f>
        <v>-5000</v>
      </c>
      <c r="DA14" s="63"/>
      <c r="DB14" s="63"/>
      <c r="DC14" s="104" t="s">
        <v>200</v>
      </c>
      <c r="DD14" s="105">
        <f>-'Investimento Inicial'!$C$4</f>
        <v>-5000</v>
      </c>
      <c r="DE14" s="63"/>
      <c r="DF14" s="63"/>
      <c r="DG14" s="104" t="s">
        <v>200</v>
      </c>
      <c r="DH14" s="105">
        <f>-'Investimento Inicial'!$C$4</f>
        <v>-5000</v>
      </c>
      <c r="DI14" s="63"/>
      <c r="DJ14" s="63"/>
      <c r="DK14" s="104" t="s">
        <v>200</v>
      </c>
      <c r="DL14" s="105">
        <f>-'Investimento Inicial'!$C$4</f>
        <v>-5000</v>
      </c>
      <c r="DM14" s="63"/>
      <c r="DN14" s="63"/>
      <c r="DO14" s="104" t="s">
        <v>200</v>
      </c>
      <c r="DP14" s="105">
        <f>-'Investimento Inicial'!$C$4</f>
        <v>-5000</v>
      </c>
      <c r="DQ14" s="63"/>
      <c r="DR14" s="63"/>
      <c r="DS14" s="104" t="s">
        <v>200</v>
      </c>
      <c r="DT14" s="105">
        <f>-'Investimento Inicial'!$C$4</f>
        <v>-5000</v>
      </c>
      <c r="DU14" s="63"/>
      <c r="DV14" s="63"/>
      <c r="DW14" s="104" t="s">
        <v>200</v>
      </c>
      <c r="DX14" s="105">
        <f>-'Investimento Inicial'!$C$4</f>
        <v>-5000</v>
      </c>
      <c r="DY14" s="63"/>
      <c r="DZ14" s="63"/>
      <c r="EA14" s="104" t="s">
        <v>200</v>
      </c>
      <c r="EB14" s="105">
        <f>-'Investimento Inicial'!$C$4</f>
        <v>-5000</v>
      </c>
      <c r="EC14" s="63"/>
      <c r="ED14" s="63"/>
      <c r="EE14" s="104" t="s">
        <v>200</v>
      </c>
      <c r="EF14" s="105">
        <f>-'Investimento Inicial'!$C$4</f>
        <v>-5000</v>
      </c>
      <c r="EG14" s="63"/>
      <c r="EH14" s="63"/>
      <c r="EI14" s="104" t="s">
        <v>200</v>
      </c>
      <c r="EJ14" s="105">
        <f>-'Investimento Inicial'!$C$4</f>
        <v>-5000</v>
      </c>
      <c r="EK14" s="63"/>
      <c r="EL14" s="63"/>
      <c r="EM14" s="104" t="s">
        <v>200</v>
      </c>
      <c r="EN14" s="105">
        <f>-'Investimento Inicial'!$C$4</f>
        <v>-5000</v>
      </c>
      <c r="EO14" s="63"/>
      <c r="EP14" s="63"/>
      <c r="EQ14" s="104" t="s">
        <v>200</v>
      </c>
      <c r="ER14" s="105">
        <f>-'Investimento Inicial'!$C$4</f>
        <v>-5000</v>
      </c>
      <c r="ES14" s="63"/>
      <c r="ET14" s="63"/>
      <c r="EU14" s="104" t="s">
        <v>200</v>
      </c>
      <c r="EV14" s="105">
        <f>-'Investimento Inicial'!$C$4</f>
        <v>-5000</v>
      </c>
      <c r="EW14" s="63"/>
      <c r="EX14" s="63"/>
      <c r="EY14" s="104" t="s">
        <v>200</v>
      </c>
      <c r="EZ14" s="105">
        <f>-'Investimento Inicial'!$C$4</f>
        <v>-5000</v>
      </c>
      <c r="FA14" s="63"/>
      <c r="FB14" s="63"/>
      <c r="FC14" s="104" t="s">
        <v>200</v>
      </c>
      <c r="FD14" s="105">
        <f>-'Investimento Inicial'!$C$4</f>
        <v>-5000</v>
      </c>
      <c r="FE14" s="63"/>
      <c r="FF14" s="63"/>
      <c r="FG14" s="104" t="s">
        <v>200</v>
      </c>
      <c r="FH14" s="105">
        <f>-'Investimento Inicial'!$C$4</f>
        <v>-5000</v>
      </c>
      <c r="FI14" s="63"/>
      <c r="FJ14" s="63"/>
      <c r="FK14" s="104" t="s">
        <v>200</v>
      </c>
      <c r="FL14" s="105">
        <f>-'Investimento Inicial'!$C$4</f>
        <v>-5000</v>
      </c>
      <c r="FM14" s="63"/>
      <c r="FN14" s="63"/>
      <c r="FO14" s="104" t="s">
        <v>200</v>
      </c>
      <c r="FP14" s="105">
        <f>-'Investimento Inicial'!$C$4</f>
        <v>-5000</v>
      </c>
      <c r="FQ14" s="63"/>
      <c r="FR14" s="63"/>
      <c r="FS14" s="104" t="s">
        <v>200</v>
      </c>
      <c r="FT14" s="105">
        <f>-'Investimento Inicial'!$C$4</f>
        <v>-5000</v>
      </c>
      <c r="FU14" s="63"/>
      <c r="FV14" s="63"/>
      <c r="FW14" s="104" t="s">
        <v>200</v>
      </c>
      <c r="FX14" s="105">
        <f>-'Investimento Inicial'!$C$4</f>
        <v>-5000</v>
      </c>
      <c r="FY14" s="63"/>
      <c r="FZ14" s="63"/>
      <c r="GA14" s="104" t="s">
        <v>200</v>
      </c>
      <c r="GB14" s="105">
        <f>-'Investimento Inicial'!$C$4</f>
        <v>-5000</v>
      </c>
      <c r="GC14" s="63"/>
      <c r="GD14" s="63"/>
      <c r="GE14" s="104" t="s">
        <v>200</v>
      </c>
      <c r="GF14" s="105">
        <f>-'Investimento Inicial'!$C$4</f>
        <v>-5000</v>
      </c>
      <c r="GG14" s="63"/>
      <c r="GH14" s="63"/>
      <c r="GI14" s="104" t="s">
        <v>200</v>
      </c>
      <c r="GJ14" s="105">
        <f>-'Investimento Inicial'!$C$4</f>
        <v>-5000</v>
      </c>
      <c r="GK14" s="63"/>
      <c r="GL14" s="63"/>
      <c r="GM14" s="104" t="s">
        <v>200</v>
      </c>
      <c r="GN14" s="105">
        <f>-'Investimento Inicial'!$C$4</f>
        <v>-5000</v>
      </c>
      <c r="GO14" s="63"/>
      <c r="GP14" s="63"/>
      <c r="GQ14" s="104" t="s">
        <v>200</v>
      </c>
      <c r="GR14" s="105">
        <f>-'Investimento Inicial'!$C$4</f>
        <v>-5000</v>
      </c>
      <c r="GS14" s="63"/>
      <c r="GT14" s="63"/>
      <c r="GU14" s="104" t="s">
        <v>200</v>
      </c>
      <c r="GV14" s="105">
        <f>-'Investimento Inicial'!$C$4</f>
        <v>-5000</v>
      </c>
      <c r="GW14" s="63"/>
      <c r="GX14" s="63"/>
      <c r="GY14" s="104" t="s">
        <v>200</v>
      </c>
      <c r="GZ14" s="105">
        <f>-'Investimento Inicial'!$C$4</f>
        <v>-5000</v>
      </c>
      <c r="HA14" s="63"/>
      <c r="HB14" s="63"/>
      <c r="HC14" s="104" t="s">
        <v>200</v>
      </c>
      <c r="HD14" s="105">
        <f>-'Investimento Inicial'!$C$4</f>
        <v>-5000</v>
      </c>
      <c r="HE14" s="63"/>
      <c r="HF14" s="63"/>
      <c r="HG14" s="104" t="s">
        <v>200</v>
      </c>
      <c r="HH14" s="105">
        <f>-'Investimento Inicial'!$C$4</f>
        <v>-5000</v>
      </c>
      <c r="HI14" s="63"/>
      <c r="HJ14" s="63"/>
      <c r="HK14" s="104" t="s">
        <v>200</v>
      </c>
      <c r="HL14" s="105">
        <f>-'Investimento Inicial'!$C$4</f>
        <v>-5000</v>
      </c>
      <c r="HM14" s="63"/>
      <c r="HN14" s="63"/>
      <c r="HO14" s="104" t="s">
        <v>200</v>
      </c>
      <c r="HP14" s="105">
        <f>-'Investimento Inicial'!$C$4</f>
        <v>-5000</v>
      </c>
      <c r="HQ14" s="63"/>
      <c r="HR14" s="63"/>
      <c r="HS14" s="104" t="s">
        <v>200</v>
      </c>
      <c r="HT14" s="105">
        <f>-'Investimento Inicial'!$C$4</f>
        <v>-5000</v>
      </c>
      <c r="HU14" s="63"/>
      <c r="HV14" s="63"/>
      <c r="HW14" s="104" t="s">
        <v>200</v>
      </c>
      <c r="HX14" s="105">
        <f>-'Investimento Inicial'!$C$4</f>
        <v>-5000</v>
      </c>
      <c r="HY14" s="63"/>
      <c r="HZ14" s="63"/>
      <c r="IA14" s="104" t="s">
        <v>200</v>
      </c>
      <c r="IB14" s="105">
        <f>-'Investimento Inicial'!$C$4</f>
        <v>-5000</v>
      </c>
      <c r="IC14" s="63"/>
      <c r="ID14" s="63"/>
      <c r="IE14" s="104" t="s">
        <v>200</v>
      </c>
      <c r="IF14" s="105">
        <f>-'Investimento Inicial'!$C$4</f>
        <v>-5000</v>
      </c>
      <c r="IG14" s="63"/>
      <c r="IH14" s="63"/>
      <c r="II14" s="104" t="s">
        <v>200</v>
      </c>
      <c r="IJ14" s="105">
        <f>-'Investimento Inicial'!$C$4</f>
        <v>-5000</v>
      </c>
      <c r="IK14" s="63"/>
      <c r="IL14" s="63"/>
      <c r="IM14" s="104" t="s">
        <v>200</v>
      </c>
      <c r="IN14" s="105">
        <f>-'Investimento Inicial'!$C$4</f>
        <v>-5000</v>
      </c>
      <c r="IO14" s="63"/>
      <c r="IP14" s="63"/>
      <c r="IQ14" s="104" t="s">
        <v>200</v>
      </c>
      <c r="IR14" s="105">
        <f>-'Investimento Inicial'!$C$4</f>
        <v>-5000</v>
      </c>
      <c r="IS14" s="63"/>
      <c r="IT14" s="63"/>
      <c r="IU14" s="104" t="s">
        <v>200</v>
      </c>
      <c r="IV14" s="105">
        <f>-'Investimento Inicial'!$C$4</f>
        <v>-5000</v>
      </c>
      <c r="IW14" s="63"/>
      <c r="IX14" s="63"/>
      <c r="IY14" s="104" t="s">
        <v>200</v>
      </c>
      <c r="IZ14" s="105">
        <f>-'Investimento Inicial'!$C$4</f>
        <v>-5000</v>
      </c>
      <c r="JA14" s="63"/>
      <c r="JB14" s="63"/>
      <c r="JC14" s="104" t="s">
        <v>200</v>
      </c>
      <c r="JD14" s="105">
        <f>-'Investimento Inicial'!$C$4</f>
        <v>-5000</v>
      </c>
      <c r="JE14" s="63"/>
      <c r="JF14" s="63"/>
      <c r="JG14" s="104" t="s">
        <v>200</v>
      </c>
      <c r="JH14" s="105">
        <f>-'Investimento Inicial'!$C$4</f>
        <v>-5000</v>
      </c>
      <c r="JI14" s="63"/>
      <c r="JJ14" s="63"/>
      <c r="JK14" s="104" t="s">
        <v>200</v>
      </c>
      <c r="JL14" s="105">
        <f>-'Investimento Inicial'!$C$4</f>
        <v>-5000</v>
      </c>
      <c r="JM14" s="63"/>
      <c r="JN14" s="63"/>
      <c r="JO14" s="104" t="s">
        <v>200</v>
      </c>
      <c r="JP14" s="105">
        <f>-'Investimento Inicial'!$C$4</f>
        <v>-5000</v>
      </c>
      <c r="JQ14" s="63"/>
      <c r="JR14" s="63"/>
      <c r="JS14" s="104" t="s">
        <v>200</v>
      </c>
      <c r="JT14" s="105">
        <f>-'Investimento Inicial'!$C$4</f>
        <v>-5000</v>
      </c>
      <c r="JU14" s="63"/>
      <c r="JV14" s="63"/>
      <c r="JW14" s="104" t="s">
        <v>200</v>
      </c>
      <c r="JX14" s="105">
        <f>-'Investimento Inicial'!$C$4</f>
        <v>-5000</v>
      </c>
      <c r="JY14" s="63"/>
      <c r="JZ14" s="63"/>
      <c r="KA14" s="104" t="s">
        <v>200</v>
      </c>
      <c r="KB14" s="105">
        <f>-'Investimento Inicial'!$C$4</f>
        <v>-5000</v>
      </c>
      <c r="KC14" s="63"/>
    </row>
    <row r="15" spans="1:289" outlineLevel="1" x14ac:dyDescent="0.25">
      <c r="A15" s="118"/>
      <c r="C15" s="104" t="s">
        <v>312</v>
      </c>
      <c r="D15" s="105">
        <f>($D$11/$A$17)/12</f>
        <v>-1216.6666666666667</v>
      </c>
      <c r="E15" s="63"/>
      <c r="F15" s="63"/>
      <c r="G15" s="104" t="s">
        <v>312</v>
      </c>
      <c r="H15" s="105">
        <f>($D$11/$A$17)/12</f>
        <v>-1216.6666666666667</v>
      </c>
      <c r="I15" s="63"/>
      <c r="J15" s="63"/>
      <c r="K15" s="104" t="s">
        <v>312</v>
      </c>
      <c r="L15" s="105">
        <f>($D$11/$A$17)/12</f>
        <v>-1216.6666666666667</v>
      </c>
      <c r="M15" s="63"/>
      <c r="N15" s="63"/>
      <c r="O15" s="104" t="s">
        <v>312</v>
      </c>
      <c r="P15" s="105">
        <f t="shared" ref="P15" si="551">($D$11/$A$17)/12</f>
        <v>-1216.6666666666667</v>
      </c>
      <c r="Q15" s="63"/>
      <c r="R15" s="63"/>
      <c r="S15" s="104" t="s">
        <v>312</v>
      </c>
      <c r="T15" s="105">
        <f t="shared" ref="T15" si="552">($D$11/$A$17)/12</f>
        <v>-1216.6666666666667</v>
      </c>
      <c r="U15" s="63"/>
      <c r="V15" s="63"/>
      <c r="W15" s="104" t="s">
        <v>312</v>
      </c>
      <c r="X15" s="105">
        <f t="shared" ref="X15" si="553">($D$11/$A$17)/12</f>
        <v>-1216.6666666666667</v>
      </c>
      <c r="Y15" s="63"/>
      <c r="Z15" s="63"/>
      <c r="AA15" s="104" t="s">
        <v>312</v>
      </c>
      <c r="AB15" s="105">
        <f t="shared" ref="AB15" si="554">($D$11/$A$17)/12</f>
        <v>-1216.6666666666667</v>
      </c>
      <c r="AC15" s="63"/>
      <c r="AD15" s="63"/>
      <c r="AE15" s="104" t="s">
        <v>312</v>
      </c>
      <c r="AF15" s="105">
        <f t="shared" ref="AF15" si="555">($D$11/$A$17)/12</f>
        <v>-1216.6666666666667</v>
      </c>
      <c r="AG15" s="63"/>
      <c r="AH15" s="63"/>
      <c r="AI15" s="104" t="s">
        <v>312</v>
      </c>
      <c r="AJ15" s="105">
        <f t="shared" ref="AJ15" si="556">($D$11/$A$17)/12</f>
        <v>-1216.6666666666667</v>
      </c>
      <c r="AK15" s="63"/>
      <c r="AL15" s="63"/>
      <c r="AM15" s="104" t="s">
        <v>312</v>
      </c>
      <c r="AN15" s="105">
        <f t="shared" ref="AN15" si="557">($D$11/$A$17)/12</f>
        <v>-1216.6666666666667</v>
      </c>
      <c r="AO15" s="63"/>
      <c r="AP15" s="63"/>
      <c r="AQ15" s="104" t="s">
        <v>312</v>
      </c>
      <c r="AR15" s="105">
        <f t="shared" ref="AR15" si="558">($D$11/$A$17)/12</f>
        <v>-1216.6666666666667</v>
      </c>
      <c r="AS15" s="63"/>
      <c r="AT15" s="63"/>
      <c r="AU15" s="104" t="s">
        <v>312</v>
      </c>
      <c r="AV15" s="105">
        <f t="shared" ref="AV15" si="559">($D$11/$A$17)/12</f>
        <v>-1216.6666666666667</v>
      </c>
      <c r="AW15" s="63"/>
      <c r="AX15" s="63"/>
      <c r="AY15" s="104" t="s">
        <v>312</v>
      </c>
      <c r="AZ15" s="105">
        <f t="shared" ref="AZ15" si="560">($D$11/$A$17)/12</f>
        <v>-1216.6666666666667</v>
      </c>
      <c r="BA15" s="63"/>
      <c r="BB15" s="63"/>
      <c r="BC15" s="104" t="s">
        <v>312</v>
      </c>
      <c r="BD15" s="105">
        <f t="shared" ref="BD15" si="561">($D$11/$A$17)/12</f>
        <v>-1216.6666666666667</v>
      </c>
      <c r="BE15" s="63"/>
      <c r="BF15" s="63"/>
      <c r="BG15" s="104" t="s">
        <v>312</v>
      </c>
      <c r="BH15" s="105">
        <f t="shared" ref="BH15" si="562">($D$11/$A$17)/12</f>
        <v>-1216.6666666666667</v>
      </c>
      <c r="BI15" s="63"/>
      <c r="BJ15" s="63"/>
      <c r="BK15" s="104" t="s">
        <v>312</v>
      </c>
      <c r="BL15" s="105">
        <f t="shared" ref="BL15" si="563">($D$11/$A$17)/12</f>
        <v>-1216.6666666666667</v>
      </c>
      <c r="BM15" s="63"/>
      <c r="BN15" s="63"/>
      <c r="BO15" s="104" t="s">
        <v>312</v>
      </c>
      <c r="BP15" s="105">
        <f t="shared" ref="BP15" si="564">($D$11/$A$17)/12</f>
        <v>-1216.6666666666667</v>
      </c>
      <c r="BQ15" s="63"/>
      <c r="BR15" s="63"/>
      <c r="BS15" s="104" t="s">
        <v>312</v>
      </c>
      <c r="BT15" s="105">
        <f t="shared" ref="BT15" si="565">($D$11/$A$17)/12</f>
        <v>-1216.6666666666667</v>
      </c>
      <c r="BU15" s="63"/>
      <c r="BV15" s="63"/>
      <c r="BW15" s="104" t="s">
        <v>312</v>
      </c>
      <c r="BX15" s="105">
        <f t="shared" ref="BX15" si="566">($D$11/$A$17)/12</f>
        <v>-1216.6666666666667</v>
      </c>
      <c r="BY15" s="63"/>
      <c r="BZ15" s="63"/>
      <c r="CA15" s="104" t="s">
        <v>312</v>
      </c>
      <c r="CB15" s="105">
        <f t="shared" ref="CB15" si="567">($D$11/$A$17)/12</f>
        <v>-1216.6666666666667</v>
      </c>
      <c r="CC15" s="63"/>
      <c r="CD15" s="63"/>
      <c r="CE15" s="104" t="s">
        <v>312</v>
      </c>
      <c r="CF15" s="105">
        <f t="shared" ref="CF15" si="568">($D$11/$A$17)/12</f>
        <v>-1216.6666666666667</v>
      </c>
      <c r="CG15" s="63"/>
      <c r="CH15" s="63"/>
      <c r="CI15" s="104" t="s">
        <v>312</v>
      </c>
      <c r="CJ15" s="105">
        <f t="shared" ref="CJ15" si="569">($D$11/$A$17)/12</f>
        <v>-1216.6666666666667</v>
      </c>
      <c r="CK15" s="63"/>
      <c r="CL15" s="63"/>
      <c r="CM15" s="104" t="s">
        <v>312</v>
      </c>
      <c r="CN15" s="105">
        <f t="shared" ref="CN15" si="570">($D$11/$A$17)/12</f>
        <v>-1216.6666666666667</v>
      </c>
      <c r="CO15" s="63"/>
      <c r="CP15" s="63"/>
      <c r="CQ15" s="104" t="s">
        <v>312</v>
      </c>
      <c r="CR15" s="105">
        <f t="shared" ref="CR15" si="571">($D$11/$A$17)/12</f>
        <v>-1216.6666666666667</v>
      </c>
      <c r="CS15" s="63"/>
      <c r="CT15" s="63"/>
      <c r="CU15" s="104" t="s">
        <v>312</v>
      </c>
      <c r="CV15" s="105">
        <f t="shared" ref="CV15" si="572">($D$11/$A$17)/12</f>
        <v>-1216.6666666666667</v>
      </c>
      <c r="CW15" s="63"/>
      <c r="CX15" s="63"/>
      <c r="CY15" s="104" t="s">
        <v>312</v>
      </c>
      <c r="CZ15" s="105">
        <f t="shared" ref="CZ15" si="573">($D$11/$A$17)/12</f>
        <v>-1216.6666666666667</v>
      </c>
      <c r="DA15" s="63"/>
      <c r="DB15" s="63"/>
      <c r="DC15" s="104" t="s">
        <v>312</v>
      </c>
      <c r="DD15" s="105">
        <f t="shared" ref="DD15" si="574">($D$11/$A$17)/12</f>
        <v>-1216.6666666666667</v>
      </c>
      <c r="DE15" s="63"/>
      <c r="DF15" s="63"/>
      <c r="DG15" s="104" t="s">
        <v>312</v>
      </c>
      <c r="DH15" s="105">
        <f t="shared" ref="DH15" si="575">($D$11/$A$17)/12</f>
        <v>-1216.6666666666667</v>
      </c>
      <c r="DI15" s="63"/>
      <c r="DJ15" s="63"/>
      <c r="DK15" s="104" t="s">
        <v>312</v>
      </c>
      <c r="DL15" s="105">
        <f t="shared" ref="DL15" si="576">($D$11/$A$17)/12</f>
        <v>-1216.6666666666667</v>
      </c>
      <c r="DM15" s="63"/>
      <c r="DN15" s="63"/>
      <c r="DO15" s="104" t="s">
        <v>312</v>
      </c>
      <c r="DP15" s="105">
        <f t="shared" ref="DP15" si="577">($D$11/$A$17)/12</f>
        <v>-1216.6666666666667</v>
      </c>
      <c r="DQ15" s="63"/>
      <c r="DR15" s="63"/>
      <c r="DS15" s="104" t="s">
        <v>312</v>
      </c>
      <c r="DT15" s="105">
        <f t="shared" ref="DT15" si="578">($D$11/$A$17)/12</f>
        <v>-1216.6666666666667</v>
      </c>
      <c r="DU15" s="63"/>
      <c r="DV15" s="63"/>
      <c r="DW15" s="104" t="s">
        <v>312</v>
      </c>
      <c r="DX15" s="105">
        <f t="shared" ref="DX15" si="579">($D$11/$A$17)/12</f>
        <v>-1216.6666666666667</v>
      </c>
      <c r="DY15" s="63"/>
      <c r="DZ15" s="63"/>
      <c r="EA15" s="104" t="s">
        <v>312</v>
      </c>
      <c r="EB15" s="105">
        <f t="shared" ref="EB15" si="580">($D$11/$A$17)/12</f>
        <v>-1216.6666666666667</v>
      </c>
      <c r="EC15" s="63"/>
      <c r="ED15" s="63"/>
      <c r="EE15" s="104" t="s">
        <v>312</v>
      </c>
      <c r="EF15" s="105">
        <f t="shared" ref="EF15" si="581">($D$11/$A$17)/12</f>
        <v>-1216.6666666666667</v>
      </c>
      <c r="EG15" s="63"/>
      <c r="EH15" s="63"/>
      <c r="EI15" s="104" t="s">
        <v>312</v>
      </c>
      <c r="EJ15" s="105">
        <f t="shared" ref="EJ15" si="582">($D$11/$A$17)/12</f>
        <v>-1216.6666666666667</v>
      </c>
      <c r="EK15" s="63"/>
      <c r="EL15" s="63"/>
      <c r="EM15" s="104" t="s">
        <v>312</v>
      </c>
      <c r="EN15" s="105">
        <f t="shared" ref="EN15" si="583">($D$11/$A$17)/12</f>
        <v>-1216.6666666666667</v>
      </c>
      <c r="EO15" s="63"/>
      <c r="EP15" s="63"/>
      <c r="EQ15" s="104" t="s">
        <v>312</v>
      </c>
      <c r="ER15" s="105">
        <f t="shared" ref="ER15" si="584">($D$11/$A$17)/12</f>
        <v>-1216.6666666666667</v>
      </c>
      <c r="ES15" s="63"/>
      <c r="ET15" s="63"/>
      <c r="EU15" s="104" t="s">
        <v>312</v>
      </c>
      <c r="EV15" s="105">
        <f t="shared" ref="EV15" si="585">($D$11/$A$17)/12</f>
        <v>-1216.6666666666667</v>
      </c>
      <c r="EW15" s="63"/>
      <c r="EX15" s="63"/>
      <c r="EY15" s="104" t="s">
        <v>312</v>
      </c>
      <c r="EZ15" s="105">
        <f t="shared" ref="EZ15" si="586">($D$11/$A$17)/12</f>
        <v>-1216.6666666666667</v>
      </c>
      <c r="FA15" s="63"/>
      <c r="FB15" s="63"/>
      <c r="FC15" s="104" t="s">
        <v>312</v>
      </c>
      <c r="FD15" s="105">
        <f t="shared" ref="FD15" si="587">($D$11/$A$17)/12</f>
        <v>-1216.6666666666667</v>
      </c>
      <c r="FE15" s="63"/>
      <c r="FF15" s="63"/>
      <c r="FG15" s="104" t="s">
        <v>312</v>
      </c>
      <c r="FH15" s="105">
        <f t="shared" ref="FH15" si="588">($D$11/$A$17)/12</f>
        <v>-1216.6666666666667</v>
      </c>
      <c r="FI15" s="63"/>
      <c r="FJ15" s="63"/>
      <c r="FK15" s="104" t="s">
        <v>312</v>
      </c>
      <c r="FL15" s="105">
        <f t="shared" ref="FL15" si="589">($D$11/$A$17)/12</f>
        <v>-1216.6666666666667</v>
      </c>
      <c r="FM15" s="63"/>
      <c r="FN15" s="63"/>
      <c r="FO15" s="104" t="s">
        <v>312</v>
      </c>
      <c r="FP15" s="105">
        <f t="shared" ref="FP15" si="590">($D$11/$A$17)/12</f>
        <v>-1216.6666666666667</v>
      </c>
      <c r="FQ15" s="63"/>
      <c r="FR15" s="63"/>
      <c r="FS15" s="104" t="s">
        <v>312</v>
      </c>
      <c r="FT15" s="105">
        <f t="shared" ref="FT15" si="591">($D$11/$A$17)/12</f>
        <v>-1216.6666666666667</v>
      </c>
      <c r="FU15" s="63"/>
      <c r="FV15" s="63"/>
      <c r="FW15" s="104" t="s">
        <v>312</v>
      </c>
      <c r="FX15" s="105">
        <f t="shared" ref="FX15" si="592">($D$11/$A$17)/12</f>
        <v>-1216.6666666666667</v>
      </c>
      <c r="FY15" s="63"/>
      <c r="FZ15" s="63"/>
      <c r="GA15" s="104" t="s">
        <v>312</v>
      </c>
      <c r="GB15" s="105">
        <f t="shared" ref="GB15" si="593">($D$11/$A$17)/12</f>
        <v>-1216.6666666666667</v>
      </c>
      <c r="GC15" s="63"/>
      <c r="GD15" s="63"/>
      <c r="GE15" s="104" t="s">
        <v>312</v>
      </c>
      <c r="GF15" s="105">
        <f t="shared" ref="GF15" si="594">($D$11/$A$17)/12</f>
        <v>-1216.6666666666667</v>
      </c>
      <c r="GG15" s="63"/>
      <c r="GH15" s="63"/>
      <c r="GI15" s="104" t="s">
        <v>312</v>
      </c>
      <c r="GJ15" s="105">
        <f t="shared" ref="GJ15" si="595">($D$11/$A$17)/12</f>
        <v>-1216.6666666666667</v>
      </c>
      <c r="GK15" s="63"/>
      <c r="GL15" s="63"/>
      <c r="GM15" s="104" t="s">
        <v>312</v>
      </c>
      <c r="GN15" s="105">
        <f t="shared" ref="GN15" si="596">($D$11/$A$17)/12</f>
        <v>-1216.6666666666667</v>
      </c>
      <c r="GO15" s="63"/>
      <c r="GP15" s="63"/>
      <c r="GQ15" s="104" t="s">
        <v>312</v>
      </c>
      <c r="GR15" s="105">
        <f t="shared" ref="GR15" si="597">($D$11/$A$17)/12</f>
        <v>-1216.6666666666667</v>
      </c>
      <c r="GS15" s="63"/>
      <c r="GT15" s="63"/>
      <c r="GU15" s="104" t="s">
        <v>312</v>
      </c>
      <c r="GV15" s="105">
        <f t="shared" ref="GV15" si="598">($D$11/$A$17)/12</f>
        <v>-1216.6666666666667</v>
      </c>
      <c r="GW15" s="63"/>
      <c r="GX15" s="63"/>
      <c r="GY15" s="104" t="s">
        <v>312</v>
      </c>
      <c r="GZ15" s="105">
        <f t="shared" ref="GZ15" si="599">($D$11/$A$17)/12</f>
        <v>-1216.6666666666667</v>
      </c>
      <c r="HA15" s="63"/>
      <c r="HB15" s="63"/>
      <c r="HC15" s="104" t="s">
        <v>312</v>
      </c>
      <c r="HD15" s="105">
        <f t="shared" ref="HD15" si="600">($D$11/$A$17)/12</f>
        <v>-1216.6666666666667</v>
      </c>
      <c r="HE15" s="63"/>
      <c r="HF15" s="63"/>
      <c r="HG15" s="104" t="s">
        <v>312</v>
      </c>
      <c r="HH15" s="105">
        <f t="shared" ref="HH15" si="601">($D$11/$A$17)/12</f>
        <v>-1216.6666666666667</v>
      </c>
      <c r="HI15" s="63"/>
      <c r="HJ15" s="63"/>
      <c r="HK15" s="104" t="s">
        <v>312</v>
      </c>
      <c r="HL15" s="105">
        <f t="shared" ref="HL15" si="602">($D$11/$A$17)/12</f>
        <v>-1216.6666666666667</v>
      </c>
      <c r="HM15" s="63"/>
      <c r="HN15" s="63"/>
      <c r="HO15" s="104" t="s">
        <v>312</v>
      </c>
      <c r="HP15" s="105">
        <f t="shared" ref="HP15" si="603">($D$11/$A$17)/12</f>
        <v>-1216.6666666666667</v>
      </c>
      <c r="HQ15" s="63"/>
      <c r="HR15" s="63"/>
      <c r="HS15" s="104" t="s">
        <v>312</v>
      </c>
      <c r="HT15" s="105">
        <f t="shared" ref="HT15" si="604">($D$11/$A$17)/12</f>
        <v>-1216.6666666666667</v>
      </c>
      <c r="HU15" s="63"/>
      <c r="HV15" s="63"/>
      <c r="HW15" s="104" t="s">
        <v>312</v>
      </c>
      <c r="HX15" s="105">
        <f t="shared" ref="HX15" si="605">($D$11/$A$17)/12</f>
        <v>-1216.6666666666667</v>
      </c>
      <c r="HY15" s="63"/>
      <c r="HZ15" s="63"/>
      <c r="IA15" s="104" t="s">
        <v>312</v>
      </c>
      <c r="IB15" s="105">
        <f t="shared" ref="IB15" si="606">($D$11/$A$17)/12</f>
        <v>-1216.6666666666667</v>
      </c>
      <c r="IC15" s="63"/>
      <c r="ID15" s="63"/>
      <c r="IE15" s="104" t="s">
        <v>312</v>
      </c>
      <c r="IF15" s="105">
        <f t="shared" ref="IF15" si="607">($D$11/$A$17)/12</f>
        <v>-1216.6666666666667</v>
      </c>
      <c r="IG15" s="63"/>
      <c r="IH15" s="63"/>
      <c r="II15" s="104" t="s">
        <v>312</v>
      </c>
      <c r="IJ15" s="105">
        <f t="shared" ref="IJ15" si="608">($D$11/$A$17)/12</f>
        <v>-1216.6666666666667</v>
      </c>
      <c r="IK15" s="63"/>
      <c r="IL15" s="63"/>
      <c r="IM15" s="104" t="s">
        <v>312</v>
      </c>
      <c r="IN15" s="105">
        <f t="shared" ref="IN15" si="609">($D$11/$A$17)/12</f>
        <v>-1216.6666666666667</v>
      </c>
      <c r="IO15" s="63"/>
      <c r="IP15" s="63"/>
      <c r="IQ15" s="104" t="s">
        <v>312</v>
      </c>
      <c r="IR15" s="105">
        <f t="shared" ref="IR15" si="610">($D$11/$A$17)/12</f>
        <v>-1216.6666666666667</v>
      </c>
      <c r="IS15" s="63"/>
      <c r="IT15" s="63"/>
      <c r="IU15" s="104" t="s">
        <v>312</v>
      </c>
      <c r="IV15" s="105">
        <f t="shared" ref="IV15" si="611">($D$11/$A$17)/12</f>
        <v>-1216.6666666666667</v>
      </c>
      <c r="IW15" s="63"/>
      <c r="IX15" s="63"/>
      <c r="IY15" s="104" t="s">
        <v>312</v>
      </c>
      <c r="IZ15" s="105">
        <f t="shared" ref="IZ15" si="612">($D$11/$A$17)/12</f>
        <v>-1216.6666666666667</v>
      </c>
      <c r="JA15" s="63"/>
      <c r="JB15" s="63"/>
      <c r="JC15" s="104" t="s">
        <v>312</v>
      </c>
      <c r="JD15" s="105">
        <f t="shared" ref="JD15" si="613">($D$11/$A$17)/12</f>
        <v>-1216.6666666666667</v>
      </c>
      <c r="JE15" s="63"/>
      <c r="JF15" s="63"/>
      <c r="JG15" s="104" t="s">
        <v>312</v>
      </c>
      <c r="JH15" s="105">
        <f t="shared" ref="JH15" si="614">($D$11/$A$17)/12</f>
        <v>-1216.6666666666667</v>
      </c>
      <c r="JI15" s="63"/>
      <c r="JJ15" s="63"/>
      <c r="JK15" s="104" t="s">
        <v>312</v>
      </c>
      <c r="JL15" s="105">
        <f t="shared" ref="JL15" si="615">($D$11/$A$17)/12</f>
        <v>-1216.6666666666667</v>
      </c>
      <c r="JM15" s="63"/>
      <c r="JN15" s="63"/>
      <c r="JO15" s="104" t="s">
        <v>312</v>
      </c>
      <c r="JP15" s="105">
        <f t="shared" ref="JP15" si="616">($D$11/$A$17)/12</f>
        <v>-1216.6666666666667</v>
      </c>
      <c r="JQ15" s="63"/>
      <c r="JR15" s="63"/>
      <c r="JS15" s="104" t="s">
        <v>312</v>
      </c>
      <c r="JT15" s="105">
        <f t="shared" ref="JT15" si="617">($D$11/$A$17)/12</f>
        <v>-1216.6666666666667</v>
      </c>
      <c r="JU15" s="63"/>
      <c r="JV15" s="63"/>
      <c r="JW15" s="104" t="s">
        <v>312</v>
      </c>
      <c r="JX15" s="105">
        <f t="shared" ref="JX15" si="618">($D$11/$A$17)/12</f>
        <v>-1216.6666666666667</v>
      </c>
      <c r="JY15" s="63"/>
      <c r="JZ15" s="63"/>
      <c r="KA15" s="104" t="s">
        <v>312</v>
      </c>
      <c r="KB15" s="105">
        <f t="shared" ref="KB15" si="619">($D$11/$A$17)/12</f>
        <v>-1216.6666666666667</v>
      </c>
      <c r="KC15" s="63"/>
    </row>
    <row r="16" spans="1:289" outlineLevel="1" x14ac:dyDescent="0.25">
      <c r="A16" s="136" t="s">
        <v>316</v>
      </c>
      <c r="C16" s="104" t="s">
        <v>201</v>
      </c>
      <c r="D16" s="105">
        <f>-'Investimento Inicial'!$C$10</f>
        <v>-1000</v>
      </c>
      <c r="E16" s="63"/>
      <c r="F16" s="63"/>
      <c r="G16" s="104" t="s">
        <v>201</v>
      </c>
      <c r="H16" s="105">
        <f>-'Investimento Inicial'!$C$10</f>
        <v>-1000</v>
      </c>
      <c r="I16" s="63"/>
      <c r="J16" s="63"/>
      <c r="K16" s="104" t="s">
        <v>201</v>
      </c>
      <c r="L16" s="105">
        <f>-'Investimento Inicial'!$C$10</f>
        <v>-1000</v>
      </c>
      <c r="M16" s="63"/>
      <c r="N16" s="63"/>
      <c r="O16" s="104" t="s">
        <v>201</v>
      </c>
      <c r="P16" s="105">
        <f>-'Investimento Inicial'!$C$10</f>
        <v>-1000</v>
      </c>
      <c r="Q16" s="63"/>
      <c r="R16" s="63"/>
      <c r="S16" s="104" t="s">
        <v>201</v>
      </c>
      <c r="T16" s="105">
        <f>-'Investimento Inicial'!$C$10</f>
        <v>-1000</v>
      </c>
      <c r="U16" s="63"/>
      <c r="V16" s="63"/>
      <c r="W16" s="104" t="s">
        <v>201</v>
      </c>
      <c r="X16" s="105">
        <f>-'Investimento Inicial'!$C$10</f>
        <v>-1000</v>
      </c>
      <c r="Y16" s="63"/>
      <c r="Z16" s="63"/>
      <c r="AA16" s="104" t="s">
        <v>201</v>
      </c>
      <c r="AB16" s="105">
        <f>-'Investimento Inicial'!$C$10</f>
        <v>-1000</v>
      </c>
      <c r="AC16" s="63"/>
      <c r="AD16" s="63"/>
      <c r="AE16" s="104" t="s">
        <v>201</v>
      </c>
      <c r="AF16" s="105">
        <f>-'Investimento Inicial'!$C$10</f>
        <v>-1000</v>
      </c>
      <c r="AG16" s="63"/>
      <c r="AH16" s="63"/>
      <c r="AI16" s="104" t="s">
        <v>201</v>
      </c>
      <c r="AJ16" s="105">
        <f>-'Investimento Inicial'!$C$10</f>
        <v>-1000</v>
      </c>
      <c r="AK16" s="63"/>
      <c r="AL16" s="63"/>
      <c r="AM16" s="104" t="s">
        <v>201</v>
      </c>
      <c r="AN16" s="105">
        <f>-'Investimento Inicial'!$C$10</f>
        <v>-1000</v>
      </c>
      <c r="AO16" s="63"/>
      <c r="AP16" s="63"/>
      <c r="AQ16" s="104" t="s">
        <v>201</v>
      </c>
      <c r="AR16" s="105">
        <f>-'Investimento Inicial'!$C$10</f>
        <v>-1000</v>
      </c>
      <c r="AS16" s="63"/>
      <c r="AT16" s="63"/>
      <c r="AU16" s="104" t="s">
        <v>201</v>
      </c>
      <c r="AV16" s="105">
        <f>-'Investimento Inicial'!$C$10</f>
        <v>-1000</v>
      </c>
      <c r="AW16" s="63"/>
      <c r="AX16" s="63"/>
      <c r="AY16" s="104" t="s">
        <v>201</v>
      </c>
      <c r="AZ16" s="105">
        <f>-'Investimento Inicial'!$C$10</f>
        <v>-1000</v>
      </c>
      <c r="BA16" s="63"/>
      <c r="BB16" s="63"/>
      <c r="BC16" s="104" t="s">
        <v>201</v>
      </c>
      <c r="BD16" s="105">
        <f>-'Investimento Inicial'!$C$10</f>
        <v>-1000</v>
      </c>
      <c r="BE16" s="63"/>
      <c r="BF16" s="63"/>
      <c r="BG16" s="104" t="s">
        <v>201</v>
      </c>
      <c r="BH16" s="105">
        <f>-'Investimento Inicial'!$C$10</f>
        <v>-1000</v>
      </c>
      <c r="BI16" s="63"/>
      <c r="BJ16" s="63"/>
      <c r="BK16" s="104" t="s">
        <v>201</v>
      </c>
      <c r="BL16" s="105">
        <f>-'Investimento Inicial'!$C$10</f>
        <v>-1000</v>
      </c>
      <c r="BM16" s="63"/>
      <c r="BN16" s="63"/>
      <c r="BO16" s="104" t="s">
        <v>201</v>
      </c>
      <c r="BP16" s="105">
        <f>-'Investimento Inicial'!$C$10</f>
        <v>-1000</v>
      </c>
      <c r="BQ16" s="63"/>
      <c r="BR16" s="63"/>
      <c r="BS16" s="104" t="s">
        <v>201</v>
      </c>
      <c r="BT16" s="105">
        <f>-'Investimento Inicial'!$C$10</f>
        <v>-1000</v>
      </c>
      <c r="BU16" s="63"/>
      <c r="BV16" s="63"/>
      <c r="BW16" s="104" t="s">
        <v>201</v>
      </c>
      <c r="BX16" s="105">
        <f>-'Investimento Inicial'!$C$10</f>
        <v>-1000</v>
      </c>
      <c r="BY16" s="63"/>
      <c r="BZ16" s="63"/>
      <c r="CA16" s="104" t="s">
        <v>201</v>
      </c>
      <c r="CB16" s="105">
        <f>-'Investimento Inicial'!$C$10</f>
        <v>-1000</v>
      </c>
      <c r="CC16" s="63"/>
      <c r="CD16" s="63"/>
      <c r="CE16" s="104" t="s">
        <v>201</v>
      </c>
      <c r="CF16" s="105">
        <f>-'Investimento Inicial'!$C$10</f>
        <v>-1000</v>
      </c>
      <c r="CG16" s="63"/>
      <c r="CH16" s="63"/>
      <c r="CI16" s="104" t="s">
        <v>201</v>
      </c>
      <c r="CJ16" s="105">
        <f>-'Investimento Inicial'!$C$10</f>
        <v>-1000</v>
      </c>
      <c r="CK16" s="63"/>
      <c r="CL16" s="63"/>
      <c r="CM16" s="104" t="s">
        <v>201</v>
      </c>
      <c r="CN16" s="105">
        <f>-'Investimento Inicial'!$C$10</f>
        <v>-1000</v>
      </c>
      <c r="CO16" s="63"/>
      <c r="CP16" s="63"/>
      <c r="CQ16" s="104" t="s">
        <v>201</v>
      </c>
      <c r="CR16" s="105">
        <f>-'Investimento Inicial'!$C$10</f>
        <v>-1000</v>
      </c>
      <c r="CS16" s="63"/>
      <c r="CT16" s="63"/>
      <c r="CU16" s="104" t="s">
        <v>201</v>
      </c>
      <c r="CV16" s="105">
        <f>-'Investimento Inicial'!$C$10</f>
        <v>-1000</v>
      </c>
      <c r="CW16" s="63"/>
      <c r="CX16" s="63"/>
      <c r="CY16" s="104" t="s">
        <v>201</v>
      </c>
      <c r="CZ16" s="105">
        <f>-'Investimento Inicial'!$C$10</f>
        <v>-1000</v>
      </c>
      <c r="DA16" s="63"/>
      <c r="DB16" s="63"/>
      <c r="DC16" s="104" t="s">
        <v>201</v>
      </c>
      <c r="DD16" s="105">
        <f>-'Investimento Inicial'!$C$10</f>
        <v>-1000</v>
      </c>
      <c r="DE16" s="63"/>
      <c r="DF16" s="63"/>
      <c r="DG16" s="104" t="s">
        <v>201</v>
      </c>
      <c r="DH16" s="105">
        <f>-'Investimento Inicial'!$C$10</f>
        <v>-1000</v>
      </c>
      <c r="DI16" s="63"/>
      <c r="DJ16" s="63"/>
      <c r="DK16" s="104" t="s">
        <v>201</v>
      </c>
      <c r="DL16" s="105">
        <f>-'Investimento Inicial'!$C$10</f>
        <v>-1000</v>
      </c>
      <c r="DM16" s="63"/>
      <c r="DN16" s="63"/>
      <c r="DO16" s="104" t="s">
        <v>201</v>
      </c>
      <c r="DP16" s="105">
        <f>-'Investimento Inicial'!$C$10</f>
        <v>-1000</v>
      </c>
      <c r="DQ16" s="63"/>
      <c r="DR16" s="63"/>
      <c r="DS16" s="104" t="s">
        <v>201</v>
      </c>
      <c r="DT16" s="105">
        <f>-'Investimento Inicial'!$C$10</f>
        <v>-1000</v>
      </c>
      <c r="DU16" s="63"/>
      <c r="DV16" s="63"/>
      <c r="DW16" s="104" t="s">
        <v>201</v>
      </c>
      <c r="DX16" s="105">
        <f>-'Investimento Inicial'!$C$10</f>
        <v>-1000</v>
      </c>
      <c r="DY16" s="63"/>
      <c r="DZ16" s="63"/>
      <c r="EA16" s="104" t="s">
        <v>201</v>
      </c>
      <c r="EB16" s="105">
        <f>-'Investimento Inicial'!$C$10</f>
        <v>-1000</v>
      </c>
      <c r="EC16" s="63"/>
      <c r="ED16" s="63"/>
      <c r="EE16" s="104" t="s">
        <v>201</v>
      </c>
      <c r="EF16" s="105">
        <f>-'Investimento Inicial'!$C$10</f>
        <v>-1000</v>
      </c>
      <c r="EG16" s="63"/>
      <c r="EH16" s="63"/>
      <c r="EI16" s="104" t="s">
        <v>201</v>
      </c>
      <c r="EJ16" s="105">
        <f>-'Investimento Inicial'!$C$10</f>
        <v>-1000</v>
      </c>
      <c r="EK16" s="63"/>
      <c r="EL16" s="63"/>
      <c r="EM16" s="104" t="s">
        <v>201</v>
      </c>
      <c r="EN16" s="105">
        <f>-'Investimento Inicial'!$C$10</f>
        <v>-1000</v>
      </c>
      <c r="EO16" s="63"/>
      <c r="EP16" s="63"/>
      <c r="EQ16" s="104" t="s">
        <v>201</v>
      </c>
      <c r="ER16" s="105">
        <f>-'Investimento Inicial'!$C$10</f>
        <v>-1000</v>
      </c>
      <c r="ES16" s="63"/>
      <c r="ET16" s="63"/>
      <c r="EU16" s="104" t="s">
        <v>201</v>
      </c>
      <c r="EV16" s="105">
        <f>-'Investimento Inicial'!$C$10</f>
        <v>-1000</v>
      </c>
      <c r="EW16" s="63"/>
      <c r="EX16" s="63"/>
      <c r="EY16" s="104" t="s">
        <v>201</v>
      </c>
      <c r="EZ16" s="105">
        <f>-'Investimento Inicial'!$C$10</f>
        <v>-1000</v>
      </c>
      <c r="FA16" s="63"/>
      <c r="FB16" s="63"/>
      <c r="FC16" s="104" t="s">
        <v>201</v>
      </c>
      <c r="FD16" s="105">
        <f>-'Investimento Inicial'!$C$10</f>
        <v>-1000</v>
      </c>
      <c r="FE16" s="63"/>
      <c r="FF16" s="63"/>
      <c r="FG16" s="104" t="s">
        <v>201</v>
      </c>
      <c r="FH16" s="105">
        <f>-'Investimento Inicial'!$C$10</f>
        <v>-1000</v>
      </c>
      <c r="FI16" s="63"/>
      <c r="FJ16" s="63"/>
      <c r="FK16" s="104" t="s">
        <v>201</v>
      </c>
      <c r="FL16" s="105">
        <f>-'Investimento Inicial'!$C$10</f>
        <v>-1000</v>
      </c>
      <c r="FM16" s="63"/>
      <c r="FN16" s="63"/>
      <c r="FO16" s="104" t="s">
        <v>201</v>
      </c>
      <c r="FP16" s="105">
        <f>-'Investimento Inicial'!$C$10</f>
        <v>-1000</v>
      </c>
      <c r="FQ16" s="63"/>
      <c r="FR16" s="63"/>
      <c r="FS16" s="104" t="s">
        <v>201</v>
      </c>
      <c r="FT16" s="105">
        <f>-'Investimento Inicial'!$C$10</f>
        <v>-1000</v>
      </c>
      <c r="FU16" s="63"/>
      <c r="FV16" s="63"/>
      <c r="FW16" s="104" t="s">
        <v>201</v>
      </c>
      <c r="FX16" s="105">
        <f>-'Investimento Inicial'!$C$10</f>
        <v>-1000</v>
      </c>
      <c r="FY16" s="63"/>
      <c r="FZ16" s="63"/>
      <c r="GA16" s="104" t="s">
        <v>201</v>
      </c>
      <c r="GB16" s="105">
        <f>-'Investimento Inicial'!$C$10</f>
        <v>-1000</v>
      </c>
      <c r="GC16" s="63"/>
      <c r="GD16" s="63"/>
      <c r="GE16" s="104" t="s">
        <v>201</v>
      </c>
      <c r="GF16" s="105">
        <f>-'Investimento Inicial'!$C$10</f>
        <v>-1000</v>
      </c>
      <c r="GG16" s="63"/>
      <c r="GH16" s="63"/>
      <c r="GI16" s="104" t="s">
        <v>201</v>
      </c>
      <c r="GJ16" s="105">
        <f>-'Investimento Inicial'!$C$10</f>
        <v>-1000</v>
      </c>
      <c r="GK16" s="63"/>
      <c r="GL16" s="63"/>
      <c r="GM16" s="104" t="s">
        <v>201</v>
      </c>
      <c r="GN16" s="105">
        <f>-'Investimento Inicial'!$C$10</f>
        <v>-1000</v>
      </c>
      <c r="GO16" s="63"/>
      <c r="GP16" s="63"/>
      <c r="GQ16" s="104" t="s">
        <v>201</v>
      </c>
      <c r="GR16" s="105">
        <f>-'Investimento Inicial'!$C$10</f>
        <v>-1000</v>
      </c>
      <c r="GS16" s="63"/>
      <c r="GT16" s="63"/>
      <c r="GU16" s="104" t="s">
        <v>201</v>
      </c>
      <c r="GV16" s="105">
        <f>-'Investimento Inicial'!$C$10</f>
        <v>-1000</v>
      </c>
      <c r="GW16" s="63"/>
      <c r="GX16" s="63"/>
      <c r="GY16" s="104" t="s">
        <v>201</v>
      </c>
      <c r="GZ16" s="105">
        <f>-'Investimento Inicial'!$C$10</f>
        <v>-1000</v>
      </c>
      <c r="HA16" s="63"/>
      <c r="HB16" s="63"/>
      <c r="HC16" s="104" t="s">
        <v>201</v>
      </c>
      <c r="HD16" s="105">
        <f>-'Investimento Inicial'!$C$10</f>
        <v>-1000</v>
      </c>
      <c r="HE16" s="63"/>
      <c r="HF16" s="63"/>
      <c r="HG16" s="104" t="s">
        <v>201</v>
      </c>
      <c r="HH16" s="105">
        <f>-'Investimento Inicial'!$C$10</f>
        <v>-1000</v>
      </c>
      <c r="HI16" s="63"/>
      <c r="HJ16" s="63"/>
      <c r="HK16" s="104" t="s">
        <v>201</v>
      </c>
      <c r="HL16" s="105">
        <f>-'Investimento Inicial'!$C$10</f>
        <v>-1000</v>
      </c>
      <c r="HM16" s="63"/>
      <c r="HN16" s="63"/>
      <c r="HO16" s="104" t="s">
        <v>201</v>
      </c>
      <c r="HP16" s="105">
        <f>-'Investimento Inicial'!$C$10</f>
        <v>-1000</v>
      </c>
      <c r="HQ16" s="63"/>
      <c r="HR16" s="63"/>
      <c r="HS16" s="104" t="s">
        <v>201</v>
      </c>
      <c r="HT16" s="105">
        <f>-'Investimento Inicial'!$C$10</f>
        <v>-1000</v>
      </c>
      <c r="HU16" s="63"/>
      <c r="HV16" s="63"/>
      <c r="HW16" s="104" t="s">
        <v>201</v>
      </c>
      <c r="HX16" s="105">
        <f>-'Investimento Inicial'!$C$10</f>
        <v>-1000</v>
      </c>
      <c r="HY16" s="63"/>
      <c r="HZ16" s="63"/>
      <c r="IA16" s="104" t="s">
        <v>201</v>
      </c>
      <c r="IB16" s="105">
        <f>-'Investimento Inicial'!$C$10</f>
        <v>-1000</v>
      </c>
      <c r="IC16" s="63"/>
      <c r="ID16" s="63"/>
      <c r="IE16" s="104" t="s">
        <v>201</v>
      </c>
      <c r="IF16" s="105">
        <f>-'Investimento Inicial'!$C$10</f>
        <v>-1000</v>
      </c>
      <c r="IG16" s="63"/>
      <c r="IH16" s="63"/>
      <c r="II16" s="104" t="s">
        <v>201</v>
      </c>
      <c r="IJ16" s="105">
        <f>-'Investimento Inicial'!$C$10</f>
        <v>-1000</v>
      </c>
      <c r="IK16" s="63"/>
      <c r="IL16" s="63"/>
      <c r="IM16" s="104" t="s">
        <v>201</v>
      </c>
      <c r="IN16" s="105">
        <f>-'Investimento Inicial'!$C$10</f>
        <v>-1000</v>
      </c>
      <c r="IO16" s="63"/>
      <c r="IP16" s="63"/>
      <c r="IQ16" s="104" t="s">
        <v>201</v>
      </c>
      <c r="IR16" s="105">
        <f>-'Investimento Inicial'!$C$10</f>
        <v>-1000</v>
      </c>
      <c r="IS16" s="63"/>
      <c r="IT16" s="63"/>
      <c r="IU16" s="104" t="s">
        <v>201</v>
      </c>
      <c r="IV16" s="105">
        <f>-'Investimento Inicial'!$C$10</f>
        <v>-1000</v>
      </c>
      <c r="IW16" s="63"/>
      <c r="IX16" s="63"/>
      <c r="IY16" s="104" t="s">
        <v>201</v>
      </c>
      <c r="IZ16" s="105">
        <f>-'Investimento Inicial'!$C$10</f>
        <v>-1000</v>
      </c>
      <c r="JA16" s="63"/>
      <c r="JB16" s="63"/>
      <c r="JC16" s="104" t="s">
        <v>201</v>
      </c>
      <c r="JD16" s="105">
        <f>-'Investimento Inicial'!$C$10</f>
        <v>-1000</v>
      </c>
      <c r="JE16" s="63"/>
      <c r="JF16" s="63"/>
      <c r="JG16" s="104" t="s">
        <v>201</v>
      </c>
      <c r="JH16" s="105">
        <f>-'Investimento Inicial'!$C$10</f>
        <v>-1000</v>
      </c>
      <c r="JI16" s="63"/>
      <c r="JJ16" s="63"/>
      <c r="JK16" s="104" t="s">
        <v>201</v>
      </c>
      <c r="JL16" s="105">
        <f>-'Investimento Inicial'!$C$10</f>
        <v>-1000</v>
      </c>
      <c r="JM16" s="63"/>
      <c r="JN16" s="63"/>
      <c r="JO16" s="104" t="s">
        <v>201</v>
      </c>
      <c r="JP16" s="105">
        <f>-'Investimento Inicial'!$C$10</f>
        <v>-1000</v>
      </c>
      <c r="JQ16" s="63"/>
      <c r="JR16" s="63"/>
      <c r="JS16" s="104" t="s">
        <v>201</v>
      </c>
      <c r="JT16" s="105">
        <f>-'Investimento Inicial'!$C$10</f>
        <v>-1000</v>
      </c>
      <c r="JU16" s="63"/>
      <c r="JV16" s="63"/>
      <c r="JW16" s="104" t="s">
        <v>201</v>
      </c>
      <c r="JX16" s="105">
        <f>-'Investimento Inicial'!$C$10</f>
        <v>-1000</v>
      </c>
      <c r="JY16" s="63"/>
      <c r="JZ16" s="63"/>
      <c r="KA16" s="104" t="s">
        <v>201</v>
      </c>
      <c r="KB16" s="105">
        <f>-'Investimento Inicial'!$C$10</f>
        <v>-1000</v>
      </c>
      <c r="KC16" s="63"/>
    </row>
    <row r="17" spans="1:289" x14ac:dyDescent="0.25">
      <c r="A17" s="135">
        <v>10</v>
      </c>
      <c r="C17" s="104" t="s">
        <v>216</v>
      </c>
      <c r="D17" s="105">
        <v>-600</v>
      </c>
      <c r="F17" s="63"/>
      <c r="G17" s="104" t="s">
        <v>216</v>
      </c>
      <c r="H17" s="105">
        <v>-600</v>
      </c>
      <c r="I17" s="44"/>
      <c r="J17" s="63"/>
      <c r="K17" s="104" t="s">
        <v>216</v>
      </c>
      <c r="L17" s="105">
        <v>-600</v>
      </c>
      <c r="M17" s="44"/>
      <c r="N17" s="63"/>
      <c r="O17" s="104" t="s">
        <v>216</v>
      </c>
      <c r="P17" s="105">
        <v>-600</v>
      </c>
      <c r="Q17" s="44"/>
      <c r="R17" s="63"/>
      <c r="S17" s="104" t="s">
        <v>216</v>
      </c>
      <c r="T17" s="105">
        <v>-600</v>
      </c>
      <c r="U17" s="44"/>
      <c r="V17" s="63"/>
      <c r="W17" s="104" t="s">
        <v>216</v>
      </c>
      <c r="X17" s="105">
        <v>-600</v>
      </c>
      <c r="Y17" s="44"/>
      <c r="Z17" s="63"/>
      <c r="AA17" s="104" t="s">
        <v>216</v>
      </c>
      <c r="AB17" s="105">
        <v>-600</v>
      </c>
      <c r="AC17" s="44"/>
      <c r="AD17" s="63"/>
      <c r="AE17" s="104" t="s">
        <v>216</v>
      </c>
      <c r="AF17" s="105">
        <v>-600</v>
      </c>
      <c r="AG17" s="44"/>
      <c r="AH17" s="63"/>
      <c r="AI17" s="104" t="s">
        <v>216</v>
      </c>
      <c r="AJ17" s="105">
        <v>-600</v>
      </c>
      <c r="AK17" s="44"/>
      <c r="AL17" s="63"/>
      <c r="AM17" s="104" t="s">
        <v>216</v>
      </c>
      <c r="AN17" s="105">
        <v>-600</v>
      </c>
      <c r="AO17" s="44"/>
      <c r="AP17" s="63"/>
      <c r="AQ17" s="104" t="s">
        <v>216</v>
      </c>
      <c r="AR17" s="105">
        <v>-600</v>
      </c>
      <c r="AS17" s="44"/>
      <c r="AT17" s="63"/>
      <c r="AU17" s="104" t="s">
        <v>216</v>
      </c>
      <c r="AV17" s="105">
        <v>-600</v>
      </c>
      <c r="AW17" s="44"/>
      <c r="AX17" s="63"/>
      <c r="AY17" s="104" t="s">
        <v>216</v>
      </c>
      <c r="AZ17" s="105">
        <v>-600</v>
      </c>
      <c r="BA17" s="44"/>
      <c r="BB17" s="63"/>
      <c r="BC17" s="104" t="s">
        <v>216</v>
      </c>
      <c r="BD17" s="105">
        <v>-600</v>
      </c>
      <c r="BE17" s="44"/>
      <c r="BF17" s="63"/>
      <c r="BG17" s="104" t="s">
        <v>216</v>
      </c>
      <c r="BH17" s="105">
        <v>-600</v>
      </c>
      <c r="BI17" s="44"/>
      <c r="BJ17" s="63"/>
      <c r="BK17" s="104" t="s">
        <v>216</v>
      </c>
      <c r="BL17" s="105">
        <v>-600</v>
      </c>
      <c r="BM17" s="44"/>
      <c r="BN17" s="63"/>
      <c r="BO17" s="104" t="s">
        <v>216</v>
      </c>
      <c r="BP17" s="105">
        <v>-600</v>
      </c>
      <c r="BQ17" s="44"/>
      <c r="BR17" s="63"/>
      <c r="BS17" s="104" t="s">
        <v>216</v>
      </c>
      <c r="BT17" s="105">
        <v>-600</v>
      </c>
      <c r="BU17" s="44"/>
      <c r="BV17" s="63"/>
      <c r="BW17" s="104" t="s">
        <v>216</v>
      </c>
      <c r="BX17" s="105">
        <v>-600</v>
      </c>
      <c r="BY17" s="44"/>
      <c r="BZ17" s="63"/>
      <c r="CA17" s="104" t="s">
        <v>216</v>
      </c>
      <c r="CB17" s="105">
        <v>-600</v>
      </c>
      <c r="CC17" s="44"/>
      <c r="CD17" s="63"/>
      <c r="CE17" s="104" t="s">
        <v>216</v>
      </c>
      <c r="CF17" s="105">
        <v>-600</v>
      </c>
      <c r="CG17" s="44"/>
      <c r="CH17" s="63"/>
      <c r="CI17" s="104" t="s">
        <v>216</v>
      </c>
      <c r="CJ17" s="105">
        <v>-600</v>
      </c>
      <c r="CK17" s="44"/>
      <c r="CL17" s="63"/>
      <c r="CM17" s="104" t="s">
        <v>216</v>
      </c>
      <c r="CN17" s="105">
        <v>-600</v>
      </c>
      <c r="CO17" s="44"/>
      <c r="CP17" s="63"/>
      <c r="CQ17" s="104" t="s">
        <v>216</v>
      </c>
      <c r="CR17" s="105">
        <v>-600</v>
      </c>
      <c r="CS17" s="44"/>
      <c r="CT17" s="63"/>
      <c r="CU17" s="104" t="s">
        <v>216</v>
      </c>
      <c r="CV17" s="105">
        <v>-600</v>
      </c>
      <c r="CW17" s="44"/>
      <c r="CX17" s="63"/>
      <c r="CY17" s="104" t="s">
        <v>216</v>
      </c>
      <c r="CZ17" s="105">
        <v>-600</v>
      </c>
      <c r="DA17" s="44"/>
      <c r="DB17" s="63"/>
      <c r="DC17" s="104" t="s">
        <v>216</v>
      </c>
      <c r="DD17" s="105">
        <v>-600</v>
      </c>
      <c r="DE17" s="44"/>
      <c r="DF17" s="63"/>
      <c r="DG17" s="104" t="s">
        <v>216</v>
      </c>
      <c r="DH17" s="105">
        <v>-600</v>
      </c>
      <c r="DI17" s="44"/>
      <c r="DJ17" s="63"/>
      <c r="DK17" s="104" t="s">
        <v>216</v>
      </c>
      <c r="DL17" s="105">
        <v>-600</v>
      </c>
      <c r="DM17" s="44"/>
      <c r="DN17" s="63"/>
      <c r="DO17" s="104" t="s">
        <v>216</v>
      </c>
      <c r="DP17" s="105">
        <v>-600</v>
      </c>
      <c r="DQ17" s="44"/>
      <c r="DR17" s="63"/>
      <c r="DS17" s="104" t="s">
        <v>216</v>
      </c>
      <c r="DT17" s="105">
        <v>-600</v>
      </c>
      <c r="DU17" s="44"/>
      <c r="DV17" s="63"/>
      <c r="DW17" s="104" t="s">
        <v>216</v>
      </c>
      <c r="DX17" s="105">
        <v>-600</v>
      </c>
      <c r="DY17" s="44"/>
      <c r="DZ17" s="63"/>
      <c r="EA17" s="104" t="s">
        <v>216</v>
      </c>
      <c r="EB17" s="105">
        <v>-600</v>
      </c>
      <c r="EC17" s="44"/>
      <c r="ED17" s="63"/>
      <c r="EE17" s="104" t="s">
        <v>216</v>
      </c>
      <c r="EF17" s="105">
        <v>-600</v>
      </c>
      <c r="EG17" s="44"/>
      <c r="EH17" s="63"/>
      <c r="EI17" s="104" t="s">
        <v>216</v>
      </c>
      <c r="EJ17" s="105">
        <v>-600</v>
      </c>
      <c r="EK17" s="44"/>
      <c r="EL17" s="63"/>
      <c r="EM17" s="104" t="s">
        <v>216</v>
      </c>
      <c r="EN17" s="105">
        <v>-600</v>
      </c>
      <c r="EO17" s="44"/>
      <c r="EP17" s="63"/>
      <c r="EQ17" s="104" t="s">
        <v>216</v>
      </c>
      <c r="ER17" s="105">
        <v>-600</v>
      </c>
      <c r="ES17" s="44"/>
      <c r="ET17" s="63"/>
      <c r="EU17" s="104" t="s">
        <v>216</v>
      </c>
      <c r="EV17" s="105">
        <v>-600</v>
      </c>
      <c r="EW17" s="44"/>
      <c r="EX17" s="63"/>
      <c r="EY17" s="104" t="s">
        <v>216</v>
      </c>
      <c r="EZ17" s="105">
        <v>-600</v>
      </c>
      <c r="FA17" s="44"/>
      <c r="FB17" s="63"/>
      <c r="FC17" s="104" t="s">
        <v>216</v>
      </c>
      <c r="FD17" s="105">
        <v>-600</v>
      </c>
      <c r="FE17" s="44"/>
      <c r="FF17" s="63"/>
      <c r="FG17" s="104" t="s">
        <v>216</v>
      </c>
      <c r="FH17" s="105">
        <v>-600</v>
      </c>
      <c r="FI17" s="44"/>
      <c r="FJ17" s="63"/>
      <c r="FK17" s="104" t="s">
        <v>216</v>
      </c>
      <c r="FL17" s="105">
        <v>-600</v>
      </c>
      <c r="FM17" s="44"/>
      <c r="FN17" s="63"/>
      <c r="FO17" s="104" t="s">
        <v>216</v>
      </c>
      <c r="FP17" s="105">
        <v>-600</v>
      </c>
      <c r="FQ17" s="44"/>
      <c r="FR17" s="63"/>
      <c r="FS17" s="104" t="s">
        <v>216</v>
      </c>
      <c r="FT17" s="105">
        <v>-600</v>
      </c>
      <c r="FU17" s="44"/>
      <c r="FV17" s="63"/>
      <c r="FW17" s="104" t="s">
        <v>216</v>
      </c>
      <c r="FX17" s="105">
        <v>-600</v>
      </c>
      <c r="FY17" s="44"/>
      <c r="FZ17" s="63"/>
      <c r="GA17" s="104" t="s">
        <v>216</v>
      </c>
      <c r="GB17" s="105">
        <v>-600</v>
      </c>
      <c r="GC17" s="44"/>
      <c r="GD17" s="63"/>
      <c r="GE17" s="104" t="s">
        <v>216</v>
      </c>
      <c r="GF17" s="105">
        <v>-600</v>
      </c>
      <c r="GG17" s="44"/>
      <c r="GH17" s="63"/>
      <c r="GI17" s="104" t="s">
        <v>216</v>
      </c>
      <c r="GJ17" s="105">
        <v>-600</v>
      </c>
      <c r="GK17" s="44"/>
      <c r="GL17" s="63"/>
      <c r="GM17" s="104" t="s">
        <v>216</v>
      </c>
      <c r="GN17" s="105">
        <v>-600</v>
      </c>
      <c r="GO17" s="44"/>
      <c r="GP17" s="63"/>
      <c r="GQ17" s="104" t="s">
        <v>216</v>
      </c>
      <c r="GR17" s="105">
        <v>-600</v>
      </c>
      <c r="GS17" s="44"/>
      <c r="GT17" s="63"/>
      <c r="GU17" s="104" t="s">
        <v>216</v>
      </c>
      <c r="GV17" s="105">
        <v>-600</v>
      </c>
      <c r="GW17" s="44"/>
      <c r="GX17" s="63"/>
      <c r="GY17" s="104" t="s">
        <v>216</v>
      </c>
      <c r="GZ17" s="105">
        <v>-600</v>
      </c>
      <c r="HA17" s="44"/>
      <c r="HB17" s="63"/>
      <c r="HC17" s="104" t="s">
        <v>216</v>
      </c>
      <c r="HD17" s="105">
        <v>-600</v>
      </c>
      <c r="HE17" s="44"/>
      <c r="HF17" s="63"/>
      <c r="HG17" s="104" t="s">
        <v>216</v>
      </c>
      <c r="HH17" s="105">
        <v>-600</v>
      </c>
      <c r="HI17" s="44"/>
      <c r="HJ17" s="63"/>
      <c r="HK17" s="104" t="s">
        <v>216</v>
      </c>
      <c r="HL17" s="105">
        <v>-600</v>
      </c>
      <c r="HM17" s="44"/>
      <c r="HN17" s="63"/>
      <c r="HO17" s="104" t="s">
        <v>216</v>
      </c>
      <c r="HP17" s="105">
        <v>-600</v>
      </c>
      <c r="HQ17" s="44"/>
      <c r="HR17" s="63"/>
      <c r="HS17" s="104" t="s">
        <v>216</v>
      </c>
      <c r="HT17" s="105">
        <v>-600</v>
      </c>
      <c r="HU17" s="44"/>
      <c r="HV17" s="63"/>
      <c r="HW17" s="104" t="s">
        <v>216</v>
      </c>
      <c r="HX17" s="105">
        <v>-600</v>
      </c>
      <c r="HY17" s="44"/>
      <c r="HZ17" s="63"/>
      <c r="IA17" s="104" t="s">
        <v>216</v>
      </c>
      <c r="IB17" s="105">
        <v>-600</v>
      </c>
      <c r="IC17" s="44"/>
      <c r="ID17" s="63"/>
      <c r="IE17" s="104" t="s">
        <v>216</v>
      </c>
      <c r="IF17" s="105">
        <v>-600</v>
      </c>
      <c r="IG17" s="44"/>
      <c r="IH17" s="63"/>
      <c r="II17" s="104" t="s">
        <v>216</v>
      </c>
      <c r="IJ17" s="105">
        <v>-600</v>
      </c>
      <c r="IK17" s="44"/>
      <c r="IL17" s="63"/>
      <c r="IM17" s="104" t="s">
        <v>216</v>
      </c>
      <c r="IN17" s="105">
        <v>-600</v>
      </c>
      <c r="IO17" s="44"/>
      <c r="IP17" s="63"/>
      <c r="IQ17" s="104" t="s">
        <v>216</v>
      </c>
      <c r="IR17" s="105">
        <v>-600</v>
      </c>
      <c r="IS17" s="44"/>
      <c r="IT17" s="63"/>
      <c r="IU17" s="104" t="s">
        <v>216</v>
      </c>
      <c r="IV17" s="105">
        <v>-600</v>
      </c>
      <c r="IW17" s="44"/>
      <c r="IX17" s="63"/>
      <c r="IY17" s="104" t="s">
        <v>216</v>
      </c>
      <c r="IZ17" s="105">
        <v>-600</v>
      </c>
      <c r="JA17" s="44"/>
      <c r="JB17" s="63"/>
      <c r="JC17" s="104" t="s">
        <v>216</v>
      </c>
      <c r="JD17" s="105">
        <v>-600</v>
      </c>
      <c r="JE17" s="44"/>
      <c r="JF17" s="63"/>
      <c r="JG17" s="104" t="s">
        <v>216</v>
      </c>
      <c r="JH17" s="105">
        <v>-600</v>
      </c>
      <c r="JI17" s="44"/>
      <c r="JJ17" s="63"/>
      <c r="JK17" s="104" t="s">
        <v>216</v>
      </c>
      <c r="JL17" s="105">
        <v>-600</v>
      </c>
      <c r="JM17" s="44"/>
      <c r="JN17" s="63"/>
      <c r="JO17" s="104" t="s">
        <v>216</v>
      </c>
      <c r="JP17" s="105">
        <v>-600</v>
      </c>
      <c r="JQ17" s="44"/>
      <c r="JR17" s="63"/>
      <c r="JS17" s="104" t="s">
        <v>216</v>
      </c>
      <c r="JT17" s="105">
        <v>-600</v>
      </c>
      <c r="JU17" s="44"/>
      <c r="JV17" s="63"/>
      <c r="JW17" s="104" t="s">
        <v>216</v>
      </c>
      <c r="JX17" s="105">
        <v>-600</v>
      </c>
      <c r="JY17" s="44"/>
      <c r="JZ17" s="63"/>
      <c r="KA17" s="104" t="s">
        <v>216</v>
      </c>
      <c r="KB17" s="105">
        <v>-600</v>
      </c>
      <c r="KC17" s="44"/>
    </row>
    <row r="18" spans="1:289" x14ac:dyDescent="0.25">
      <c r="A18" s="45"/>
      <c r="C18" s="107" t="s">
        <v>206</v>
      </c>
      <c r="D18" s="108">
        <f ca="1">-E$18*D$4</f>
        <v>-1334.7681888981651</v>
      </c>
      <c r="E18" s="109">
        <f ca="1">VLOOKUP(SUM(OFFSET(D8, 0, -(MIN(12*4-1, COLUMN(D8)-1)), 1, MIN(12*4, COLUMN(D8)))), 'Tabela Simples'!$B$2:$C$7, 2, TRUE)</f>
        <v>4.4999999999999998E-2</v>
      </c>
      <c r="F18" s="19"/>
      <c r="G18" s="107" t="s">
        <v>206</v>
      </c>
      <c r="H18" s="108">
        <f ca="1">-I$18*H$4</f>
        <v>-1408.3367942376358</v>
      </c>
      <c r="I18" s="109">
        <f ca="1">VLOOKUP(SUM(OFFSET(H8, 0, -(MIN(12*4-1, COLUMN(H8)-1)), 1, MIN(12*4, COLUMN(H8)))), 'Tabela Simples'!$B$2:$C$7, 2, TRUE)</f>
        <v>4.4999999999999998E-2</v>
      </c>
      <c r="J18" s="19"/>
      <c r="K18" s="107" t="s">
        <v>206</v>
      </c>
      <c r="L18" s="108">
        <f ca="1">-M$18*L$4</f>
        <v>-1351.9425978652696</v>
      </c>
      <c r="M18" s="109">
        <f ca="1">VLOOKUP(SUM(OFFSET(L8, 0, -(MIN(12*4-1, COLUMN(L8)-1)), 1, MIN(12*4, COLUMN(L8)))), 'Tabela Simples'!$B$2:$C$7, 2, TRUE)</f>
        <v>4.4999999999999998E-2</v>
      </c>
      <c r="N18" s="19"/>
      <c r="O18" s="107" t="s">
        <v>206</v>
      </c>
      <c r="P18" s="108">
        <f t="shared" ref="P18" ca="1" si="620">-Q$18*P$4</f>
        <v>-1476.1080540024566</v>
      </c>
      <c r="Q18" s="109">
        <f ca="1">VLOOKUP(SUM(OFFSET(P8, 0, -(MIN(12*4-1, COLUMN(P8)-1)), 1, MIN(12*4, COLUMN(P8)))), 'Tabela Simples'!$B$2:$C$7, 2, TRUE)</f>
        <v>4.4999999999999998E-2</v>
      </c>
      <c r="R18" s="19"/>
      <c r="S18" s="107" t="s">
        <v>206</v>
      </c>
      <c r="T18" s="108">
        <f t="shared" ref="T18" ca="1" si="621">-U$18*T$4</f>
        <v>-1666.4444611717829</v>
      </c>
      <c r="U18" s="109">
        <f ca="1">VLOOKUP(SUM(OFFSET(T8, 0, -(MIN(12*4-1, COLUMN(T8)-1)), 1, MIN(12*4, COLUMN(T8)))), 'Tabela Simples'!$B$2:$C$7, 2, TRUE)</f>
        <v>4.4999999999999998E-2</v>
      </c>
      <c r="V18" s="19"/>
      <c r="W18" s="107" t="s">
        <v>206</v>
      </c>
      <c r="X18" s="108">
        <f t="shared" ref="X18" ca="1" si="622">-Y$18*X$4</f>
        <v>-2593.8893451129502</v>
      </c>
      <c r="Y18" s="109">
        <f ca="1">VLOOKUP(SUM(OFFSET(X8, 0, -(MIN(12*4-1, COLUMN(X8)-1)), 1, MIN(12*4, COLUMN(X8)))), 'Tabela Simples'!$B$2:$C$7, 2, TRUE)</f>
        <v>7.8E-2</v>
      </c>
      <c r="Z18" s="19"/>
      <c r="AA18" s="107" t="s">
        <v>206</v>
      </c>
      <c r="AB18" s="108">
        <f t="shared" ref="AB18" ca="1" si="623">-AC$18*AB$4</f>
        <v>-2852.166945562592</v>
      </c>
      <c r="AC18" s="109">
        <f ca="1">VLOOKUP(SUM(OFFSET(AB8, 0, -(MIN(12*4-1, COLUMN(AB8)-1)), 1, MIN(12*4, COLUMN(AB8)))), 'Tabela Simples'!$B$2:$C$7, 2, TRUE)</f>
        <v>7.8E-2</v>
      </c>
      <c r="AD18" s="19"/>
      <c r="AE18" s="107" t="s">
        <v>206</v>
      </c>
      <c r="AF18" s="108">
        <f t="shared" ref="AF18" ca="1" si="624">-AG$18*AF$4</f>
        <v>-3125.7638577702583</v>
      </c>
      <c r="AG18" s="109">
        <f ca="1">VLOOKUP(SUM(OFFSET(AF8, 0, -(MIN(12*4-1, COLUMN(AF8)-1)), 1, MIN(12*4, COLUMN(AF8)))), 'Tabela Simples'!$B$2:$C$7, 2, TRUE)</f>
        <v>7.8E-2</v>
      </c>
      <c r="AH18" s="19"/>
      <c r="AI18" s="107" t="s">
        <v>206</v>
      </c>
      <c r="AJ18" s="108">
        <f t="shared" ref="AJ18" ca="1" si="625">-AK$18*AJ$4</f>
        <v>-2845.0451595832938</v>
      </c>
      <c r="AK18" s="109">
        <f ca="1">VLOOKUP(SUM(OFFSET(AJ8, 0, -(MIN(12*4-1, COLUMN(AJ8)-1)), 1, MIN(12*4, COLUMN(AJ8)))), 'Tabela Simples'!$B$2:$C$7, 2, TRUE)</f>
        <v>7.8E-2</v>
      </c>
      <c r="AL18" s="19"/>
      <c r="AM18" s="107" t="s">
        <v>206</v>
      </c>
      <c r="AN18" s="108">
        <f t="shared" ref="AN18" ca="1" si="626">-AO$18*AN$4</f>
        <v>-2973.5320060225881</v>
      </c>
      <c r="AO18" s="109">
        <f ca="1">VLOOKUP(SUM(OFFSET(AN8, 0, -(MIN(12*4-1, COLUMN(AN8)-1)), 1, MIN(12*4, COLUMN(AN8)))), 'Tabela Simples'!$B$2:$C$7, 2, TRUE)</f>
        <v>7.8E-2</v>
      </c>
      <c r="AP18" s="19"/>
      <c r="AQ18" s="107" t="s">
        <v>206</v>
      </c>
      <c r="AR18" s="108">
        <f t="shared" ref="AR18" ca="1" si="627">-AS$18*AR$4</f>
        <v>-4838.0711569957739</v>
      </c>
      <c r="AS18" s="109">
        <f ca="1">VLOOKUP(SUM(OFFSET(AR8, 0, -(MIN(12*4-1, COLUMN(AR8)-1)), 1, MIN(12*4, COLUMN(AR8)))), 'Tabela Simples'!$B$2:$C$7, 2, TRUE)</f>
        <v>0.1</v>
      </c>
      <c r="AT18" s="19"/>
      <c r="AU18" s="107" t="s">
        <v>206</v>
      </c>
      <c r="AV18" s="108">
        <f t="shared" ref="AV18" ca="1" si="628">-AW$18*AV$4</f>
        <v>-4991.610951081133</v>
      </c>
      <c r="AW18" s="109">
        <f ca="1">VLOOKUP(SUM(OFFSET(AV8, 0, -(MIN(12*4-1, COLUMN(AV8)-1)), 1, MIN(12*4, COLUMN(AV8)))), 'Tabela Simples'!$B$2:$C$7, 2, TRUE)</f>
        <v>0.1</v>
      </c>
      <c r="AX18" s="19"/>
      <c r="AY18" s="107" t="s">
        <v>206</v>
      </c>
      <c r="AZ18" s="108">
        <f t="shared" ref="AZ18" ca="1" si="629">-BA$18*AZ$4</f>
        <v>-4943.3992755757336</v>
      </c>
      <c r="BA18" s="109">
        <f ca="1">VLOOKUP(SUM(OFFSET(AZ8, 0, -(MIN(12*4-1, COLUMN(AZ8)-1)), 1, MIN(12*4, COLUMN(AZ8)))), 'Tabela Simples'!$B$2:$C$7, 2, TRUE)</f>
        <v>0.1</v>
      </c>
      <c r="BB18" s="19"/>
      <c r="BC18" s="107" t="s">
        <v>206</v>
      </c>
      <c r="BD18" s="108">
        <f t="shared" ref="BD18" ca="1" si="630">-BE$18*BD$4</f>
        <v>-4202.0637960023423</v>
      </c>
      <c r="BE18" s="109">
        <f ca="1">VLOOKUP(SUM(OFFSET(BD8, 0, -(MIN(12*4-1, COLUMN(BD8)-1)), 1, MIN(12*4, COLUMN(BD8)))), 'Tabela Simples'!$B$2:$C$7, 2, TRUE)</f>
        <v>0.1</v>
      </c>
      <c r="BF18" s="19"/>
      <c r="BG18" s="107" t="s">
        <v>206</v>
      </c>
      <c r="BH18" s="108">
        <f t="shared" ref="BH18" ca="1" si="631">-BI$18*BH$4</f>
        <v>-4359.8812851073526</v>
      </c>
      <c r="BI18" s="109">
        <f ca="1">VLOOKUP(SUM(OFFSET(BH8, 0, -(MIN(12*4-1, COLUMN(BH8)-1)), 1, MIN(12*4, COLUMN(BH8)))), 'Tabela Simples'!$B$2:$C$7, 2, TRUE)</f>
        <v>0.1</v>
      </c>
      <c r="BJ18" s="19"/>
      <c r="BK18" s="107" t="s">
        <v>206</v>
      </c>
      <c r="BL18" s="108">
        <f t="shared" ref="BL18" ca="1" si="632">-BM$18*BL$4</f>
        <v>-4391.3662514648668</v>
      </c>
      <c r="BM18" s="109">
        <f ca="1">VLOOKUP(SUM(OFFSET(BL8, 0, -(MIN(12*4-1, COLUMN(BL8)-1)), 1, MIN(12*4, COLUMN(BL8)))), 'Tabela Simples'!$B$2:$C$7, 2, TRUE)</f>
        <v>0.1</v>
      </c>
      <c r="BN18" s="19"/>
      <c r="BO18" s="107" t="s">
        <v>206</v>
      </c>
      <c r="BP18" s="108">
        <f t="shared" ref="BP18" ca="1" si="633">-BQ$18*BP$4</f>
        <v>-4943.218019556225</v>
      </c>
      <c r="BQ18" s="109">
        <f ca="1">VLOOKUP(SUM(OFFSET(BP8, 0, -(MIN(12*4-1, COLUMN(BP8)-1)), 1, MIN(12*4, COLUMN(BP8)))), 'Tabela Simples'!$B$2:$C$7, 2, TRUE)</f>
        <v>0.1</v>
      </c>
      <c r="BR18" s="19"/>
      <c r="BS18" s="107" t="s">
        <v>206</v>
      </c>
      <c r="BT18" s="108">
        <f t="shared" ref="BT18" ca="1" si="634">-BU$18*BT$4</f>
        <v>-4401.5830692110867</v>
      </c>
      <c r="BU18" s="109">
        <f ca="1">VLOOKUP(SUM(OFFSET(BT8, 0, -(MIN(12*4-1, COLUMN(BT8)-1)), 1, MIN(12*4, COLUMN(BT8)))), 'Tabela Simples'!$B$2:$C$7, 2, TRUE)</f>
        <v>0.1</v>
      </c>
      <c r="BV18" s="19"/>
      <c r="BW18" s="107" t="s">
        <v>206</v>
      </c>
      <c r="BX18" s="108">
        <f t="shared" ref="BX18" ca="1" si="635">-BY$18*BX$4</f>
        <v>-5302.0166633785047</v>
      </c>
      <c r="BY18" s="109">
        <f ca="1">VLOOKUP(SUM(OFFSET(BX8, 0, -(MIN(12*4-1, COLUMN(BX8)-1)), 1, MIN(12*4, COLUMN(BX8)))), 'Tabela Simples'!$B$2:$C$7, 2, TRUE)</f>
        <v>0.1</v>
      </c>
      <c r="BZ18" s="19"/>
      <c r="CA18" s="107" t="s">
        <v>206</v>
      </c>
      <c r="CB18" s="108">
        <f t="shared" ref="CB18" ca="1" si="636">-CC$18*CB$4</f>
        <v>-5638.2160283466101</v>
      </c>
      <c r="CC18" s="109">
        <f ca="1">VLOOKUP(SUM(OFFSET(CB8, 0, -(MIN(12*4-1, COLUMN(CB8)-1)), 1, MIN(12*4, COLUMN(CB8)))), 'Tabela Simples'!$B$2:$C$7, 2, TRUE)</f>
        <v>0.1</v>
      </c>
      <c r="CD18" s="19"/>
      <c r="CE18" s="107" t="s">
        <v>206</v>
      </c>
      <c r="CF18" s="108">
        <f t="shared" ref="CF18" ca="1" si="637">-CG$18*CF$4</f>
        <v>-6435.7703743807215</v>
      </c>
      <c r="CG18" s="109">
        <f ca="1">VLOOKUP(SUM(OFFSET(CF8, 0, -(MIN(12*4-1, COLUMN(CF8)-1)), 1, MIN(12*4, COLUMN(CF8)))), 'Tabela Simples'!$B$2:$C$7, 2, TRUE)</f>
        <v>0.1</v>
      </c>
      <c r="CH18" s="19"/>
      <c r="CI18" s="107" t="s">
        <v>206</v>
      </c>
      <c r="CJ18" s="108">
        <f t="shared" ref="CJ18" ca="1" si="638">-CK$18*CJ$4</f>
        <v>-5098.2114323742335</v>
      </c>
      <c r="CK18" s="109">
        <f ca="1">VLOOKUP(SUM(OFFSET(CJ8, 0, -(MIN(12*4-1, COLUMN(CJ8)-1)), 1, MIN(12*4, COLUMN(CJ8)))), 'Tabela Simples'!$B$2:$C$7, 2, TRUE)</f>
        <v>0.1</v>
      </c>
      <c r="CL18" s="19"/>
      <c r="CM18" s="107" t="s">
        <v>206</v>
      </c>
      <c r="CN18" s="108">
        <f t="shared" ref="CN18" ca="1" si="639">-CO$18*CN$4</f>
        <v>-5259.0279323960158</v>
      </c>
      <c r="CO18" s="109">
        <f ca="1">VLOOKUP(SUM(OFFSET(CN8, 0, -(MIN(12*4-1, COLUMN(CN8)-1)), 1, MIN(12*4, COLUMN(CN8)))), 'Tabela Simples'!$B$2:$C$7, 2, TRUE)</f>
        <v>0.1</v>
      </c>
      <c r="CP18" s="19"/>
      <c r="CQ18" s="107" t="s">
        <v>206</v>
      </c>
      <c r="CR18" s="108">
        <f t="shared" ref="CR18" ca="1" si="640">-CS$18*CR$4</f>
        <v>-6315.1192383034258</v>
      </c>
      <c r="CS18" s="109">
        <f ca="1">VLOOKUP(SUM(OFFSET(CR8, 0, -(MIN(12*4-1, COLUMN(CR8)-1)), 1, MIN(12*4, COLUMN(CR8)))), 'Tabela Simples'!$B$2:$C$7, 2, TRUE)</f>
        <v>0.1</v>
      </c>
      <c r="CT18" s="19"/>
      <c r="CU18" s="107" t="s">
        <v>206</v>
      </c>
      <c r="CV18" s="108">
        <f t="shared" ref="CV18" ca="1" si="641">-CW$18*CV$4</f>
        <v>-5853.1790286575379</v>
      </c>
      <c r="CW18" s="109">
        <f ca="1">VLOOKUP(SUM(OFFSET(CV8, 0, -(MIN(12*4-1, COLUMN(CV8)-1)), 1, MIN(12*4, COLUMN(CV8)))), 'Tabela Simples'!$B$2:$C$7, 2, TRUE)</f>
        <v>0.1</v>
      </c>
      <c r="CX18" s="19"/>
      <c r="CY18" s="107" t="s">
        <v>206</v>
      </c>
      <c r="CZ18" s="108">
        <f t="shared" ref="CZ18" ca="1" si="642">-DA$18*CZ$4</f>
        <v>-5319.0028411949243</v>
      </c>
      <c r="DA18" s="109">
        <f ca="1">VLOOKUP(SUM(OFFSET(CZ8, 0, -(MIN(12*4-1, COLUMN(CZ8)-1)), 1, MIN(12*4, COLUMN(CZ8)))), 'Tabela Simples'!$B$2:$C$7, 2, TRUE)</f>
        <v>0.1</v>
      </c>
      <c r="DB18" s="19"/>
      <c r="DC18" s="107" t="s">
        <v>206</v>
      </c>
      <c r="DD18" s="108">
        <f t="shared" ref="DD18" ca="1" si="643">-DE$18*DD$4</f>
        <v>-6240.9733319575535</v>
      </c>
      <c r="DE18" s="109">
        <f ca="1">VLOOKUP(SUM(OFFSET(DD8, 0, -(MIN(12*4-1, COLUMN(DD8)-1)), 1, MIN(12*4, COLUMN(DD8)))), 'Tabela Simples'!$B$2:$C$7, 2, TRUE)</f>
        <v>0.1</v>
      </c>
      <c r="DF18" s="19"/>
      <c r="DG18" s="107" t="s">
        <v>206</v>
      </c>
      <c r="DH18" s="108">
        <f t="shared" ref="DH18" ca="1" si="644">-DI$18*DH$4</f>
        <v>-6091.5942917398042</v>
      </c>
      <c r="DI18" s="109">
        <f ca="1">VLOOKUP(SUM(OFFSET(DH8, 0, -(MIN(12*4-1, COLUMN(DH8)-1)), 1, MIN(12*4, COLUMN(DH8)))), 'Tabela Simples'!$B$2:$C$7, 2, TRUE)</f>
        <v>0.1</v>
      </c>
      <c r="DJ18" s="19"/>
      <c r="DK18" s="107" t="s">
        <v>206</v>
      </c>
      <c r="DL18" s="108">
        <f t="shared" ref="DL18" ca="1" si="645">-DM$18*DL$4</f>
        <v>-6600.0732925684397</v>
      </c>
      <c r="DM18" s="109">
        <f ca="1">VLOOKUP(SUM(OFFSET(DL8, 0, -(MIN(12*4-1, COLUMN(DL8)-1)), 1, MIN(12*4, COLUMN(DL8)))), 'Tabela Simples'!$B$2:$C$7, 2, TRUE)</f>
        <v>0.1</v>
      </c>
      <c r="DN18" s="19"/>
      <c r="DO18" s="107" t="s">
        <v>206</v>
      </c>
      <c r="DP18" s="108">
        <f t="shared" ref="DP18" ca="1" si="646">-DQ$18*DP$4</f>
        <v>-6645.2203385681314</v>
      </c>
      <c r="DQ18" s="109">
        <f ca="1">VLOOKUP(SUM(OFFSET(DP8, 0, -(MIN(12*4-1, COLUMN(DP8)-1)), 1, MIN(12*4, COLUMN(DP8)))), 'Tabela Simples'!$B$2:$C$7, 2, TRUE)</f>
        <v>0.1</v>
      </c>
      <c r="DR18" s="19"/>
      <c r="DS18" s="107" t="s">
        <v>206</v>
      </c>
      <c r="DT18" s="108">
        <f t="shared" ref="DT18" ca="1" si="647">-DU$18*DT$4</f>
        <v>-7864.8132144853253</v>
      </c>
      <c r="DU18" s="109">
        <f ca="1">VLOOKUP(SUM(OFFSET(DT8, 0, -(MIN(12*4-1, COLUMN(DT8)-1)), 1, MIN(12*4, COLUMN(DT8)))), 'Tabela Simples'!$B$2:$C$7, 2, TRUE)</f>
        <v>0.112</v>
      </c>
      <c r="DV18" s="19"/>
      <c r="DW18" s="107" t="s">
        <v>206</v>
      </c>
      <c r="DX18" s="108">
        <f t="shared" ref="DX18" ca="1" si="648">-DY$18*DX$4</f>
        <v>-7618.6781505497438</v>
      </c>
      <c r="DY18" s="109">
        <f ca="1">VLOOKUP(SUM(OFFSET(DX8, 0, -(MIN(12*4-1, COLUMN(DX8)-1)), 1, MIN(12*4, COLUMN(DX8)))), 'Tabela Simples'!$B$2:$C$7, 2, TRUE)</f>
        <v>0.112</v>
      </c>
      <c r="DZ18" s="19"/>
      <c r="EA18" s="107" t="s">
        <v>206</v>
      </c>
      <c r="EB18" s="108">
        <f t="shared" ref="EB18" ca="1" si="649">-EC$18*EB$4</f>
        <v>-7971.737353351441</v>
      </c>
      <c r="EC18" s="109">
        <f ca="1">VLOOKUP(SUM(OFFSET(EB8, 0, -(MIN(12*4-1, COLUMN(EB8)-1)), 1, MIN(12*4, COLUMN(EB8)))), 'Tabela Simples'!$B$2:$C$7, 2, TRUE)</f>
        <v>0.112</v>
      </c>
      <c r="ED18" s="19"/>
      <c r="EE18" s="107" t="s">
        <v>206</v>
      </c>
      <c r="EF18" s="108">
        <f t="shared" ref="EF18" ca="1" si="650">-EG$18*EF$4</f>
        <v>-8121.7393036620406</v>
      </c>
      <c r="EG18" s="109">
        <f ca="1">VLOOKUP(SUM(OFFSET(EF8, 0, -(MIN(12*4-1, COLUMN(EF8)-1)), 1, MIN(12*4, COLUMN(EF8)))), 'Tabela Simples'!$B$2:$C$7, 2, TRUE)</f>
        <v>0.112</v>
      </c>
      <c r="EH18" s="19"/>
      <c r="EI18" s="107" t="s">
        <v>206</v>
      </c>
      <c r="EJ18" s="108">
        <f t="shared" ref="EJ18" ca="1" si="651">-EK$18*EJ$4</f>
        <v>-9305.5717918287974</v>
      </c>
      <c r="EK18" s="109">
        <f ca="1">VLOOKUP(SUM(OFFSET(EJ8, 0, -(MIN(12*4-1, COLUMN(EJ8)-1)), 1, MIN(12*4, COLUMN(EJ8)))), 'Tabela Simples'!$B$2:$C$7, 2, TRUE)</f>
        <v>0.112</v>
      </c>
      <c r="EL18" s="19"/>
      <c r="EM18" s="107" t="s">
        <v>206</v>
      </c>
      <c r="EN18" s="108">
        <f t="shared" ref="EN18" ca="1" si="652">-EO$18*EN$4</f>
        <v>-9495.2833653654743</v>
      </c>
      <c r="EO18" s="109">
        <f ca="1">VLOOKUP(SUM(OFFSET(EN8, 0, -(MIN(12*4-1, COLUMN(EN8)-1)), 1, MIN(12*4, COLUMN(EN8)))), 'Tabela Simples'!$B$2:$C$7, 2, TRUE)</f>
        <v>0.112</v>
      </c>
      <c r="EP18" s="19"/>
      <c r="EQ18" s="107" t="s">
        <v>206</v>
      </c>
      <c r="ER18" s="108">
        <f t="shared" ref="ER18" ca="1" si="653">-ES$18*ER$4</f>
        <v>-7821.4621647646372</v>
      </c>
      <c r="ES18" s="109">
        <f ca="1">VLOOKUP(SUM(OFFSET(ER8, 0, -(MIN(12*4-1, COLUMN(ER8)-1)), 1, MIN(12*4, COLUMN(ER8)))), 'Tabela Simples'!$B$2:$C$7, 2, TRUE)</f>
        <v>0.112</v>
      </c>
      <c r="ET18" s="19"/>
      <c r="EU18" s="107" t="s">
        <v>206</v>
      </c>
      <c r="EV18" s="108">
        <f t="shared" ref="EV18" ca="1" si="654">-EW$18*EV$4</f>
        <v>-9778.8696644359934</v>
      </c>
      <c r="EW18" s="109">
        <f ca="1">VLOOKUP(SUM(OFFSET(EV8, 0, -(MIN(12*4-1, COLUMN(EV8)-1)), 1, MIN(12*4, COLUMN(EV8)))), 'Tabela Simples'!$B$2:$C$7, 2, TRUE)</f>
        <v>0.112</v>
      </c>
      <c r="EX18" s="19"/>
      <c r="EY18" s="107" t="s">
        <v>206</v>
      </c>
      <c r="EZ18" s="108">
        <f t="shared" ref="EZ18" ca="1" si="655">-FA$18*EZ$4</f>
        <v>-8548.4602340341189</v>
      </c>
      <c r="FA18" s="109">
        <f ca="1">VLOOKUP(SUM(OFFSET(EZ8, 0, -(MIN(12*4-1, COLUMN(EZ8)-1)), 1, MIN(12*4, COLUMN(EZ8)))), 'Tabela Simples'!$B$2:$C$7, 2, TRUE)</f>
        <v>0.112</v>
      </c>
      <c r="FB18" s="19"/>
      <c r="FC18" s="107" t="s">
        <v>206</v>
      </c>
      <c r="FD18" s="108">
        <f t="shared" ref="FD18" ca="1" si="656">-FE$18*FD$4</f>
        <v>-9814.8492828858507</v>
      </c>
      <c r="FE18" s="109">
        <f ca="1">VLOOKUP(SUM(OFFSET(FD8, 0, -(MIN(12*4-1, COLUMN(FD8)-1)), 1, MIN(12*4, COLUMN(FD8)))), 'Tabela Simples'!$B$2:$C$7, 2, TRUE)</f>
        <v>0.112</v>
      </c>
      <c r="FF18" s="19"/>
      <c r="FG18" s="107" t="s">
        <v>206</v>
      </c>
      <c r="FH18" s="108">
        <f t="shared" ref="FH18" ca="1" si="657">-FI$18*FH$4</f>
        <v>-9569.6580559892591</v>
      </c>
      <c r="FI18" s="109">
        <f ca="1">VLOOKUP(SUM(OFFSET(FH8, 0, -(MIN(12*4-1, COLUMN(FH8)-1)), 1, MIN(12*4, COLUMN(FH8)))), 'Tabela Simples'!$B$2:$C$7, 2, TRUE)</f>
        <v>0.112</v>
      </c>
      <c r="FJ18" s="19"/>
      <c r="FK18" s="107" t="s">
        <v>206</v>
      </c>
      <c r="FL18" s="108">
        <f t="shared" ref="FL18" ca="1" si="658">-FM$18*FL$4</f>
        <v>-9622.1983594963349</v>
      </c>
      <c r="FM18" s="109">
        <f ca="1">VLOOKUP(SUM(OFFSET(FL8, 0, -(MIN(12*4-1, COLUMN(FL8)-1)), 1, MIN(12*4, COLUMN(FL8)))), 'Tabela Simples'!$B$2:$C$7, 2, TRUE)</f>
        <v>0.112</v>
      </c>
      <c r="FN18" s="19"/>
      <c r="FO18" s="107" t="s">
        <v>206</v>
      </c>
      <c r="FP18" s="108">
        <f t="shared" ref="FP18" ca="1" si="659">-FQ$18*FP$4</f>
        <v>-8541.6729370353623</v>
      </c>
      <c r="FQ18" s="109">
        <f ca="1">VLOOKUP(SUM(OFFSET(FP8, 0, -(MIN(12*4-1, COLUMN(FP8)-1)), 1, MIN(12*4, COLUMN(FP8)))), 'Tabela Simples'!$B$2:$C$7, 2, TRUE)</f>
        <v>0.112</v>
      </c>
      <c r="FR18" s="19"/>
      <c r="FS18" s="107" t="s">
        <v>206</v>
      </c>
      <c r="FT18" s="108">
        <f t="shared" ref="FT18" ca="1" si="660">-FU$18*FT$4</f>
        <v>-8735.7513161599509</v>
      </c>
      <c r="FU18" s="109">
        <f ca="1">VLOOKUP(SUM(OFFSET(FT8, 0, -(MIN(12*4-1, COLUMN(FT8)-1)), 1, MIN(12*4, COLUMN(FT8)))), 'Tabela Simples'!$B$2:$C$7, 2, TRUE)</f>
        <v>0.112</v>
      </c>
      <c r="FV18" s="19"/>
      <c r="FW18" s="107" t="s">
        <v>206</v>
      </c>
      <c r="FX18" s="108">
        <f t="shared" ref="FX18" ca="1" si="661">-FY$18*FX$4</f>
        <v>-10591.990312690263</v>
      </c>
      <c r="FY18" s="109">
        <f ca="1">VLOOKUP(SUM(OFFSET(FX8, 0, -(MIN(12*4-1, COLUMN(FX8)-1)), 1, MIN(12*4, COLUMN(FX8)))), 'Tabela Simples'!$B$2:$C$7, 2, TRUE)</f>
        <v>0.112</v>
      </c>
      <c r="FZ18" s="19"/>
      <c r="GA18" s="107" t="s">
        <v>206</v>
      </c>
      <c r="GB18" s="108">
        <f t="shared" ref="GB18" ca="1" si="662">-GC$18*GB$4</f>
        <v>-8907.5205354066784</v>
      </c>
      <c r="GC18" s="109">
        <f ca="1">VLOOKUP(SUM(OFFSET(GB8, 0, -(MIN(12*4-1, COLUMN(GB8)-1)), 1, MIN(12*4, COLUMN(GB8)))), 'Tabela Simples'!$B$2:$C$7, 2, TRUE)</f>
        <v>0.112</v>
      </c>
      <c r="GD18" s="19"/>
      <c r="GE18" s="107" t="s">
        <v>206</v>
      </c>
      <c r="GF18" s="108">
        <f t="shared" ref="GF18" ca="1" si="663">-GG$18*GF$4</f>
        <v>-11285.152700632054</v>
      </c>
      <c r="GG18" s="109">
        <f ca="1">VLOOKUP(SUM(OFFSET(GF8, 0, -(MIN(12*4-1, COLUMN(GF8)-1)), 1, MIN(12*4, COLUMN(GF8)))), 'Tabela Simples'!$B$2:$C$7, 2, TRUE)</f>
        <v>0.112</v>
      </c>
      <c r="GH18" s="19"/>
      <c r="GI18" s="107" t="s">
        <v>206</v>
      </c>
      <c r="GJ18" s="108">
        <f t="shared" ref="GJ18" ca="1" si="664">-GK$18*GJ$4</f>
        <v>-11112.801798873003</v>
      </c>
      <c r="GK18" s="109">
        <f ca="1">VLOOKUP(SUM(OFFSET(GJ8, 0, -(MIN(12*4-1, COLUMN(GJ8)-1)), 1, MIN(12*4, COLUMN(GJ8)))), 'Tabela Simples'!$B$2:$C$7, 2, TRUE)</f>
        <v>0.112</v>
      </c>
      <c r="GL18" s="19"/>
      <c r="GM18" s="107" t="s">
        <v>206</v>
      </c>
      <c r="GN18" s="108">
        <f t="shared" ref="GN18" ca="1" si="665">-GO$18*GN$4</f>
        <v>-9154.943634776524</v>
      </c>
      <c r="GO18" s="109">
        <f ca="1">VLOOKUP(SUM(OFFSET(GN8, 0, -(MIN(12*4-1, COLUMN(GN8)-1)), 1, MIN(12*4, COLUMN(GN8)))), 'Tabela Simples'!$B$2:$C$7, 2, TRUE)</f>
        <v>0.112</v>
      </c>
      <c r="GP18" s="19"/>
      <c r="GQ18" s="107" t="s">
        <v>206</v>
      </c>
      <c r="GR18" s="108">
        <f t="shared" ref="GR18" ca="1" si="666">-GS$18*GR$4</f>
        <v>-11447.929151802677</v>
      </c>
      <c r="GS18" s="109">
        <f ca="1">VLOOKUP(SUM(OFFSET(GR8, 0, -(MIN(12*4-1, COLUMN(GR8)-1)), 1, MIN(12*4, COLUMN(GR8)))), 'Tabela Simples'!$B$2:$C$7, 2, TRUE)</f>
        <v>0.112</v>
      </c>
      <c r="GT18" s="19"/>
      <c r="GU18" s="107" t="s">
        <v>206</v>
      </c>
      <c r="GV18" s="108">
        <f t="shared" ref="GV18" ca="1" si="667">-GW$18*GV$4</f>
        <v>-11875.530339915354</v>
      </c>
      <c r="GW18" s="109">
        <f ca="1">VLOOKUP(SUM(OFFSET(GV8, 0, -(MIN(12*4-1, COLUMN(GV8)-1)), 1, MIN(12*4, COLUMN(GV8)))), 'Tabela Simples'!$B$2:$C$7, 2, TRUE)</f>
        <v>0.112</v>
      </c>
      <c r="GX18" s="19"/>
      <c r="GY18" s="107" t="s">
        <v>206</v>
      </c>
      <c r="GZ18" s="108">
        <f t="shared" ref="GZ18" ca="1" si="668">-HA$18*GZ$4</f>
        <v>-9671.4653847929949</v>
      </c>
      <c r="HA18" s="109">
        <f ca="1">VLOOKUP(SUM(OFFSET(GZ8, 0, -(MIN(12*4-1, COLUMN(GZ8)-1)), 1, MIN(12*4, COLUMN(GZ8)))), 'Tabela Simples'!$B$2:$C$7, 2, TRUE)</f>
        <v>0.112</v>
      </c>
      <c r="HB18" s="19"/>
      <c r="HC18" s="107" t="s">
        <v>206</v>
      </c>
      <c r="HD18" s="108">
        <f t="shared" ref="HD18" ca="1" si="669">-HE$18*HD$4</f>
        <v>-10674.538455499538</v>
      </c>
      <c r="HE18" s="109">
        <f ca="1">VLOOKUP(SUM(OFFSET(HD8, 0, -(MIN(12*4-1, COLUMN(HD8)-1)), 1, MIN(12*4, COLUMN(HD8)))), 'Tabela Simples'!$B$2:$C$7, 2, TRUE)</f>
        <v>0.112</v>
      </c>
      <c r="HF18" s="19"/>
      <c r="HG18" s="107" t="s">
        <v>206</v>
      </c>
      <c r="HH18" s="108">
        <f t="shared" ref="HH18" ca="1" si="670">-HI$18*HH$4</f>
        <v>-12242.311582216344</v>
      </c>
      <c r="HI18" s="109">
        <f ca="1">VLOOKUP(SUM(OFFSET(HH8, 0, -(MIN(12*4-1, COLUMN(HH8)-1)), 1, MIN(12*4, COLUMN(HH8)))), 'Tabela Simples'!$B$2:$C$7, 2, TRUE)</f>
        <v>0.112</v>
      </c>
      <c r="HJ18" s="19"/>
      <c r="HK18" s="107" t="s">
        <v>206</v>
      </c>
      <c r="HL18" s="108">
        <f t="shared" ref="HL18" ca="1" si="671">-HM$18*HL$4</f>
        <v>-11194.100267174677</v>
      </c>
      <c r="HM18" s="109">
        <f ca="1">VLOOKUP(SUM(OFFSET(HL8, 0, -(MIN(12*4-1, COLUMN(HL8)-1)), 1, MIN(12*4, COLUMN(HL8)))), 'Tabela Simples'!$B$2:$C$7, 2, TRUE)</f>
        <v>0.112</v>
      </c>
      <c r="HN18" s="19"/>
      <c r="HO18" s="107" t="s">
        <v>206</v>
      </c>
      <c r="HP18" s="108">
        <f t="shared" ref="HP18" ca="1" si="672">-HQ$18*HP$4</f>
        <v>-13134.090658016072</v>
      </c>
      <c r="HQ18" s="109">
        <f ca="1">VLOOKUP(SUM(OFFSET(HP8, 0, -(MIN(12*4-1, COLUMN(HP8)-1)), 1, MIN(12*4, COLUMN(HP8)))), 'Tabela Simples'!$B$2:$C$7, 2, TRUE)</f>
        <v>0.112</v>
      </c>
      <c r="HR18" s="19"/>
      <c r="HS18" s="107" t="s">
        <v>206</v>
      </c>
      <c r="HT18" s="108">
        <f t="shared" ref="HT18" ca="1" si="673">-HU$18*HT$4</f>
        <v>-10724.904802185047</v>
      </c>
      <c r="HU18" s="109">
        <f ca="1">VLOOKUP(SUM(OFFSET(HT8, 0, -(MIN(12*4-1, COLUMN(HT8)-1)), 1, MIN(12*4, COLUMN(HT8)))), 'Tabela Simples'!$B$2:$C$7, 2, TRUE)</f>
        <v>0.112</v>
      </c>
      <c r="HV18" s="19"/>
      <c r="HW18" s="107" t="s">
        <v>206</v>
      </c>
      <c r="HX18" s="108">
        <f t="shared" ref="HX18" ca="1" si="674">-HY$18*HX$4</f>
        <v>-13337.758746735619</v>
      </c>
      <c r="HY18" s="109">
        <f ca="1">VLOOKUP(SUM(OFFSET(HX8, 0, -(MIN(12*4-1, COLUMN(HX8)-1)), 1, MIN(12*4, COLUMN(HX8)))), 'Tabela Simples'!$B$2:$C$7, 2, TRUE)</f>
        <v>0.112</v>
      </c>
      <c r="HZ18" s="19"/>
      <c r="IA18" s="107" t="s">
        <v>206</v>
      </c>
      <c r="IB18" s="108">
        <f t="shared" ref="IB18" ca="1" si="675">-IC$18*IB$4</f>
        <v>-10862.985875767119</v>
      </c>
      <c r="IC18" s="109">
        <f ca="1">VLOOKUP(SUM(OFFSET(IB8, 0, -(MIN(12*4-1, COLUMN(IB8)-1)), 1, MIN(12*4, COLUMN(IB8)))), 'Tabela Simples'!$B$2:$C$7, 2, TRUE)</f>
        <v>0.112</v>
      </c>
      <c r="ID18" s="19"/>
      <c r="IE18" s="107" t="s">
        <v>206</v>
      </c>
      <c r="IF18" s="108">
        <f t="shared" ref="IF18" ca="1" si="676">-IG$18*IF$4</f>
        <v>-11839.353007452708</v>
      </c>
      <c r="IG18" s="109">
        <f ca="1">VLOOKUP(SUM(OFFSET(IF8, 0, -(MIN(12*4-1, COLUMN(IF8)-1)), 1, MIN(12*4, COLUMN(IF8)))), 'Tabela Simples'!$B$2:$C$7, 2, TRUE)</f>
        <v>0.112</v>
      </c>
      <c r="IH18" s="19"/>
      <c r="II18" s="107" t="s">
        <v>206</v>
      </c>
      <c r="IJ18" s="108">
        <f t="shared" ref="IJ18" ca="1" si="677">-IK$18*IJ$4</f>
        <v>-10754.109247213153</v>
      </c>
      <c r="IK18" s="109">
        <f ca="1">VLOOKUP(SUM(OFFSET(IJ8, 0, -(MIN(12*4-1, COLUMN(IJ8)-1)), 1, MIN(12*4, COLUMN(IJ8)))), 'Tabela Simples'!$B$2:$C$7, 2, TRUE)</f>
        <v>0.112</v>
      </c>
      <c r="IL18" s="19"/>
      <c r="IM18" s="107" t="s">
        <v>206</v>
      </c>
      <c r="IN18" s="108">
        <f t="shared" ref="IN18" ca="1" si="678">-IO$18*IN$4</f>
        <v>-12552.93210815684</v>
      </c>
      <c r="IO18" s="109">
        <f ca="1">VLOOKUP(SUM(OFFSET(IN8, 0, -(MIN(12*4-1, COLUMN(IN8)-1)), 1, MIN(12*4, COLUMN(IN8)))), 'Tabela Simples'!$B$2:$C$7, 2, TRUE)</f>
        <v>0.112</v>
      </c>
      <c r="IP18" s="19"/>
      <c r="IQ18" s="107" t="s">
        <v>206</v>
      </c>
      <c r="IR18" s="108">
        <f t="shared" ref="IR18" ca="1" si="679">-IS$18*IR$4</f>
        <v>-11675.154876469496</v>
      </c>
      <c r="IS18" s="109">
        <f ca="1">VLOOKUP(SUM(OFFSET(IR8, 0, -(MIN(12*4-1, COLUMN(IR8)-1)), 1, MIN(12*4, COLUMN(IR8)))), 'Tabela Simples'!$B$2:$C$7, 2, TRUE)</f>
        <v>0.112</v>
      </c>
      <c r="IT18" s="19"/>
      <c r="IU18" s="107" t="s">
        <v>206</v>
      </c>
      <c r="IV18" s="108">
        <f t="shared" ref="IV18" ca="1" si="680">-IW$18*IV$4</f>
        <v>-14084.229548266036</v>
      </c>
      <c r="IW18" s="109">
        <f ca="1">VLOOKUP(SUM(OFFSET(IV8, 0, -(MIN(12*4-1, COLUMN(IV8)-1)), 1, MIN(12*4, COLUMN(IV8)))), 'Tabela Simples'!$B$2:$C$7, 2, TRUE)</f>
        <v>0.112</v>
      </c>
      <c r="IX18" s="19"/>
      <c r="IY18" s="107" t="s">
        <v>206</v>
      </c>
      <c r="IZ18" s="108">
        <f t="shared" ref="IZ18" ca="1" si="681">-JA$18*IZ$4</f>
        <v>-13191.853890629574</v>
      </c>
      <c r="JA18" s="109">
        <f ca="1">VLOOKUP(SUM(OFFSET(IZ8, 0, -(MIN(12*4-1, COLUMN(IZ8)-1)), 1, MIN(12*4, COLUMN(IZ8)))), 'Tabela Simples'!$B$2:$C$7, 2, TRUE)</f>
        <v>0.112</v>
      </c>
      <c r="JB18" s="19"/>
      <c r="JC18" s="107" t="s">
        <v>206</v>
      </c>
      <c r="JD18" s="108">
        <f t="shared" ref="JD18" ca="1" si="682">-JE$18*JD$4</f>
        <v>-14002.781981877206</v>
      </c>
      <c r="JE18" s="109">
        <f ca="1">VLOOKUP(SUM(OFFSET(JD8, 0, -(MIN(12*4-1, COLUMN(JD8)-1)), 1, MIN(12*4, COLUMN(JD8)))), 'Tabela Simples'!$B$2:$C$7, 2, TRUE)</f>
        <v>0.112</v>
      </c>
      <c r="JF18" s="19"/>
      <c r="JG18" s="107" t="s">
        <v>206</v>
      </c>
      <c r="JH18" s="108">
        <f t="shared" ref="JH18" ca="1" si="683">-JI$18*JH$4</f>
        <v>-14599.235868260592</v>
      </c>
      <c r="JI18" s="109">
        <f ca="1">VLOOKUP(SUM(OFFSET(JH8, 0, -(MIN(12*4-1, COLUMN(JH8)-1)), 1, MIN(12*4, COLUMN(JH8)))), 'Tabela Simples'!$B$2:$C$7, 2, TRUE)</f>
        <v>0.112</v>
      </c>
      <c r="JJ18" s="19"/>
      <c r="JK18" s="107" t="s">
        <v>206</v>
      </c>
      <c r="JL18" s="108">
        <f t="shared" ref="JL18" ca="1" si="684">-JM$18*JL$4</f>
        <v>-12637.007299321725</v>
      </c>
      <c r="JM18" s="109">
        <f ca="1">VLOOKUP(SUM(OFFSET(JL8, 0, -(MIN(12*4-1, COLUMN(JL8)-1)), 1, MIN(12*4, COLUMN(JL8)))), 'Tabela Simples'!$B$2:$C$7, 2, TRUE)</f>
        <v>0.112</v>
      </c>
      <c r="JN18" s="19"/>
      <c r="JO18" s="107" t="s">
        <v>206</v>
      </c>
      <c r="JP18" s="108">
        <f t="shared" ref="JP18" ca="1" si="685">-JQ$18*JP$4</f>
        <v>-14421.780600983642</v>
      </c>
      <c r="JQ18" s="109">
        <f ca="1">VLOOKUP(SUM(OFFSET(JP8, 0, -(MIN(12*4-1, COLUMN(JP8)-1)), 1, MIN(12*4, COLUMN(JP8)))), 'Tabela Simples'!$B$2:$C$7, 2, TRUE)</f>
        <v>0.112</v>
      </c>
      <c r="JR18" s="19"/>
      <c r="JS18" s="107" t="s">
        <v>206</v>
      </c>
      <c r="JT18" s="108">
        <f t="shared" ref="JT18" ca="1" si="686">-JU$18*JT$4</f>
        <v>-13795.449817874627</v>
      </c>
      <c r="JU18" s="109">
        <f ca="1">VLOOKUP(SUM(OFFSET(JT8, 0, -(MIN(12*4-1, COLUMN(JT8)-1)), 1, MIN(12*4, COLUMN(JT8)))), 'Tabela Simples'!$B$2:$C$7, 2, TRUE)</f>
        <v>0.112</v>
      </c>
      <c r="JV18" s="19"/>
      <c r="JW18" s="107" t="s">
        <v>206</v>
      </c>
      <c r="JX18" s="108">
        <f t="shared" ref="JX18" ca="1" si="687">-JY$18*JX$4</f>
        <v>-13211.159160551138</v>
      </c>
      <c r="JY18" s="109">
        <f ca="1">VLOOKUP(SUM(OFFSET(JX8, 0, -(MIN(12*4-1, COLUMN(JX8)-1)), 1, MIN(12*4, COLUMN(JX8)))), 'Tabela Simples'!$B$2:$C$7, 2, TRUE)</f>
        <v>0.112</v>
      </c>
      <c r="JZ18" s="19"/>
      <c r="KA18" s="107" t="s">
        <v>206</v>
      </c>
      <c r="KB18" s="108">
        <f t="shared" ref="KB18" ca="1" si="688">-KC$18*KB$4</f>
        <v>-15707.890471639472</v>
      </c>
      <c r="KC18" s="109">
        <f ca="1">VLOOKUP(SUM(OFFSET(KB8, 0, -(MIN(12*4-1, COLUMN(KB8)-1)), 1, MIN(12*4, COLUMN(KB8)))), 'Tabela Simples'!$B$2:$C$7, 2, TRUE)</f>
        <v>0.112</v>
      </c>
    </row>
    <row r="19" spans="1:289" x14ac:dyDescent="0.25">
      <c r="A19" s="66"/>
      <c r="C19" s="107" t="s">
        <v>210</v>
      </c>
      <c r="D19" s="108">
        <f ca="1">-E$19*(D$5*60)/0.25</f>
        <v>-2976</v>
      </c>
      <c r="E19" s="110">
        <v>4</v>
      </c>
      <c r="G19" s="107" t="s">
        <v>210</v>
      </c>
      <c r="H19" s="108">
        <f ca="1">-I$19*(H$5*60)/0.25</f>
        <v>-3072</v>
      </c>
      <c r="I19" s="110">
        <v>4</v>
      </c>
      <c r="K19" s="107" t="s">
        <v>210</v>
      </c>
      <c r="L19" s="108">
        <f ca="1">-M$19*(L$5*60)/0.25</f>
        <v>-2880</v>
      </c>
      <c r="M19" s="110">
        <v>4</v>
      </c>
      <c r="N19" s="44"/>
      <c r="O19" s="107" t="s">
        <v>210</v>
      </c>
      <c r="P19" s="108">
        <f t="shared" ref="P19" ca="1" si="689">-Q$19*(P$5*60)/0.25</f>
        <v>-3168</v>
      </c>
      <c r="Q19" s="110">
        <v>4</v>
      </c>
      <c r="R19" s="44"/>
      <c r="S19" s="107" t="s">
        <v>210</v>
      </c>
      <c r="T19" s="108">
        <f t="shared" ref="T19" ca="1" si="690">-U$19*(T$5*60)/0.25</f>
        <v>-3648</v>
      </c>
      <c r="U19" s="110">
        <v>4</v>
      </c>
      <c r="V19" s="44"/>
      <c r="W19" s="107" t="s">
        <v>210</v>
      </c>
      <c r="X19" s="108">
        <f t="shared" ref="X19" ca="1" si="691">-Y$19*(X$5*60)/0.25</f>
        <v>-3360</v>
      </c>
      <c r="Y19" s="110">
        <v>4</v>
      </c>
      <c r="Z19" s="44"/>
      <c r="AA19" s="107" t="s">
        <v>210</v>
      </c>
      <c r="AB19" s="108">
        <f t="shared" ref="AB19" ca="1" si="692">-AC$19*(AB$5*60)/0.25</f>
        <v>-3648</v>
      </c>
      <c r="AC19" s="110">
        <v>4</v>
      </c>
      <c r="AD19" s="44"/>
      <c r="AE19" s="107" t="s">
        <v>210</v>
      </c>
      <c r="AF19" s="108">
        <f t="shared" ref="AF19" ca="1" si="693">-AG$19*(AF$5*60)/0.25</f>
        <v>-3935.9999999999995</v>
      </c>
      <c r="AG19" s="110">
        <v>4</v>
      </c>
      <c r="AH19" s="44"/>
      <c r="AI19" s="107" t="s">
        <v>210</v>
      </c>
      <c r="AJ19" s="108">
        <f t="shared" ref="AJ19" ca="1" si="694">-AK$19*(AJ$5*60)/0.25</f>
        <v>-3744</v>
      </c>
      <c r="AK19" s="110">
        <v>4</v>
      </c>
      <c r="AL19" s="44"/>
      <c r="AM19" s="107" t="s">
        <v>210</v>
      </c>
      <c r="AN19" s="108">
        <f t="shared" ref="AN19" ca="1" si="695">-AO$19*(AN$5*60)/0.25</f>
        <v>-3935.9999999999995</v>
      </c>
      <c r="AO19" s="110">
        <v>4</v>
      </c>
      <c r="AP19" s="44"/>
      <c r="AQ19" s="107" t="s">
        <v>210</v>
      </c>
      <c r="AR19" s="108">
        <f t="shared" ref="AR19" ca="1" si="696">-AS$19*(AR$5*60)/0.25</f>
        <v>-4896</v>
      </c>
      <c r="AS19" s="110">
        <v>4</v>
      </c>
      <c r="AT19" s="44"/>
      <c r="AU19" s="107" t="s">
        <v>210</v>
      </c>
      <c r="AV19" s="108">
        <f t="shared" ref="AV19" ca="1" si="697">-AW$19*(AV$5*60)/0.25</f>
        <v>-5088</v>
      </c>
      <c r="AW19" s="110">
        <v>4</v>
      </c>
      <c r="AX19" s="44"/>
      <c r="AY19" s="107" t="s">
        <v>210</v>
      </c>
      <c r="AZ19" s="108">
        <f t="shared" ref="AZ19" ca="1" si="698">-BA$19*(AZ$5*60)/0.25</f>
        <v>-4800</v>
      </c>
      <c r="BA19" s="110">
        <v>4</v>
      </c>
      <c r="BB19" s="44"/>
      <c r="BC19" s="107" t="s">
        <v>210</v>
      </c>
      <c r="BD19" s="108">
        <f t="shared" ref="BD19" ca="1" si="699">-BE$19*(BD$5*60)/0.25</f>
        <v>-4224</v>
      </c>
      <c r="BE19" s="110">
        <v>4</v>
      </c>
      <c r="BF19" s="44"/>
      <c r="BG19" s="107" t="s">
        <v>210</v>
      </c>
      <c r="BH19" s="108">
        <f t="shared" ref="BH19" ca="1" si="700">-BI$19*(BH$5*60)/0.25</f>
        <v>-4320</v>
      </c>
      <c r="BI19" s="110">
        <v>4</v>
      </c>
      <c r="BJ19" s="44"/>
      <c r="BK19" s="107" t="s">
        <v>210</v>
      </c>
      <c r="BL19" s="108">
        <f t="shared" ref="BL19" ca="1" si="701">-BM$19*(BL$5*60)/0.25</f>
        <v>-4416</v>
      </c>
      <c r="BM19" s="110">
        <v>4</v>
      </c>
      <c r="BN19" s="44"/>
      <c r="BO19" s="107" t="s">
        <v>210</v>
      </c>
      <c r="BP19" s="108">
        <f t="shared" ref="BP19" ca="1" si="702">-BQ$19*(BP$5*60)/0.25</f>
        <v>-4992</v>
      </c>
      <c r="BQ19" s="110">
        <v>4</v>
      </c>
      <c r="BR19" s="44"/>
      <c r="BS19" s="107" t="s">
        <v>210</v>
      </c>
      <c r="BT19" s="108">
        <f t="shared" ref="BT19" ca="1" si="703">-BU$19*(BT$5*60)/0.25</f>
        <v>-4416</v>
      </c>
      <c r="BU19" s="110">
        <v>4</v>
      </c>
      <c r="BV19" s="44"/>
      <c r="BW19" s="107" t="s">
        <v>210</v>
      </c>
      <c r="BX19" s="108">
        <f t="shared" ref="BX19" ca="1" si="704">-BY$19*(BX$5*60)/0.25</f>
        <v>-5184</v>
      </c>
      <c r="BY19" s="110">
        <v>4</v>
      </c>
      <c r="BZ19" s="44"/>
      <c r="CA19" s="107" t="s">
        <v>210</v>
      </c>
      <c r="CB19" s="108">
        <f t="shared" ref="CB19" ca="1" si="705">-CC$19*(CB$5*60)/0.25</f>
        <v>-5664</v>
      </c>
      <c r="CC19" s="110">
        <v>4</v>
      </c>
      <c r="CD19" s="44"/>
      <c r="CE19" s="107" t="s">
        <v>210</v>
      </c>
      <c r="CF19" s="108">
        <f t="shared" ref="CF19" ca="1" si="706">-CG$19*(CF$5*60)/0.25</f>
        <v>-6432</v>
      </c>
      <c r="CG19" s="110">
        <v>4</v>
      </c>
      <c r="CH19" s="44"/>
      <c r="CI19" s="107" t="s">
        <v>210</v>
      </c>
      <c r="CJ19" s="108">
        <f t="shared" ref="CJ19" ca="1" si="707">-CK$19*(CJ$5*60)/0.25</f>
        <v>-5184</v>
      </c>
      <c r="CK19" s="110">
        <v>4</v>
      </c>
      <c r="CL19" s="44"/>
      <c r="CM19" s="107" t="s">
        <v>210</v>
      </c>
      <c r="CN19" s="108">
        <f t="shared" ref="CN19" ca="1" si="708">-CO$19*(CN$5*60)/0.25</f>
        <v>-5088</v>
      </c>
      <c r="CO19" s="110">
        <v>4</v>
      </c>
      <c r="CP19" s="44"/>
      <c r="CQ19" s="107" t="s">
        <v>210</v>
      </c>
      <c r="CR19" s="108">
        <f t="shared" ref="CR19" ca="1" si="709">-CS$19*(CR$5*60)/0.25</f>
        <v>-6048</v>
      </c>
      <c r="CS19" s="110">
        <v>4</v>
      </c>
      <c r="CT19" s="44"/>
      <c r="CU19" s="107" t="s">
        <v>210</v>
      </c>
      <c r="CV19" s="108">
        <f t="shared" ref="CV19" ca="1" si="710">-CW$19*(CV$5*60)/0.25</f>
        <v>-6048</v>
      </c>
      <c r="CW19" s="110">
        <v>4</v>
      </c>
      <c r="CX19" s="44"/>
      <c r="CY19" s="107" t="s">
        <v>210</v>
      </c>
      <c r="CZ19" s="108">
        <f t="shared" ref="CZ19" ca="1" si="711">-DA$19*(CZ$5*60)/0.25</f>
        <v>-5376</v>
      </c>
      <c r="DA19" s="110">
        <v>4</v>
      </c>
      <c r="DB19" s="44"/>
      <c r="DC19" s="107" t="s">
        <v>210</v>
      </c>
      <c r="DD19" s="108">
        <f t="shared" ref="DD19" ca="1" si="712">-DE$19*(DD$5*60)/0.25</f>
        <v>-6336</v>
      </c>
      <c r="DE19" s="110">
        <v>4</v>
      </c>
      <c r="DF19" s="44"/>
      <c r="DG19" s="107" t="s">
        <v>210</v>
      </c>
      <c r="DH19" s="108">
        <f t="shared" ref="DH19" ca="1" si="713">-DI$19*(DH$5*60)/0.25</f>
        <v>-6240</v>
      </c>
      <c r="DI19" s="110">
        <v>4</v>
      </c>
      <c r="DJ19" s="44"/>
      <c r="DK19" s="107" t="s">
        <v>210</v>
      </c>
      <c r="DL19" s="108">
        <f t="shared" ref="DL19" ca="1" si="714">-DM$19*(DL$5*60)/0.25</f>
        <v>-6624</v>
      </c>
      <c r="DM19" s="110">
        <v>4</v>
      </c>
      <c r="DN19" s="44"/>
      <c r="DO19" s="107" t="s">
        <v>210</v>
      </c>
      <c r="DP19" s="108">
        <f t="shared" ref="DP19" ca="1" si="715">-DQ$19*(DP$5*60)/0.25</f>
        <v>-6720</v>
      </c>
      <c r="DQ19" s="110">
        <v>4</v>
      </c>
      <c r="DR19" s="44"/>
      <c r="DS19" s="107" t="s">
        <v>210</v>
      </c>
      <c r="DT19" s="108">
        <f t="shared" ref="DT19" ca="1" si="716">-DU$19*(DT$5*60)/0.25</f>
        <v>-7008</v>
      </c>
      <c r="DU19" s="110">
        <v>4</v>
      </c>
      <c r="DV19" s="44"/>
      <c r="DW19" s="107" t="s">
        <v>210</v>
      </c>
      <c r="DX19" s="108">
        <f t="shared" ref="DX19" ca="1" si="717">-DY$19*(DX$5*60)/0.25</f>
        <v>-6912</v>
      </c>
      <c r="DY19" s="110">
        <v>4</v>
      </c>
      <c r="DZ19" s="44"/>
      <c r="EA19" s="107" t="s">
        <v>210</v>
      </c>
      <c r="EB19" s="108">
        <f t="shared" ref="EB19" ca="1" si="718">-EC$19*(EB$5*60)/0.25</f>
        <v>-7200</v>
      </c>
      <c r="EC19" s="110">
        <v>4</v>
      </c>
      <c r="ED19" s="44"/>
      <c r="EE19" s="107" t="s">
        <v>210</v>
      </c>
      <c r="EF19" s="108">
        <f t="shared" ref="EF19" ca="1" si="719">-EG$19*(EF$5*60)/0.25</f>
        <v>-7488</v>
      </c>
      <c r="EG19" s="110">
        <v>4</v>
      </c>
      <c r="EH19" s="44"/>
      <c r="EI19" s="107" t="s">
        <v>210</v>
      </c>
      <c r="EJ19" s="108">
        <f t="shared" ref="EJ19" ca="1" si="720">-EK$19*(EJ$5*60)/0.25</f>
        <v>-8256</v>
      </c>
      <c r="EK19" s="110">
        <v>4</v>
      </c>
      <c r="EL19" s="44"/>
      <c r="EM19" s="107" t="s">
        <v>210</v>
      </c>
      <c r="EN19" s="108">
        <f t="shared" ref="EN19" ca="1" si="721">-EO$19*(EN$5*60)/0.25</f>
        <v>-8160</v>
      </c>
      <c r="EO19" s="110">
        <v>4</v>
      </c>
      <c r="EP19" s="44"/>
      <c r="EQ19" s="107" t="s">
        <v>210</v>
      </c>
      <c r="ER19" s="108">
        <f t="shared" ref="ER19" ca="1" si="722">-ES$19*(ER$5*60)/0.25</f>
        <v>-7008</v>
      </c>
      <c r="ES19" s="110">
        <v>4</v>
      </c>
      <c r="ET19" s="44"/>
      <c r="EU19" s="107" t="s">
        <v>210</v>
      </c>
      <c r="EV19" s="108">
        <f t="shared" ref="EV19" ca="1" si="723">-EW$19*(EV$5*60)/0.25</f>
        <v>-8544</v>
      </c>
      <c r="EW19" s="110">
        <v>4</v>
      </c>
      <c r="EX19" s="44"/>
      <c r="EY19" s="107" t="s">
        <v>210</v>
      </c>
      <c r="EZ19" s="108">
        <f t="shared" ref="EZ19" ca="1" si="724">-FA$19*(EZ$5*60)/0.25</f>
        <v>-7584</v>
      </c>
      <c r="FA19" s="110">
        <v>4</v>
      </c>
      <c r="FB19" s="44"/>
      <c r="FC19" s="107" t="s">
        <v>210</v>
      </c>
      <c r="FD19" s="108">
        <f t="shared" ref="FD19" ca="1" si="725">-FE$19*(FD$5*60)/0.25</f>
        <v>-8736</v>
      </c>
      <c r="FE19" s="110">
        <v>4</v>
      </c>
      <c r="FF19" s="44"/>
      <c r="FG19" s="107" t="s">
        <v>210</v>
      </c>
      <c r="FH19" s="108">
        <f t="shared" ref="FH19" ca="1" si="726">-FI$19*(FH$5*60)/0.25</f>
        <v>-8544</v>
      </c>
      <c r="FI19" s="110">
        <v>4</v>
      </c>
      <c r="FJ19" s="44"/>
      <c r="FK19" s="107" t="s">
        <v>210</v>
      </c>
      <c r="FL19" s="108">
        <f t="shared" ref="FL19" ca="1" si="727">-FM$19*(FL$5*60)/0.25</f>
        <v>-8448</v>
      </c>
      <c r="FM19" s="110">
        <v>4</v>
      </c>
      <c r="FN19" s="44"/>
      <c r="FO19" s="107" t="s">
        <v>210</v>
      </c>
      <c r="FP19" s="108">
        <f t="shared" ref="FP19" ca="1" si="728">-FQ$19*(FP$5*60)/0.25</f>
        <v>-7584</v>
      </c>
      <c r="FQ19" s="110">
        <v>4</v>
      </c>
      <c r="FR19" s="44"/>
      <c r="FS19" s="107" t="s">
        <v>210</v>
      </c>
      <c r="FT19" s="108">
        <f t="shared" ref="FT19" ca="1" si="729">-FU$19*(FT$5*60)/0.25</f>
        <v>-7871.9999999999991</v>
      </c>
      <c r="FU19" s="110">
        <v>4</v>
      </c>
      <c r="FV19" s="44"/>
      <c r="FW19" s="107" t="s">
        <v>210</v>
      </c>
      <c r="FX19" s="108">
        <f t="shared" ref="FX19" ca="1" si="730">-FY$19*(FX$5*60)/0.25</f>
        <v>-9312</v>
      </c>
      <c r="FY19" s="110">
        <v>4</v>
      </c>
      <c r="FZ19" s="44"/>
      <c r="GA19" s="107" t="s">
        <v>210</v>
      </c>
      <c r="GB19" s="108">
        <f t="shared" ref="GB19" ca="1" si="731">-GC$19*(GB$5*60)/0.25</f>
        <v>-8064</v>
      </c>
      <c r="GC19" s="110">
        <v>4</v>
      </c>
      <c r="GD19" s="44"/>
      <c r="GE19" s="107" t="s">
        <v>210</v>
      </c>
      <c r="GF19" s="108">
        <f t="shared" ref="GF19" ca="1" si="732">-GG$19*(GF$5*60)/0.25</f>
        <v>-9888</v>
      </c>
      <c r="GG19" s="110">
        <v>4</v>
      </c>
      <c r="GH19" s="44"/>
      <c r="GI19" s="107" t="s">
        <v>210</v>
      </c>
      <c r="GJ19" s="108">
        <f t="shared" ref="GJ19" ca="1" si="733">-GK$19*(GJ$5*60)/0.25</f>
        <v>-9888</v>
      </c>
      <c r="GK19" s="110">
        <v>4</v>
      </c>
      <c r="GL19" s="44"/>
      <c r="GM19" s="107" t="s">
        <v>210</v>
      </c>
      <c r="GN19" s="108">
        <f t="shared" ref="GN19" ca="1" si="734">-GO$19*(GN$5*60)/0.25</f>
        <v>-8352</v>
      </c>
      <c r="GO19" s="110">
        <v>4</v>
      </c>
      <c r="GP19" s="44"/>
      <c r="GQ19" s="107" t="s">
        <v>210</v>
      </c>
      <c r="GR19" s="108">
        <f t="shared" ref="GR19" ca="1" si="735">-GS$19*(GR$5*60)/0.25</f>
        <v>-10272</v>
      </c>
      <c r="GS19" s="110">
        <v>4</v>
      </c>
      <c r="GT19" s="44"/>
      <c r="GU19" s="107" t="s">
        <v>210</v>
      </c>
      <c r="GV19" s="108">
        <f t="shared" ref="GV19" ca="1" si="736">-GW$19*(GV$5*60)/0.25</f>
        <v>-10656</v>
      </c>
      <c r="GW19" s="110">
        <v>4</v>
      </c>
      <c r="GX19" s="44"/>
      <c r="GY19" s="107" t="s">
        <v>210</v>
      </c>
      <c r="GZ19" s="108">
        <f t="shared" ref="GZ19" ca="1" si="737">-HA$19*(GZ$5*60)/0.25</f>
        <v>-8736</v>
      </c>
      <c r="HA19" s="110">
        <v>4</v>
      </c>
      <c r="HB19" s="44"/>
      <c r="HC19" s="107" t="s">
        <v>210</v>
      </c>
      <c r="HD19" s="108">
        <f t="shared" ref="HD19" ca="1" si="738">-HE$19*(HD$5*60)/0.25</f>
        <v>-9696</v>
      </c>
      <c r="HE19" s="110">
        <v>4</v>
      </c>
      <c r="HF19" s="44"/>
      <c r="HG19" s="107" t="s">
        <v>210</v>
      </c>
      <c r="HH19" s="108">
        <f t="shared" ref="HH19" ca="1" si="739">-HI$19*(HH$5*60)/0.25</f>
        <v>-10944</v>
      </c>
      <c r="HI19" s="110">
        <v>4</v>
      </c>
      <c r="HJ19" s="44"/>
      <c r="HK19" s="107" t="s">
        <v>210</v>
      </c>
      <c r="HL19" s="108">
        <f t="shared" ref="HL19" ca="1" si="740">-HM$19*(HL$5*60)/0.25</f>
        <v>-10080</v>
      </c>
      <c r="HM19" s="110">
        <v>4</v>
      </c>
      <c r="HN19" s="44"/>
      <c r="HO19" s="107" t="s">
        <v>210</v>
      </c>
      <c r="HP19" s="108">
        <f t="shared" ref="HP19" ca="1" si="741">-HQ$19*(HP$5*60)/0.25</f>
        <v>-11424</v>
      </c>
      <c r="HQ19" s="110">
        <v>4</v>
      </c>
      <c r="HR19" s="44"/>
      <c r="HS19" s="107" t="s">
        <v>210</v>
      </c>
      <c r="HT19" s="108">
        <f t="shared" ref="HT19" ca="1" si="742">-HU$19*(HT$5*60)/0.25</f>
        <v>-9312</v>
      </c>
      <c r="HU19" s="110">
        <v>4</v>
      </c>
      <c r="HV19" s="44"/>
      <c r="HW19" s="107" t="s">
        <v>210</v>
      </c>
      <c r="HX19" s="108">
        <f t="shared" ref="HX19" ca="1" si="743">-HY$19*(HX$5*60)/0.25</f>
        <v>-11808</v>
      </c>
      <c r="HY19" s="110">
        <v>4</v>
      </c>
      <c r="HZ19" s="44"/>
      <c r="IA19" s="107" t="s">
        <v>210</v>
      </c>
      <c r="IB19" s="108">
        <f t="shared" ref="IB19" ca="1" si="744">-IC$19*(IB$5*60)/0.25</f>
        <v>-9696</v>
      </c>
      <c r="IC19" s="110">
        <v>4</v>
      </c>
      <c r="ID19" s="44"/>
      <c r="IE19" s="107" t="s">
        <v>210</v>
      </c>
      <c r="IF19" s="108">
        <f t="shared" ref="IF19" ca="1" si="745">-IG$19*(IF$5*60)/0.25</f>
        <v>-10944</v>
      </c>
      <c r="IG19" s="110">
        <v>4</v>
      </c>
      <c r="IH19" s="44"/>
      <c r="II19" s="107" t="s">
        <v>210</v>
      </c>
      <c r="IJ19" s="108">
        <f t="shared" ref="IJ19" ca="1" si="746">-IK$19*(IJ$5*60)/0.25</f>
        <v>-9792</v>
      </c>
      <c r="IK19" s="110">
        <v>4</v>
      </c>
      <c r="IL19" s="44"/>
      <c r="IM19" s="107" t="s">
        <v>210</v>
      </c>
      <c r="IN19" s="108">
        <f t="shared" ref="IN19" ca="1" si="747">-IO$19*(IN$5*60)/0.25</f>
        <v>-10944</v>
      </c>
      <c r="IO19" s="110">
        <v>4</v>
      </c>
      <c r="IP19" s="44"/>
      <c r="IQ19" s="107" t="s">
        <v>210</v>
      </c>
      <c r="IR19" s="108">
        <f t="shared" ref="IR19" ca="1" si="748">-IS$19*(IR$5*60)/0.25</f>
        <v>-10848</v>
      </c>
      <c r="IS19" s="110">
        <v>4</v>
      </c>
      <c r="IT19" s="44"/>
      <c r="IU19" s="107" t="s">
        <v>210</v>
      </c>
      <c r="IV19" s="108">
        <f t="shared" ref="IV19" ca="1" si="749">-IW$19*(IV$5*60)/0.25</f>
        <v>-12480</v>
      </c>
      <c r="IW19" s="110">
        <v>4</v>
      </c>
      <c r="IX19" s="44"/>
      <c r="IY19" s="107" t="s">
        <v>210</v>
      </c>
      <c r="IZ19" s="108">
        <f t="shared" ref="IZ19" ca="1" si="750">-JA$19*(IZ$5*60)/0.25</f>
        <v>-11616</v>
      </c>
      <c r="JA19" s="110">
        <v>4</v>
      </c>
      <c r="JB19" s="44"/>
      <c r="JC19" s="107" t="s">
        <v>210</v>
      </c>
      <c r="JD19" s="108">
        <f t="shared" ref="JD19" ca="1" si="751">-JE$19*(JD$5*60)/0.25</f>
        <v>-12576</v>
      </c>
      <c r="JE19" s="110">
        <v>4</v>
      </c>
      <c r="JF19" s="44"/>
      <c r="JG19" s="107" t="s">
        <v>210</v>
      </c>
      <c r="JH19" s="108">
        <f t="shared" ref="JH19" ca="1" si="752">-JI$19*(JH$5*60)/0.25</f>
        <v>-12768</v>
      </c>
      <c r="JI19" s="110">
        <v>4</v>
      </c>
      <c r="JJ19" s="44"/>
      <c r="JK19" s="107" t="s">
        <v>210</v>
      </c>
      <c r="JL19" s="108">
        <f t="shared" ref="JL19" ca="1" si="753">-JM$19*(JL$5*60)/0.25</f>
        <v>-11424</v>
      </c>
      <c r="JM19" s="110">
        <v>4</v>
      </c>
      <c r="JN19" s="44"/>
      <c r="JO19" s="107" t="s">
        <v>210</v>
      </c>
      <c r="JP19" s="108">
        <f t="shared" ref="JP19" ca="1" si="754">-JQ$19*(JP$5*60)/0.25</f>
        <v>-12480</v>
      </c>
      <c r="JQ19" s="110">
        <v>4</v>
      </c>
      <c r="JR19" s="44"/>
      <c r="JS19" s="107" t="s">
        <v>210</v>
      </c>
      <c r="JT19" s="108">
        <f t="shared" ref="JT19" ca="1" si="755">-JU$19*(JT$5*60)/0.25</f>
        <v>-12576</v>
      </c>
      <c r="JU19" s="110">
        <v>4</v>
      </c>
      <c r="JV19" s="44"/>
      <c r="JW19" s="107" t="s">
        <v>210</v>
      </c>
      <c r="JX19" s="108">
        <f t="shared" ref="JX19" ca="1" si="756">-JY$19*(JX$5*60)/0.25</f>
        <v>-12192</v>
      </c>
      <c r="JY19" s="110">
        <v>4</v>
      </c>
      <c r="JZ19" s="44"/>
      <c r="KA19" s="107" t="s">
        <v>210</v>
      </c>
      <c r="KB19" s="108">
        <f t="shared" ref="KB19" ca="1" si="757">-KC$19*(KB$5*60)/0.25</f>
        <v>-13824</v>
      </c>
      <c r="KC19" s="110">
        <v>4</v>
      </c>
    </row>
    <row r="20" spans="1:289" x14ac:dyDescent="0.25">
      <c r="C20" s="107" t="s">
        <v>212</v>
      </c>
      <c r="D20" s="108">
        <f ca="1">-E$20*D$5*D$2</f>
        <v>-913.95899057010411</v>
      </c>
      <c r="E20" s="111">
        <v>0.1</v>
      </c>
      <c r="F20" s="19"/>
      <c r="G20" s="107" t="s">
        <v>212</v>
      </c>
      <c r="H20" s="108">
        <f ca="1">-I$20*H$5*H$2</f>
        <v>-882.82768903224701</v>
      </c>
      <c r="I20" s="111">
        <v>0.1</v>
      </c>
      <c r="J20" s="19"/>
      <c r="K20" s="107" t="s">
        <v>212</v>
      </c>
      <c r="L20" s="108">
        <f ca="1">-M$20*L$5*L$2</f>
        <v>-767.40939289492451</v>
      </c>
      <c r="M20" s="111">
        <v>0.1</v>
      </c>
      <c r="N20" s="19"/>
      <c r="O20" s="107" t="s">
        <v>212</v>
      </c>
      <c r="P20" s="108">
        <f t="shared" ref="P20" ca="1" si="758">-Q$20*P$5*P$2</f>
        <v>-839.05527878092062</v>
      </c>
      <c r="Q20" s="111">
        <v>0.1</v>
      </c>
      <c r="R20" s="19"/>
      <c r="S20" s="107" t="s">
        <v>212</v>
      </c>
      <c r="T20" s="108">
        <f t="shared" ref="T20" ca="1" si="759">-U$20*T$5*T$2</f>
        <v>-975.09979612583936</v>
      </c>
      <c r="U20" s="111">
        <v>0.1</v>
      </c>
      <c r="V20" s="19"/>
      <c r="W20" s="107" t="s">
        <v>212</v>
      </c>
      <c r="X20" s="108">
        <f t="shared" ref="X20" ca="1" si="760">-Y$20*X$5*X$2</f>
        <v>-864.56957911537825</v>
      </c>
      <c r="Y20" s="111">
        <v>0.1</v>
      </c>
      <c r="Z20" s="19"/>
      <c r="AA20" s="107" t="s">
        <v>212</v>
      </c>
      <c r="AB20" s="108">
        <f t="shared" ref="AB20" ca="1" si="761">-AC$20*AB$5*AB$2</f>
        <v>-962.82875700574778</v>
      </c>
      <c r="AC20" s="111">
        <v>0.1</v>
      </c>
      <c r="AD20" s="19"/>
      <c r="AE20" s="107" t="s">
        <v>212</v>
      </c>
      <c r="AF20" s="108">
        <f t="shared" ref="AF20" ca="1" si="762">-AG$20*AF$5*AF$2</f>
        <v>-940.44027863910651</v>
      </c>
      <c r="AG20" s="111">
        <v>0.1</v>
      </c>
      <c r="AH20" s="19"/>
      <c r="AI20" s="107" t="s">
        <v>212</v>
      </c>
      <c r="AJ20" s="108">
        <f t="shared" ref="AJ20" ca="1" si="763">-AK$20*AJ$5*AJ$2</f>
        <v>-830.76472312086833</v>
      </c>
      <c r="AK20" s="111">
        <v>0.1</v>
      </c>
      <c r="AL20" s="19"/>
      <c r="AM20" s="107" t="s">
        <v>212</v>
      </c>
      <c r="AN20" s="108">
        <f t="shared" ref="AN20" ca="1" si="764">-AO$20*AN$5*AN$2</f>
        <v>-812.91484068469163</v>
      </c>
      <c r="AO20" s="111">
        <v>0.1</v>
      </c>
      <c r="AP20" s="19"/>
      <c r="AQ20" s="107" t="s">
        <v>212</v>
      </c>
      <c r="AR20" s="108">
        <f t="shared" ref="AR20" ca="1" si="765">-AS$20*AR$5*AR$2</f>
        <v>-1032.3506820964712</v>
      </c>
      <c r="AS20" s="111">
        <v>0.1</v>
      </c>
      <c r="AT20" s="19"/>
      <c r="AU20" s="107" t="s">
        <v>212</v>
      </c>
      <c r="AV20" s="108">
        <f t="shared" ref="AV20" ca="1" si="766">-AW$20*AV$5*AV$2</f>
        <v>-1126.859609866644</v>
      </c>
      <c r="AW20" s="111">
        <v>0.1</v>
      </c>
      <c r="AX20" s="19"/>
      <c r="AY20" s="107" t="s">
        <v>212</v>
      </c>
      <c r="AZ20" s="108">
        <f t="shared" ref="AZ20" ca="1" si="767">-BA$20*AZ$5*AZ$2</f>
        <v>-1028.3055978167479</v>
      </c>
      <c r="BA20" s="111">
        <v>0.1</v>
      </c>
      <c r="BB20" s="19"/>
      <c r="BC20" s="107" t="s">
        <v>212</v>
      </c>
      <c r="BD20" s="108">
        <f t="shared" ref="BD20" ca="1" si="768">-BE$20*BD$5*BD$2</f>
        <v>-910.06433707030965</v>
      </c>
      <c r="BE20" s="111">
        <v>0.1</v>
      </c>
      <c r="BF20" s="19"/>
      <c r="BG20" s="107" t="s">
        <v>212</v>
      </c>
      <c r="BH20" s="108">
        <f t="shared" ref="BH20" ca="1" si="769">-BI$20*BH$5*BH$2</f>
        <v>-903.18208319879091</v>
      </c>
      <c r="BI20" s="111">
        <v>0.1</v>
      </c>
      <c r="BJ20" s="19"/>
      <c r="BK20" s="107" t="s">
        <v>212</v>
      </c>
      <c r="BL20" s="108">
        <f t="shared" ref="BL20" ca="1" si="770">-BM$20*BL$5*BL$2</f>
        <v>-955.57552606379784</v>
      </c>
      <c r="BM20" s="111">
        <v>0.1</v>
      </c>
      <c r="BN20" s="19"/>
      <c r="BO20" s="107" t="s">
        <v>212</v>
      </c>
      <c r="BP20" s="108">
        <f t="shared" ref="BP20" ca="1" si="771">-BQ$20*BP$5*BP$2</f>
        <v>-1133.3061710344225</v>
      </c>
      <c r="BQ20" s="111">
        <v>0.1</v>
      </c>
      <c r="BR20" s="19"/>
      <c r="BS20" s="107" t="s">
        <v>212</v>
      </c>
      <c r="BT20" s="108">
        <f t="shared" ref="BT20" ca="1" si="772">-BU$20*BT$5*BT$2</f>
        <v>-1124.8666943173989</v>
      </c>
      <c r="BU20" s="111">
        <v>0.1</v>
      </c>
      <c r="BV20" s="19"/>
      <c r="BW20" s="107" t="s">
        <v>212</v>
      </c>
      <c r="BX20" s="108">
        <f t="shared" ref="BX20" ca="1" si="773">-BY$20*BX$5*BX$2</f>
        <v>-1158.9468909888642</v>
      </c>
      <c r="BY20" s="111">
        <v>0.1</v>
      </c>
      <c r="BZ20" s="19"/>
      <c r="CA20" s="107" t="s">
        <v>212</v>
      </c>
      <c r="CB20" s="108">
        <f t="shared" ref="CB20" ca="1" si="774">-CC$20*CB$5*CB$2</f>
        <v>-1222.70515601028</v>
      </c>
      <c r="CC20" s="111">
        <v>0.1</v>
      </c>
      <c r="CD20" s="19"/>
      <c r="CE20" s="107" t="s">
        <v>212</v>
      </c>
      <c r="CF20" s="108">
        <f t="shared" ref="CF20" ca="1" si="775">-CG$20*CF$5*CF$2</f>
        <v>-1204.5737073294363</v>
      </c>
      <c r="CG20" s="111">
        <v>0.1</v>
      </c>
      <c r="CH20" s="19"/>
      <c r="CI20" s="107" t="s">
        <v>212</v>
      </c>
      <c r="CJ20" s="108">
        <f t="shared" ref="CJ20" ca="1" si="776">-CK$20*CJ$5*CJ$2</f>
        <v>-900.25994526358795</v>
      </c>
      <c r="CK20" s="111">
        <v>0.1</v>
      </c>
      <c r="CL20" s="19"/>
      <c r="CM20" s="107" t="s">
        <v>212</v>
      </c>
      <c r="CN20" s="108">
        <f t="shared" ref="CN20" ca="1" si="777">-CO$20*CN$5*CN$2</f>
        <v>-769.55456070145749</v>
      </c>
      <c r="CO20" s="111">
        <v>0.1</v>
      </c>
      <c r="CP20" s="19"/>
      <c r="CQ20" s="107" t="s">
        <v>212</v>
      </c>
      <c r="CR20" s="108">
        <f t="shared" ref="CR20" ca="1" si="778">-CS$20*CR$5*CR$2</f>
        <v>-926.71589783867569</v>
      </c>
      <c r="CS20" s="111">
        <v>0.1</v>
      </c>
      <c r="CT20" s="19"/>
      <c r="CU20" s="107" t="s">
        <v>212</v>
      </c>
      <c r="CV20" s="108">
        <f t="shared" ref="CV20" ca="1" si="779">-CW$20*CV$5*CV$2</f>
        <v>-980.97868531461359</v>
      </c>
      <c r="CW20" s="111">
        <v>0.1</v>
      </c>
      <c r="CX20" s="19"/>
      <c r="CY20" s="107" t="s">
        <v>212</v>
      </c>
      <c r="CZ20" s="108">
        <f t="shared" ref="CZ20" ca="1" si="780">-DA$20*CZ$5*CZ$2</f>
        <v>-856.14952271292645</v>
      </c>
      <c r="DA20" s="111">
        <v>0.1</v>
      </c>
      <c r="DB20" s="19"/>
      <c r="DC20" s="107" t="s">
        <v>212</v>
      </c>
      <c r="DD20" s="108">
        <f t="shared" ref="DD20" ca="1" si="781">-DE$20*DD$5*DD$2</f>
        <v>-1025.0070828754635</v>
      </c>
      <c r="DE20" s="111">
        <v>0.1</v>
      </c>
      <c r="DF20" s="19"/>
      <c r="DG20" s="107" t="s">
        <v>212</v>
      </c>
      <c r="DH20" s="108">
        <f t="shared" ref="DH20" ca="1" si="782">-DI$20*DH$5*DH$2</f>
        <v>-999.02471088059053</v>
      </c>
      <c r="DI20" s="111">
        <v>0.1</v>
      </c>
      <c r="DJ20" s="19"/>
      <c r="DK20" s="107" t="s">
        <v>212</v>
      </c>
      <c r="DL20" s="108">
        <f t="shared" ref="DL20" ca="1" si="783">-DM$20*DL$5*DL$2</f>
        <v>-1137.4054365223196</v>
      </c>
      <c r="DM20" s="111">
        <v>0.1</v>
      </c>
      <c r="DN20" s="19"/>
      <c r="DO20" s="107" t="s">
        <v>212</v>
      </c>
      <c r="DP20" s="108">
        <f t="shared" ref="DP20" ca="1" si="784">-DQ$20*DP$5*DP$2</f>
        <v>-1313.715858287027</v>
      </c>
      <c r="DQ20" s="111">
        <v>0.1</v>
      </c>
      <c r="DR20" s="19"/>
      <c r="DS20" s="107" t="s">
        <v>212</v>
      </c>
      <c r="DT20" s="108">
        <f t="shared" ref="DT20" ca="1" si="785">-DU$20*DT$5*DT$2</f>
        <v>-1504.4840250765255</v>
      </c>
      <c r="DU20" s="111">
        <v>0.1</v>
      </c>
      <c r="DV20" s="19"/>
      <c r="DW20" s="107" t="s">
        <v>212</v>
      </c>
      <c r="DX20" s="108">
        <f t="shared" ref="DX20" ca="1" si="786">-DY$20*DX$5*DX$2</f>
        <v>-1609.7698976712097</v>
      </c>
      <c r="DY20" s="111">
        <v>0.1</v>
      </c>
      <c r="DZ20" s="19"/>
      <c r="EA20" s="107" t="s">
        <v>212</v>
      </c>
      <c r="EB20" s="108">
        <f t="shared" ref="EB20" ca="1" si="787">-EC$20*EB$5*EB$2</f>
        <v>-1862.3138784409957</v>
      </c>
      <c r="EC20" s="111">
        <v>0.1</v>
      </c>
      <c r="ED20" s="19"/>
      <c r="EE20" s="107" t="s">
        <v>212</v>
      </c>
      <c r="EF20" s="108">
        <f t="shared" ref="EF20" ca="1" si="788">-EG$20*EF$5*EF$2</f>
        <v>-2167.1382038114925</v>
      </c>
      <c r="EG20" s="111">
        <v>0.1</v>
      </c>
      <c r="EH20" s="19"/>
      <c r="EI20" s="107" t="s">
        <v>212</v>
      </c>
      <c r="EJ20" s="108">
        <f t="shared" ref="EJ20" ca="1" si="789">-EK$20*EJ$5*EJ$2</f>
        <v>-2927.7479827916154</v>
      </c>
      <c r="EK20" s="111">
        <v>0.1</v>
      </c>
      <c r="EL20" s="19"/>
      <c r="EM20" s="107" t="s">
        <v>212</v>
      </c>
      <c r="EN20" s="108">
        <f t="shared" ref="EN20" ca="1" si="790">-EO$20*EN$5*EN$2</f>
        <v>-3068.9521025982758</v>
      </c>
      <c r="EO20" s="111">
        <v>0.1</v>
      </c>
      <c r="EP20" s="19"/>
      <c r="EQ20" s="107" t="s">
        <v>212</v>
      </c>
      <c r="ER20" s="108">
        <f t="shared" ref="ER20" ca="1" si="791">-ES$20*ER$5*ER$2</f>
        <v>-2558.6418032231359</v>
      </c>
      <c r="ES20" s="111">
        <v>0.1</v>
      </c>
      <c r="ET20" s="19"/>
      <c r="EU20" s="107" t="s">
        <v>212</v>
      </c>
      <c r="EV20" s="108">
        <f t="shared" ref="EV20" ca="1" si="792">-EW$20*EV$5*EV$2</f>
        <v>-3154.6386410522623</v>
      </c>
      <c r="EW20" s="111">
        <v>0.1</v>
      </c>
      <c r="EX20" s="19"/>
      <c r="EY20" s="107" t="s">
        <v>212</v>
      </c>
      <c r="EZ20" s="108">
        <f t="shared" ref="EZ20" ca="1" si="793">-FA$20*EZ$5*EZ$2</f>
        <v>-2866.832658436078</v>
      </c>
      <c r="FA20" s="111">
        <v>0.1</v>
      </c>
      <c r="FB20" s="19"/>
      <c r="FC20" s="107" t="s">
        <v>212</v>
      </c>
      <c r="FD20" s="108">
        <f t="shared" ref="FD20" ca="1" si="794">-FE$20*FD$5*FD$2</f>
        <v>-3310.0882689839118</v>
      </c>
      <c r="FE20" s="111">
        <v>0.1</v>
      </c>
      <c r="FF20" s="19"/>
      <c r="FG20" s="107" t="s">
        <v>212</v>
      </c>
      <c r="FH20" s="108">
        <f t="shared" ref="FH20" ca="1" si="795">-FI$20*FH$5*FH$2</f>
        <v>-3412.3091692965868</v>
      </c>
      <c r="FI20" s="111">
        <v>0.1</v>
      </c>
      <c r="FJ20" s="19"/>
      <c r="FK20" s="107" t="s">
        <v>212</v>
      </c>
      <c r="FL20" s="108">
        <f t="shared" ref="FL20" ca="1" si="796">-FM$20*FL$5*FL$2</f>
        <v>-3736.8834789678381</v>
      </c>
      <c r="FM20" s="111">
        <v>0.1</v>
      </c>
      <c r="FN20" s="19"/>
      <c r="FO20" s="107" t="s">
        <v>212</v>
      </c>
      <c r="FP20" s="108">
        <f t="shared" ref="FP20" ca="1" si="797">-FQ$20*FP$5*FP$2</f>
        <v>-3311.4870990712348</v>
      </c>
      <c r="FQ20" s="111">
        <v>0.1</v>
      </c>
      <c r="FR20" s="19"/>
      <c r="FS20" s="107" t="s">
        <v>212</v>
      </c>
      <c r="FT20" s="108">
        <f t="shared" ref="FT20" ca="1" si="798">-FU$20*FT$5*FT$2</f>
        <v>-3749.394107915959</v>
      </c>
      <c r="FU20" s="111">
        <v>0.1</v>
      </c>
      <c r="FV20" s="19"/>
      <c r="FW20" s="107" t="s">
        <v>212</v>
      </c>
      <c r="FX20" s="108">
        <f t="shared" ref="FX20" ca="1" si="799">-FY$20*FX$5*FX$2</f>
        <v>-4394.785741610518</v>
      </c>
      <c r="FY20" s="111">
        <v>0.1</v>
      </c>
      <c r="FZ20" s="19"/>
      <c r="GA20" s="107" t="s">
        <v>212</v>
      </c>
      <c r="GB20" s="108">
        <f t="shared" ref="GB20" ca="1" si="800">-GC$20*GB$5*GB$2</f>
        <v>-4175.7525676017513</v>
      </c>
      <c r="GC20" s="111">
        <v>0.1</v>
      </c>
      <c r="GD20" s="19"/>
      <c r="GE20" s="107" t="s">
        <v>212</v>
      </c>
      <c r="GF20" s="108">
        <f t="shared" ref="GF20" ca="1" si="801">-GG$20*GF$5*GF$2</f>
        <v>-5763.9778322415468</v>
      </c>
      <c r="GG20" s="111">
        <v>0.1</v>
      </c>
      <c r="GH20" s="19"/>
      <c r="GI20" s="107" t="s">
        <v>212</v>
      </c>
      <c r="GJ20" s="108">
        <f t="shared" ref="GJ20" ca="1" si="802">-GK$20*GJ$5*GJ$2</f>
        <v>-5327.2762310006137</v>
      </c>
      <c r="GK20" s="111">
        <v>0.1</v>
      </c>
      <c r="GL20" s="19"/>
      <c r="GM20" s="107" t="s">
        <v>212</v>
      </c>
      <c r="GN20" s="108">
        <f t="shared" ref="GN20" ca="1" si="803">-GO$20*GN$5*GN$2</f>
        <v>-3916.0036851349287</v>
      </c>
      <c r="GO20" s="111">
        <v>0.1</v>
      </c>
      <c r="GP20" s="19"/>
      <c r="GQ20" s="107" t="s">
        <v>212</v>
      </c>
      <c r="GR20" s="108">
        <f t="shared" ref="GR20" ca="1" si="804">-GS$20*GR$5*GR$2</f>
        <v>-4544.0835652015548</v>
      </c>
      <c r="GS20" s="111">
        <v>0.1</v>
      </c>
      <c r="GT20" s="19"/>
      <c r="GU20" s="107" t="s">
        <v>212</v>
      </c>
      <c r="GV20" s="108">
        <f t="shared" ref="GV20" ca="1" si="805">-GW$20*GV$5*GV$2</f>
        <v>-4850.8928610289058</v>
      </c>
      <c r="GW20" s="111">
        <v>0.1</v>
      </c>
      <c r="GX20" s="19"/>
      <c r="GY20" s="107" t="s">
        <v>212</v>
      </c>
      <c r="GZ20" s="108">
        <f t="shared" ref="GZ20" ca="1" si="806">-HA$20*GZ$5*GZ$2</f>
        <v>-3833.3314086844985</v>
      </c>
      <c r="HA20" s="111">
        <v>0.1</v>
      </c>
      <c r="HB20" s="19"/>
      <c r="HC20" s="107" t="s">
        <v>212</v>
      </c>
      <c r="HD20" s="108">
        <f t="shared" ref="HD20" ca="1" si="807">-HE$20*HD$5*HD$2</f>
        <v>-4037.4403916263332</v>
      </c>
      <c r="HE20" s="111">
        <v>0.1</v>
      </c>
      <c r="HF20" s="19"/>
      <c r="HG20" s="107" t="s">
        <v>212</v>
      </c>
      <c r="HH20" s="108">
        <f t="shared" ref="HH20" ca="1" si="808">-HI$20*HH$5*HH$2</f>
        <v>-4516.6339273244021</v>
      </c>
      <c r="HI20" s="111">
        <v>0.1</v>
      </c>
      <c r="HJ20" s="19"/>
      <c r="HK20" s="107" t="s">
        <v>212</v>
      </c>
      <c r="HL20" s="108">
        <f t="shared" ref="HL20" ca="1" si="809">-HM$20*HL$5*HL$2</f>
        <v>-4206.404542428385</v>
      </c>
      <c r="HM20" s="111">
        <v>0.1</v>
      </c>
      <c r="HN20" s="19"/>
      <c r="HO20" s="107" t="s">
        <v>212</v>
      </c>
      <c r="HP20" s="108">
        <f t="shared" ref="HP20" ca="1" si="810">-HQ$20*HP$5*HP$2</f>
        <v>-4900.6953242767431</v>
      </c>
      <c r="HQ20" s="111">
        <v>0.1</v>
      </c>
      <c r="HR20" s="19"/>
      <c r="HS20" s="107" t="s">
        <v>212</v>
      </c>
      <c r="HT20" s="108">
        <f t="shared" ref="HT20" ca="1" si="811">-HU$20*HT$5*HT$2</f>
        <v>-3685.4100338743474</v>
      </c>
      <c r="HU20" s="111">
        <v>0.1</v>
      </c>
      <c r="HV20" s="19"/>
      <c r="HW20" s="107" t="s">
        <v>212</v>
      </c>
      <c r="HX20" s="108">
        <f t="shared" ref="HX20" ca="1" si="812">-HY$20*HX$5*HX$2</f>
        <v>-4529.6806758625253</v>
      </c>
      <c r="HY20" s="111">
        <v>0.1</v>
      </c>
      <c r="HZ20" s="19"/>
      <c r="IA20" s="107" t="s">
        <v>212</v>
      </c>
      <c r="IB20" s="108">
        <f t="shared" ref="IB20" ca="1" si="813">-IC$20*IB$5*IB$2</f>
        <v>-3791.0880247746909</v>
      </c>
      <c r="IC20" s="111">
        <v>0.1</v>
      </c>
      <c r="ID20" s="19"/>
      <c r="IE20" s="107" t="s">
        <v>212</v>
      </c>
      <c r="IF20" s="108">
        <f t="shared" ref="IF20" ca="1" si="814">-IG$20*IF$5*IF$2</f>
        <v>-4213.61387358094</v>
      </c>
      <c r="IG20" s="111">
        <v>0.1</v>
      </c>
      <c r="IH20" s="19"/>
      <c r="II20" s="107" t="s">
        <v>212</v>
      </c>
      <c r="IJ20" s="108">
        <f t="shared" ref="IJ20" ca="1" si="815">-IK$20*IJ$5*IJ$2</f>
        <v>-3705.3380087516734</v>
      </c>
      <c r="IK20" s="111">
        <v>0.1</v>
      </c>
      <c r="IL20" s="19"/>
      <c r="IM20" s="107" t="s">
        <v>212</v>
      </c>
      <c r="IN20" s="108">
        <f t="shared" ref="IN20" ca="1" si="816">-IO$20*IN$5*IN$2</f>
        <v>-4470.0341674128158</v>
      </c>
      <c r="IO20" s="111">
        <v>0.1</v>
      </c>
      <c r="IP20" s="19"/>
      <c r="IQ20" s="107" t="s">
        <v>212</v>
      </c>
      <c r="IR20" s="108">
        <f t="shared" ref="IR20" ca="1" si="817">-IS$20*IR$5*IR$2</f>
        <v>-4657.6491860223132</v>
      </c>
      <c r="IS20" s="111">
        <v>0.1</v>
      </c>
      <c r="IT20" s="19"/>
      <c r="IU20" s="107" t="s">
        <v>212</v>
      </c>
      <c r="IV20" s="108">
        <f t="shared" ref="IV20" ca="1" si="818">-IW$20*IV$5*IV$2</f>
        <v>-5170.3907651091713</v>
      </c>
      <c r="IW20" s="111">
        <v>0.1</v>
      </c>
      <c r="IX20" s="19"/>
      <c r="IY20" s="107" t="s">
        <v>212</v>
      </c>
      <c r="IZ20" s="108">
        <f t="shared" ref="IZ20" ca="1" si="819">-JA$20*IZ$5*IZ$2</f>
        <v>-4868.9088389819108</v>
      </c>
      <c r="JA20" s="111">
        <v>0.1</v>
      </c>
      <c r="JB20" s="19"/>
      <c r="JC20" s="107" t="s">
        <v>212</v>
      </c>
      <c r="JD20" s="108">
        <f t="shared" ref="JD20" ca="1" si="820">-JE$20*JD$5*JD$2</f>
        <v>-5501.2703116481571</v>
      </c>
      <c r="JE20" s="111">
        <v>0.1</v>
      </c>
      <c r="JF20" s="19"/>
      <c r="JG20" s="107" t="s">
        <v>212</v>
      </c>
      <c r="JH20" s="108">
        <f t="shared" ref="JH20" ca="1" si="821">-JI$20*JH$5*JH$2</f>
        <v>-5529.0578382442372</v>
      </c>
      <c r="JI20" s="111">
        <v>0.1</v>
      </c>
      <c r="JJ20" s="19"/>
      <c r="JK20" s="107" t="s">
        <v>212</v>
      </c>
      <c r="JL20" s="108">
        <f t="shared" ref="JL20" ca="1" si="822">-JM$20*JL$5*JL$2</f>
        <v>-5516.827405665782</v>
      </c>
      <c r="JM20" s="111">
        <v>0.1</v>
      </c>
      <c r="JN20" s="19"/>
      <c r="JO20" s="107" t="s">
        <v>212</v>
      </c>
      <c r="JP20" s="108">
        <f t="shared" ref="JP20" ca="1" si="823">-JQ$20*JP$5*JP$2</f>
        <v>-6243.6535174609471</v>
      </c>
      <c r="JQ20" s="111">
        <v>0.1</v>
      </c>
      <c r="JR20" s="19"/>
      <c r="JS20" s="107" t="s">
        <v>212</v>
      </c>
      <c r="JT20" s="108">
        <f t="shared" ref="JT20" ca="1" si="824">-JU$20*JT$5*JT$2</f>
        <v>-6193.6975628411628</v>
      </c>
      <c r="JU20" s="111">
        <v>0.1</v>
      </c>
      <c r="JV20" s="19"/>
      <c r="JW20" s="107" t="s">
        <v>212</v>
      </c>
      <c r="JX20" s="108">
        <f t="shared" ref="JX20" ca="1" si="825">-JY$20*JX$5*JX$2</f>
        <v>-6195.1055424475189</v>
      </c>
      <c r="JY20" s="111">
        <v>0.1</v>
      </c>
      <c r="JZ20" s="19"/>
      <c r="KA20" s="107" t="s">
        <v>212</v>
      </c>
      <c r="KB20" s="108">
        <f t="shared" ref="KB20" ca="1" si="826">-KC$20*KB$5*KB$2</f>
        <v>-6878.4065745334128</v>
      </c>
      <c r="KC20" s="111">
        <v>0.1</v>
      </c>
    </row>
    <row r="21" spans="1:289" x14ac:dyDescent="0.25">
      <c r="C21" s="107" t="s">
        <v>218</v>
      </c>
      <c r="D21" s="108">
        <f ca="1">-E$21*D$5*D$2</f>
        <v>-182.79179811402079</v>
      </c>
      <c r="E21" s="112">
        <v>0.02</v>
      </c>
      <c r="G21" s="107" t="s">
        <v>218</v>
      </c>
      <c r="H21" s="108">
        <f ca="1">-I$21*H$5*H$2</f>
        <v>-176.56553780644938</v>
      </c>
      <c r="I21" s="112">
        <v>0.02</v>
      </c>
      <c r="K21" s="107" t="s">
        <v>218</v>
      </c>
      <c r="L21" s="108">
        <f ca="1">-M$21*L$5*L$2</f>
        <v>-153.48187857898486</v>
      </c>
      <c r="M21" s="112">
        <v>0.02</v>
      </c>
      <c r="N21" s="44"/>
      <c r="O21" s="107" t="s">
        <v>218</v>
      </c>
      <c r="P21" s="108">
        <f t="shared" ref="P21" ca="1" si="827">-Q$21*P$5*P$2</f>
        <v>-167.81105575618412</v>
      </c>
      <c r="Q21" s="112">
        <v>0.02</v>
      </c>
      <c r="R21" s="44"/>
      <c r="S21" s="107" t="s">
        <v>218</v>
      </c>
      <c r="T21" s="108">
        <f t="shared" ref="T21" ca="1" si="828">-U$21*T$5*T$2</f>
        <v>-195.01995922516787</v>
      </c>
      <c r="U21" s="112">
        <v>0.02</v>
      </c>
      <c r="V21" s="44"/>
      <c r="W21" s="107" t="s">
        <v>218</v>
      </c>
      <c r="X21" s="108">
        <f t="shared" ref="X21" ca="1" si="829">-Y$21*X$5*X$2</f>
        <v>-172.91391582307563</v>
      </c>
      <c r="Y21" s="112">
        <v>0.02</v>
      </c>
      <c r="Z21" s="44"/>
      <c r="AA21" s="107" t="s">
        <v>218</v>
      </c>
      <c r="AB21" s="108">
        <f t="shared" ref="AB21" ca="1" si="830">-AC$21*AB$5*AB$2</f>
        <v>-192.56575140114956</v>
      </c>
      <c r="AC21" s="112">
        <v>0.02</v>
      </c>
      <c r="AD21" s="44"/>
      <c r="AE21" s="107" t="s">
        <v>218</v>
      </c>
      <c r="AF21" s="108">
        <f t="shared" ref="AF21" ca="1" si="831">-AG$21*AF$5*AF$2</f>
        <v>-188.08805572782128</v>
      </c>
      <c r="AG21" s="112">
        <v>0.02</v>
      </c>
      <c r="AH21" s="44"/>
      <c r="AI21" s="107" t="s">
        <v>218</v>
      </c>
      <c r="AJ21" s="108">
        <f t="shared" ref="AJ21" ca="1" si="832">-AK$21*AJ$5*AJ$2</f>
        <v>-166.15294462417364</v>
      </c>
      <c r="AK21" s="112">
        <v>0.02</v>
      </c>
      <c r="AL21" s="44"/>
      <c r="AM21" s="107" t="s">
        <v>218</v>
      </c>
      <c r="AN21" s="108">
        <f t="shared" ref="AN21" ca="1" si="833">-AO$21*AN$5*AN$2</f>
        <v>-162.58296813693832</v>
      </c>
      <c r="AO21" s="112">
        <v>0.02</v>
      </c>
      <c r="AP21" s="44"/>
      <c r="AQ21" s="107" t="s">
        <v>218</v>
      </c>
      <c r="AR21" s="108">
        <f t="shared" ref="AR21" ca="1" si="834">-AS$21*AR$5*AR$2</f>
        <v>-206.47013641929422</v>
      </c>
      <c r="AS21" s="112">
        <v>0.02</v>
      </c>
      <c r="AT21" s="44"/>
      <c r="AU21" s="107" t="s">
        <v>218</v>
      </c>
      <c r="AV21" s="108">
        <f t="shared" ref="AV21" ca="1" si="835">-AW$21*AV$5*AV$2</f>
        <v>-225.37192197332877</v>
      </c>
      <c r="AW21" s="112">
        <v>0.02</v>
      </c>
      <c r="AX21" s="44"/>
      <c r="AY21" s="107" t="s">
        <v>218</v>
      </c>
      <c r="AZ21" s="108">
        <f t="shared" ref="AZ21" ca="1" si="836">-BA$21*AZ$5*AZ$2</f>
        <v>-205.66111956334959</v>
      </c>
      <c r="BA21" s="112">
        <v>0.02</v>
      </c>
      <c r="BB21" s="44"/>
      <c r="BC21" s="107" t="s">
        <v>218</v>
      </c>
      <c r="BD21" s="108">
        <f t="shared" ref="BD21" ca="1" si="837">-BE$21*BD$5*BD$2</f>
        <v>-182.01286741406193</v>
      </c>
      <c r="BE21" s="112">
        <v>0.02</v>
      </c>
      <c r="BF21" s="44"/>
      <c r="BG21" s="107" t="s">
        <v>218</v>
      </c>
      <c r="BH21" s="108">
        <f t="shared" ref="BH21" ca="1" si="838">-BI$21*BH$5*BH$2</f>
        <v>-180.63641663975815</v>
      </c>
      <c r="BI21" s="112">
        <v>0.02</v>
      </c>
      <c r="BJ21" s="44"/>
      <c r="BK21" s="107" t="s">
        <v>218</v>
      </c>
      <c r="BL21" s="108">
        <f t="shared" ref="BL21" ca="1" si="839">-BM$21*BL$5*BL$2</f>
        <v>-191.11510521275957</v>
      </c>
      <c r="BM21" s="112">
        <v>0.02</v>
      </c>
      <c r="BN21" s="44"/>
      <c r="BO21" s="107" t="s">
        <v>218</v>
      </c>
      <c r="BP21" s="108">
        <f t="shared" ref="BP21" ca="1" si="840">-BQ$21*BP$5*BP$2</f>
        <v>-226.66123420688453</v>
      </c>
      <c r="BQ21" s="112">
        <v>0.02</v>
      </c>
      <c r="BR21" s="44"/>
      <c r="BS21" s="107" t="s">
        <v>218</v>
      </c>
      <c r="BT21" s="108">
        <f t="shared" ref="BT21" ca="1" si="841">-BU$21*BT$5*BT$2</f>
        <v>-224.9733388634798</v>
      </c>
      <c r="BU21" s="112">
        <v>0.02</v>
      </c>
      <c r="BV21" s="44"/>
      <c r="BW21" s="107" t="s">
        <v>218</v>
      </c>
      <c r="BX21" s="108">
        <f t="shared" ref="BX21" ca="1" si="842">-BY$21*BX$5*BX$2</f>
        <v>-231.78937819777286</v>
      </c>
      <c r="BY21" s="112">
        <v>0.02</v>
      </c>
      <c r="BZ21" s="44"/>
      <c r="CA21" s="107" t="s">
        <v>218</v>
      </c>
      <c r="CB21" s="108">
        <f t="shared" ref="CB21" ca="1" si="843">-CC$21*CB$5*CB$2</f>
        <v>-244.54103120205599</v>
      </c>
      <c r="CC21" s="112">
        <v>0.02</v>
      </c>
      <c r="CD21" s="44"/>
      <c r="CE21" s="107" t="s">
        <v>218</v>
      </c>
      <c r="CF21" s="108">
        <f t="shared" ref="CF21" ca="1" si="844">-CG$21*CF$5*CF$2</f>
        <v>-240.91474146588723</v>
      </c>
      <c r="CG21" s="112">
        <v>0.02</v>
      </c>
      <c r="CH21" s="44"/>
      <c r="CI21" s="107" t="s">
        <v>218</v>
      </c>
      <c r="CJ21" s="108">
        <f t="shared" ref="CJ21" ca="1" si="845">-CK$21*CJ$5*CJ$2</f>
        <v>-180.0519890527176</v>
      </c>
      <c r="CK21" s="112">
        <v>0.02</v>
      </c>
      <c r="CL21" s="44"/>
      <c r="CM21" s="107" t="s">
        <v>218</v>
      </c>
      <c r="CN21" s="108">
        <f t="shared" ref="CN21" ca="1" si="846">-CO$21*CN$5*CN$2</f>
        <v>-153.91091214029149</v>
      </c>
      <c r="CO21" s="112">
        <v>0.02</v>
      </c>
      <c r="CP21" s="44"/>
      <c r="CQ21" s="107" t="s">
        <v>218</v>
      </c>
      <c r="CR21" s="108">
        <f t="shared" ref="CR21" ca="1" si="847">-CS$21*CR$5*CR$2</f>
        <v>-185.34317956773515</v>
      </c>
      <c r="CS21" s="112">
        <v>0.02</v>
      </c>
      <c r="CT21" s="44"/>
      <c r="CU21" s="107" t="s">
        <v>218</v>
      </c>
      <c r="CV21" s="108">
        <f t="shared" ref="CV21" ca="1" si="848">-CW$21*CV$5*CV$2</f>
        <v>-196.19573706292272</v>
      </c>
      <c r="CW21" s="112">
        <v>0.02</v>
      </c>
      <c r="CX21" s="44"/>
      <c r="CY21" s="107" t="s">
        <v>218</v>
      </c>
      <c r="CZ21" s="108">
        <f t="shared" ref="CZ21" ca="1" si="849">-DA$21*CZ$5*CZ$2</f>
        <v>-171.2299045425853</v>
      </c>
      <c r="DA21" s="112">
        <v>0.02</v>
      </c>
      <c r="DB21" s="44"/>
      <c r="DC21" s="107" t="s">
        <v>218</v>
      </c>
      <c r="DD21" s="108">
        <f t="shared" ref="DD21" ca="1" si="850">-DE$21*DD$5*DD$2</f>
        <v>-205.00141657509272</v>
      </c>
      <c r="DE21" s="112">
        <v>0.02</v>
      </c>
      <c r="DF21" s="44"/>
      <c r="DG21" s="107" t="s">
        <v>218</v>
      </c>
      <c r="DH21" s="108">
        <f t="shared" ref="DH21" ca="1" si="851">-DI$21*DH$5*DH$2</f>
        <v>-199.80494217611812</v>
      </c>
      <c r="DI21" s="112">
        <v>0.02</v>
      </c>
      <c r="DJ21" s="44"/>
      <c r="DK21" s="107" t="s">
        <v>218</v>
      </c>
      <c r="DL21" s="108">
        <f t="shared" ref="DL21" ca="1" si="852">-DM$21*DL$5*DL$2</f>
        <v>-227.4810873044639</v>
      </c>
      <c r="DM21" s="112">
        <v>0.02</v>
      </c>
      <c r="DN21" s="44"/>
      <c r="DO21" s="107" t="s">
        <v>218</v>
      </c>
      <c r="DP21" s="108">
        <f t="shared" ref="DP21" ca="1" si="853">-DQ$21*DP$5*DP$2</f>
        <v>-262.74317165740541</v>
      </c>
      <c r="DQ21" s="112">
        <v>0.02</v>
      </c>
      <c r="DR21" s="44"/>
      <c r="DS21" s="107" t="s">
        <v>218</v>
      </c>
      <c r="DT21" s="108">
        <f t="shared" ref="DT21" ca="1" si="854">-DU$21*DT$5*DT$2</f>
        <v>-300.89680501530506</v>
      </c>
      <c r="DU21" s="112">
        <v>0.02</v>
      </c>
      <c r="DV21" s="44"/>
      <c r="DW21" s="107" t="s">
        <v>218</v>
      </c>
      <c r="DX21" s="108">
        <f t="shared" ref="DX21" ca="1" si="855">-DY$21*DX$5*DX$2</f>
        <v>-321.95397953424191</v>
      </c>
      <c r="DY21" s="112">
        <v>0.02</v>
      </c>
      <c r="DZ21" s="44"/>
      <c r="EA21" s="107" t="s">
        <v>218</v>
      </c>
      <c r="EB21" s="108">
        <f t="shared" ref="EB21" ca="1" si="856">-EC$21*EB$5*EB$2</f>
        <v>-372.46277568819914</v>
      </c>
      <c r="EC21" s="112">
        <v>0.02</v>
      </c>
      <c r="ED21" s="44"/>
      <c r="EE21" s="107" t="s">
        <v>218</v>
      </c>
      <c r="EF21" s="108">
        <f t="shared" ref="EF21" ca="1" si="857">-EG$21*EF$5*EF$2</f>
        <v>-433.42764076229855</v>
      </c>
      <c r="EG21" s="112">
        <v>0.02</v>
      </c>
      <c r="EH21" s="44"/>
      <c r="EI21" s="107" t="s">
        <v>218</v>
      </c>
      <c r="EJ21" s="108">
        <f t="shared" ref="EJ21" ca="1" si="858">-EK$21*EJ$5*EJ$2</f>
        <v>-585.54959655832306</v>
      </c>
      <c r="EK21" s="112">
        <v>0.02</v>
      </c>
      <c r="EL21" s="44"/>
      <c r="EM21" s="107" t="s">
        <v>218</v>
      </c>
      <c r="EN21" s="108">
        <f t="shared" ref="EN21" ca="1" si="859">-EO$21*EN$5*EN$2</f>
        <v>-613.79042051965519</v>
      </c>
      <c r="EO21" s="112">
        <v>0.02</v>
      </c>
      <c r="EP21" s="44"/>
      <c r="EQ21" s="107" t="s">
        <v>218</v>
      </c>
      <c r="ER21" s="108">
        <f t="shared" ref="ER21" ca="1" si="860">-ES$21*ER$5*ER$2</f>
        <v>-511.72836064462712</v>
      </c>
      <c r="ES21" s="112">
        <v>0.02</v>
      </c>
      <c r="ET21" s="44"/>
      <c r="EU21" s="107" t="s">
        <v>218</v>
      </c>
      <c r="EV21" s="108">
        <f t="shared" ref="EV21" ca="1" si="861">-EW$21*EV$5*EV$2</f>
        <v>-630.92772821045241</v>
      </c>
      <c r="EW21" s="112">
        <v>0.02</v>
      </c>
      <c r="EX21" s="44"/>
      <c r="EY21" s="107" t="s">
        <v>218</v>
      </c>
      <c r="EZ21" s="108">
        <f t="shared" ref="EZ21" ca="1" si="862">-FA$21*EZ$5*EZ$2</f>
        <v>-573.36653168721557</v>
      </c>
      <c r="FA21" s="112">
        <v>0.02</v>
      </c>
      <c r="FB21" s="44"/>
      <c r="FC21" s="107" t="s">
        <v>218</v>
      </c>
      <c r="FD21" s="108">
        <f t="shared" ref="FD21" ca="1" si="863">-FE$21*FD$5*FD$2</f>
        <v>-662.01765379678238</v>
      </c>
      <c r="FE21" s="112">
        <v>0.02</v>
      </c>
      <c r="FF21" s="44"/>
      <c r="FG21" s="107" t="s">
        <v>218</v>
      </c>
      <c r="FH21" s="108">
        <f t="shared" ref="FH21" ca="1" si="864">-FI$21*FH$5*FH$2</f>
        <v>-682.46183385931727</v>
      </c>
      <c r="FI21" s="112">
        <v>0.02</v>
      </c>
      <c r="FJ21" s="44"/>
      <c r="FK21" s="107" t="s">
        <v>218</v>
      </c>
      <c r="FL21" s="108">
        <f t="shared" ref="FL21" ca="1" si="865">-FM$21*FL$5*FL$2</f>
        <v>-747.37669579356759</v>
      </c>
      <c r="FM21" s="112">
        <v>0.02</v>
      </c>
      <c r="FN21" s="44"/>
      <c r="FO21" s="107" t="s">
        <v>218</v>
      </c>
      <c r="FP21" s="108">
        <f t="shared" ref="FP21" ca="1" si="866">-FQ$21*FP$5*FP$2</f>
        <v>-662.29741981424684</v>
      </c>
      <c r="FQ21" s="112">
        <v>0.02</v>
      </c>
      <c r="FR21" s="44"/>
      <c r="FS21" s="107" t="s">
        <v>218</v>
      </c>
      <c r="FT21" s="108">
        <f t="shared" ref="FT21" ca="1" si="867">-FU$21*FT$5*FT$2</f>
        <v>-749.87882158319178</v>
      </c>
      <c r="FU21" s="112">
        <v>0.02</v>
      </c>
      <c r="FV21" s="44"/>
      <c r="FW21" s="107" t="s">
        <v>218</v>
      </c>
      <c r="FX21" s="108">
        <f t="shared" ref="FX21" ca="1" si="868">-FY$21*FX$5*FX$2</f>
        <v>-878.95714832210342</v>
      </c>
      <c r="FY21" s="112">
        <v>0.02</v>
      </c>
      <c r="FZ21" s="44"/>
      <c r="GA21" s="107" t="s">
        <v>218</v>
      </c>
      <c r="GB21" s="108">
        <f t="shared" ref="GB21" ca="1" si="869">-GC$21*GB$5*GB$2</f>
        <v>-835.15051352035016</v>
      </c>
      <c r="GC21" s="112">
        <v>0.02</v>
      </c>
      <c r="GD21" s="44"/>
      <c r="GE21" s="107" t="s">
        <v>218</v>
      </c>
      <c r="GF21" s="108">
        <f t="shared" ref="GF21" ca="1" si="870">-GG$21*GF$5*GF$2</f>
        <v>-1152.7955664483093</v>
      </c>
      <c r="GG21" s="112">
        <v>0.02</v>
      </c>
      <c r="GH21" s="44"/>
      <c r="GI21" s="107" t="s">
        <v>218</v>
      </c>
      <c r="GJ21" s="108">
        <f t="shared" ref="GJ21" ca="1" si="871">-GK$21*GJ$5*GJ$2</f>
        <v>-1065.4552462001227</v>
      </c>
      <c r="GK21" s="112">
        <v>0.02</v>
      </c>
      <c r="GL21" s="44"/>
      <c r="GM21" s="107" t="s">
        <v>218</v>
      </c>
      <c r="GN21" s="108">
        <f t="shared" ref="GN21" ca="1" si="872">-GO$21*GN$5*GN$2</f>
        <v>-783.20073702698573</v>
      </c>
      <c r="GO21" s="112">
        <v>0.02</v>
      </c>
      <c r="GP21" s="44"/>
      <c r="GQ21" s="107" t="s">
        <v>218</v>
      </c>
      <c r="GR21" s="108">
        <f t="shared" ref="GR21" ca="1" si="873">-GS$21*GR$5*GR$2</f>
        <v>-908.8167130403109</v>
      </c>
      <c r="GS21" s="112">
        <v>0.02</v>
      </c>
      <c r="GT21" s="44"/>
      <c r="GU21" s="107" t="s">
        <v>218</v>
      </c>
      <c r="GV21" s="108">
        <f t="shared" ref="GV21" ca="1" si="874">-GW$21*GV$5*GV$2</f>
        <v>-970.17857220578117</v>
      </c>
      <c r="GW21" s="112">
        <v>0.02</v>
      </c>
      <c r="GX21" s="44"/>
      <c r="GY21" s="107" t="s">
        <v>218</v>
      </c>
      <c r="GZ21" s="108">
        <f t="shared" ref="GZ21" ca="1" si="875">-HA$21*GZ$5*GZ$2</f>
        <v>-766.66628173689958</v>
      </c>
      <c r="HA21" s="112">
        <v>0.02</v>
      </c>
      <c r="HB21" s="44"/>
      <c r="HC21" s="107" t="s">
        <v>218</v>
      </c>
      <c r="HD21" s="108">
        <f t="shared" ref="HD21" ca="1" si="876">-HE$21*HD$5*HD$2</f>
        <v>-807.48807832526654</v>
      </c>
      <c r="HE21" s="112">
        <v>0.02</v>
      </c>
      <c r="HF21" s="44"/>
      <c r="HG21" s="107" t="s">
        <v>218</v>
      </c>
      <c r="HH21" s="108">
        <f t="shared" ref="HH21" ca="1" si="877">-HI$21*HH$5*HH$2</f>
        <v>-903.32678546488034</v>
      </c>
      <c r="HI21" s="112">
        <v>0.02</v>
      </c>
      <c r="HJ21" s="44"/>
      <c r="HK21" s="107" t="s">
        <v>218</v>
      </c>
      <c r="HL21" s="108">
        <f t="shared" ref="HL21" ca="1" si="878">-HM$21*HL$5*HL$2</f>
        <v>-841.28090848567683</v>
      </c>
      <c r="HM21" s="112">
        <v>0.02</v>
      </c>
      <c r="HN21" s="44"/>
      <c r="HO21" s="107" t="s">
        <v>218</v>
      </c>
      <c r="HP21" s="108">
        <f t="shared" ref="HP21" ca="1" si="879">-HQ$21*HP$5*HP$2</f>
        <v>-980.13906485534847</v>
      </c>
      <c r="HQ21" s="112">
        <v>0.02</v>
      </c>
      <c r="HR21" s="44"/>
      <c r="HS21" s="107" t="s">
        <v>218</v>
      </c>
      <c r="HT21" s="108">
        <f t="shared" ref="HT21" ca="1" si="880">-HU$21*HT$5*HT$2</f>
        <v>-737.08200677486934</v>
      </c>
      <c r="HU21" s="112">
        <v>0.02</v>
      </c>
      <c r="HV21" s="44"/>
      <c r="HW21" s="107" t="s">
        <v>218</v>
      </c>
      <c r="HX21" s="108">
        <f t="shared" ref="HX21" ca="1" si="881">-HY$21*HX$5*HX$2</f>
        <v>-905.93613517250503</v>
      </c>
      <c r="HY21" s="112">
        <v>0.02</v>
      </c>
      <c r="HZ21" s="44"/>
      <c r="IA21" s="107" t="s">
        <v>218</v>
      </c>
      <c r="IB21" s="108">
        <f t="shared" ref="IB21" ca="1" si="882">-IC$21*IB$5*IB$2</f>
        <v>-758.21760495493811</v>
      </c>
      <c r="IC21" s="112">
        <v>0.02</v>
      </c>
      <c r="ID21" s="44"/>
      <c r="IE21" s="107" t="s">
        <v>218</v>
      </c>
      <c r="IF21" s="108">
        <f t="shared" ref="IF21" ca="1" si="883">-IG$21*IF$5*IF$2</f>
        <v>-842.72277471618793</v>
      </c>
      <c r="IG21" s="112">
        <v>0.02</v>
      </c>
      <c r="IH21" s="44"/>
      <c r="II21" s="107" t="s">
        <v>218</v>
      </c>
      <c r="IJ21" s="108">
        <f t="shared" ref="IJ21" ca="1" si="884">-IK$21*IJ$5*IJ$2</f>
        <v>-741.06760175033457</v>
      </c>
      <c r="IK21" s="112">
        <v>0.02</v>
      </c>
      <c r="IL21" s="44"/>
      <c r="IM21" s="107" t="s">
        <v>218</v>
      </c>
      <c r="IN21" s="108">
        <f t="shared" ref="IN21" ca="1" si="885">-IO$21*IN$5*IN$2</f>
        <v>-894.00683348256314</v>
      </c>
      <c r="IO21" s="112">
        <v>0.02</v>
      </c>
      <c r="IP21" s="44"/>
      <c r="IQ21" s="107" t="s">
        <v>218</v>
      </c>
      <c r="IR21" s="108">
        <f t="shared" ref="IR21" ca="1" si="886">-IS$21*IR$5*IR$2</f>
        <v>-931.52983720446264</v>
      </c>
      <c r="IS21" s="112">
        <v>0.02</v>
      </c>
      <c r="IT21" s="44"/>
      <c r="IU21" s="107" t="s">
        <v>218</v>
      </c>
      <c r="IV21" s="108">
        <f t="shared" ref="IV21" ca="1" si="887">-IW$21*IV$5*IV$2</f>
        <v>-1034.0781530218344</v>
      </c>
      <c r="IW21" s="112">
        <v>0.02</v>
      </c>
      <c r="IX21" s="44"/>
      <c r="IY21" s="107" t="s">
        <v>218</v>
      </c>
      <c r="IZ21" s="108">
        <f t="shared" ref="IZ21" ca="1" si="888">-JA$21*IZ$5*IZ$2</f>
        <v>-973.78176779638227</v>
      </c>
      <c r="JA21" s="112">
        <v>0.02</v>
      </c>
      <c r="JB21" s="44"/>
      <c r="JC21" s="107" t="s">
        <v>218</v>
      </c>
      <c r="JD21" s="108">
        <f t="shared" ref="JD21" ca="1" si="889">-JE$21*JD$5*JD$2</f>
        <v>-1100.2540623296316</v>
      </c>
      <c r="JE21" s="112">
        <v>0.02</v>
      </c>
      <c r="JF21" s="44"/>
      <c r="JG21" s="107" t="s">
        <v>218</v>
      </c>
      <c r="JH21" s="108">
        <f t="shared" ref="JH21" ca="1" si="890">-JI$21*JH$5*JH$2</f>
        <v>-1105.8115676488474</v>
      </c>
      <c r="JI21" s="112">
        <v>0.02</v>
      </c>
      <c r="JJ21" s="44"/>
      <c r="JK21" s="107" t="s">
        <v>218</v>
      </c>
      <c r="JL21" s="108">
        <f t="shared" ref="JL21" ca="1" si="891">-JM$21*JL$5*JL$2</f>
        <v>-1103.3654811331562</v>
      </c>
      <c r="JM21" s="112">
        <v>0.02</v>
      </c>
      <c r="JN21" s="44"/>
      <c r="JO21" s="107" t="s">
        <v>218</v>
      </c>
      <c r="JP21" s="108">
        <f t="shared" ref="JP21" ca="1" si="892">-JQ$21*JP$5*JP$2</f>
        <v>-1248.7307034921894</v>
      </c>
      <c r="JQ21" s="112">
        <v>0.02</v>
      </c>
      <c r="JR21" s="44"/>
      <c r="JS21" s="107" t="s">
        <v>218</v>
      </c>
      <c r="JT21" s="108">
        <f t="shared" ref="JT21" ca="1" si="893">-JU$21*JT$5*JT$2</f>
        <v>-1238.7395125682326</v>
      </c>
      <c r="JU21" s="112">
        <v>0.02</v>
      </c>
      <c r="JV21" s="44"/>
      <c r="JW21" s="107" t="s">
        <v>218</v>
      </c>
      <c r="JX21" s="108">
        <f t="shared" ref="JX21" ca="1" si="894">-JY$21*JX$5*JX$2</f>
        <v>-1239.0211084895038</v>
      </c>
      <c r="JY21" s="112">
        <v>0.02</v>
      </c>
      <c r="JZ21" s="44"/>
      <c r="KA21" s="107" t="s">
        <v>218</v>
      </c>
      <c r="KB21" s="108">
        <f t="shared" ref="KB21" ca="1" si="895">-KC$21*KB$5*KB$2</f>
        <v>-1375.6813149066825</v>
      </c>
      <c r="KC21" s="112">
        <v>0.02</v>
      </c>
    </row>
    <row r="22" spans="1:289" x14ac:dyDescent="0.25">
      <c r="A22" s="98"/>
      <c r="C22" s="107" t="s">
        <v>215</v>
      </c>
      <c r="D22" s="108">
        <f ca="1">-E$22*D$5*D$2</f>
        <v>-1645.1261830261869</v>
      </c>
      <c r="E22" s="112">
        <v>0.18</v>
      </c>
      <c r="G22" s="107" t="s">
        <v>215</v>
      </c>
      <c r="H22" s="108">
        <f ca="1">-I$22*H$5*H$2</f>
        <v>-1589.0898402580442</v>
      </c>
      <c r="I22" s="112">
        <v>0.18</v>
      </c>
      <c r="K22" s="107" t="s">
        <v>215</v>
      </c>
      <c r="L22" s="108">
        <f ca="1">-M$22*L$5*L$2</f>
        <v>-1381.336907210864</v>
      </c>
      <c r="M22" s="112">
        <v>0.18</v>
      </c>
      <c r="N22" s="44"/>
      <c r="O22" s="107" t="s">
        <v>215</v>
      </c>
      <c r="P22" s="108">
        <f t="shared" ref="P22" ca="1" si="896">-Q$22*P$5*P$2</f>
        <v>-1510.299501805657</v>
      </c>
      <c r="Q22" s="112">
        <v>0.18</v>
      </c>
      <c r="R22" s="44"/>
      <c r="S22" s="107" t="s">
        <v>215</v>
      </c>
      <c r="T22" s="108">
        <f t="shared" ref="T22" ca="1" si="897">-U$22*T$5*T$2</f>
        <v>-1755.1796330265108</v>
      </c>
      <c r="U22" s="112">
        <v>0.18</v>
      </c>
      <c r="V22" s="44"/>
      <c r="W22" s="107" t="s">
        <v>215</v>
      </c>
      <c r="X22" s="108">
        <f t="shared" ref="X22" ca="1" si="898">-Y$22*X$5*X$2</f>
        <v>-1556.2252424076805</v>
      </c>
      <c r="Y22" s="112">
        <v>0.18</v>
      </c>
      <c r="Z22" s="44"/>
      <c r="AA22" s="107" t="s">
        <v>215</v>
      </c>
      <c r="AB22" s="108">
        <f t="shared" ref="AB22" ca="1" si="899">-AC$22*AB$5*AB$2</f>
        <v>-1733.0917626103458</v>
      </c>
      <c r="AC22" s="112">
        <v>0.18</v>
      </c>
      <c r="AD22" s="44"/>
      <c r="AE22" s="107" t="s">
        <v>215</v>
      </c>
      <c r="AF22" s="108">
        <f t="shared" ref="AF22" ca="1" si="900">-AG$22*AF$5*AF$2</f>
        <v>-1692.7925015503915</v>
      </c>
      <c r="AG22" s="112">
        <v>0.18</v>
      </c>
      <c r="AH22" s="44"/>
      <c r="AI22" s="107" t="s">
        <v>215</v>
      </c>
      <c r="AJ22" s="108">
        <f t="shared" ref="AJ22" ca="1" si="901">-AK$22*AJ$5*AJ$2</f>
        <v>-1495.3765016175628</v>
      </c>
      <c r="AK22" s="112">
        <v>0.18</v>
      </c>
      <c r="AL22" s="44"/>
      <c r="AM22" s="107" t="s">
        <v>215</v>
      </c>
      <c r="AN22" s="108">
        <f t="shared" ref="AN22" ca="1" si="902">-AO$22*AN$5*AN$2</f>
        <v>-1463.2467132324448</v>
      </c>
      <c r="AO22" s="112">
        <v>0.18</v>
      </c>
      <c r="AP22" s="44"/>
      <c r="AQ22" s="107" t="s">
        <v>215</v>
      </c>
      <c r="AR22" s="108">
        <f t="shared" ref="AR22" ca="1" si="903">-AS$22*AR$5*AR$2</f>
        <v>-1858.231227773648</v>
      </c>
      <c r="AS22" s="112">
        <v>0.18</v>
      </c>
      <c r="AT22" s="44"/>
      <c r="AU22" s="107" t="s">
        <v>215</v>
      </c>
      <c r="AV22" s="108">
        <f t="shared" ref="AV22" ca="1" si="904">-AW$22*AV$5*AV$2</f>
        <v>-2028.347297759959</v>
      </c>
      <c r="AW22" s="112">
        <v>0.18</v>
      </c>
      <c r="AX22" s="44"/>
      <c r="AY22" s="107" t="s">
        <v>215</v>
      </c>
      <c r="AZ22" s="108">
        <f t="shared" ref="AZ22" ca="1" si="905">-BA$22*AZ$5*AZ$2</f>
        <v>-1850.950076070146</v>
      </c>
      <c r="BA22" s="112">
        <v>0.18</v>
      </c>
      <c r="BB22" s="44"/>
      <c r="BC22" s="107" t="s">
        <v>215</v>
      </c>
      <c r="BD22" s="108">
        <f t="shared" ref="BD22" ca="1" si="906">-BE$22*BD$5*BD$2</f>
        <v>-1638.1158067265574</v>
      </c>
      <c r="BE22" s="112">
        <v>0.18</v>
      </c>
      <c r="BF22" s="44"/>
      <c r="BG22" s="107" t="s">
        <v>215</v>
      </c>
      <c r="BH22" s="108">
        <f t="shared" ref="BH22" ca="1" si="907">-BI$22*BH$5*BH$2</f>
        <v>-1625.7277497578234</v>
      </c>
      <c r="BI22" s="112">
        <v>0.18</v>
      </c>
      <c r="BJ22" s="44"/>
      <c r="BK22" s="107" t="s">
        <v>215</v>
      </c>
      <c r="BL22" s="108">
        <f t="shared" ref="BL22" ca="1" si="908">-BM$22*BL$5*BL$2</f>
        <v>-1720.0359469148361</v>
      </c>
      <c r="BM22" s="112">
        <v>0.18</v>
      </c>
      <c r="BN22" s="44"/>
      <c r="BO22" s="107" t="s">
        <v>215</v>
      </c>
      <c r="BP22" s="108">
        <f t="shared" ref="BP22" ca="1" si="909">-BQ$22*BP$5*BP$2</f>
        <v>-2039.9511078619605</v>
      </c>
      <c r="BQ22" s="112">
        <v>0.18</v>
      </c>
      <c r="BR22" s="44"/>
      <c r="BS22" s="107" t="s">
        <v>215</v>
      </c>
      <c r="BT22" s="108">
        <f t="shared" ref="BT22" ca="1" si="910">-BU$22*BT$5*BT$2</f>
        <v>-2024.7600497713181</v>
      </c>
      <c r="BU22" s="112">
        <v>0.18</v>
      </c>
      <c r="BV22" s="44"/>
      <c r="BW22" s="107" t="s">
        <v>215</v>
      </c>
      <c r="BX22" s="108">
        <f t="shared" ref="BX22" ca="1" si="911">-BY$22*BX$5*BX$2</f>
        <v>-2086.1044037799556</v>
      </c>
      <c r="BY22" s="112">
        <v>0.18</v>
      </c>
      <c r="BZ22" s="44"/>
      <c r="CA22" s="107" t="s">
        <v>215</v>
      </c>
      <c r="CB22" s="108">
        <f t="shared" ref="CB22" ca="1" si="912">-CC$22*CB$5*CB$2</f>
        <v>-2200.8692808185037</v>
      </c>
      <c r="CC22" s="112">
        <v>0.18</v>
      </c>
      <c r="CD22" s="44"/>
      <c r="CE22" s="107" t="s">
        <v>215</v>
      </c>
      <c r="CF22" s="108">
        <f t="shared" ref="CF22" ca="1" si="913">-CG$22*CF$5*CF$2</f>
        <v>-2168.2326731929847</v>
      </c>
      <c r="CG22" s="112">
        <v>0.18</v>
      </c>
      <c r="CH22" s="44"/>
      <c r="CI22" s="107" t="s">
        <v>215</v>
      </c>
      <c r="CJ22" s="108">
        <f t="shared" ref="CJ22" ca="1" si="914">-CK$22*CJ$5*CJ$2</f>
        <v>-1620.4679014744581</v>
      </c>
      <c r="CK22" s="112">
        <v>0.18</v>
      </c>
      <c r="CL22" s="44"/>
      <c r="CM22" s="107" t="s">
        <v>215</v>
      </c>
      <c r="CN22" s="108">
        <f t="shared" ref="CN22" ca="1" si="915">-CO$22*CN$5*CN$2</f>
        <v>-1385.1982092626233</v>
      </c>
      <c r="CO22" s="112">
        <v>0.18</v>
      </c>
      <c r="CP22" s="44"/>
      <c r="CQ22" s="107" t="s">
        <v>215</v>
      </c>
      <c r="CR22" s="108">
        <f t="shared" ref="CR22" ca="1" si="916">-CS$22*CR$5*CR$2</f>
        <v>-1668.0886161096162</v>
      </c>
      <c r="CS22" s="112">
        <v>0.18</v>
      </c>
      <c r="CT22" s="44"/>
      <c r="CU22" s="107" t="s">
        <v>215</v>
      </c>
      <c r="CV22" s="108">
        <f t="shared" ref="CV22" ca="1" si="917">-CW$22*CV$5*CV$2</f>
        <v>-1765.7616335663042</v>
      </c>
      <c r="CW22" s="112">
        <v>0.18</v>
      </c>
      <c r="CX22" s="44"/>
      <c r="CY22" s="107" t="s">
        <v>215</v>
      </c>
      <c r="CZ22" s="108">
        <f t="shared" ref="CZ22" ca="1" si="918">-DA$22*CZ$5*CZ$2</f>
        <v>-1541.0691408832677</v>
      </c>
      <c r="DA22" s="112">
        <v>0.18</v>
      </c>
      <c r="DB22" s="44"/>
      <c r="DC22" s="107" t="s">
        <v>215</v>
      </c>
      <c r="DD22" s="108">
        <f t="shared" ref="DD22" ca="1" si="919">-DE$22*DD$5*DD$2</f>
        <v>-1845.0127491758342</v>
      </c>
      <c r="DE22" s="112">
        <v>0.18</v>
      </c>
      <c r="DF22" s="44"/>
      <c r="DG22" s="107" t="s">
        <v>215</v>
      </c>
      <c r="DH22" s="108">
        <f t="shared" ref="DH22" ca="1" si="920">-DI$22*DH$5*DH$2</f>
        <v>-1798.2444795850629</v>
      </c>
      <c r="DI22" s="112">
        <v>0.18</v>
      </c>
      <c r="DJ22" s="44"/>
      <c r="DK22" s="107" t="s">
        <v>215</v>
      </c>
      <c r="DL22" s="108">
        <f t="shared" ref="DL22" ca="1" si="921">-DM$22*DL$5*DL$2</f>
        <v>-2047.3297857401749</v>
      </c>
      <c r="DM22" s="112">
        <v>0.18</v>
      </c>
      <c r="DN22" s="44"/>
      <c r="DO22" s="107" t="s">
        <v>215</v>
      </c>
      <c r="DP22" s="108">
        <f t="shared" ref="DP22" ca="1" si="922">-DQ$22*DP$5*DP$2</f>
        <v>-2364.6885449166484</v>
      </c>
      <c r="DQ22" s="112">
        <v>0.18</v>
      </c>
      <c r="DR22" s="44"/>
      <c r="DS22" s="107" t="s">
        <v>215</v>
      </c>
      <c r="DT22" s="108">
        <f t="shared" ref="DT22" ca="1" si="923">-DU$22*DT$5*DT$2</f>
        <v>-2708.0712451377458</v>
      </c>
      <c r="DU22" s="112">
        <v>0.18</v>
      </c>
      <c r="DV22" s="44"/>
      <c r="DW22" s="107" t="s">
        <v>215</v>
      </c>
      <c r="DX22" s="108">
        <f t="shared" ref="DX22" ca="1" si="924">-DY$22*DX$5*DX$2</f>
        <v>-2897.5858158081769</v>
      </c>
      <c r="DY22" s="112">
        <v>0.18</v>
      </c>
      <c r="DZ22" s="44"/>
      <c r="EA22" s="107" t="s">
        <v>215</v>
      </c>
      <c r="EB22" s="108">
        <f t="shared" ref="EB22" ca="1" si="925">-EC$22*EB$5*EB$2</f>
        <v>-3352.1649811937918</v>
      </c>
      <c r="EC22" s="112">
        <v>0.18</v>
      </c>
      <c r="ED22" s="44"/>
      <c r="EE22" s="107" t="s">
        <v>215</v>
      </c>
      <c r="EF22" s="108">
        <f t="shared" ref="EF22" ca="1" si="926">-EG$22*EF$5*EF$2</f>
        <v>-3900.8487668606867</v>
      </c>
      <c r="EG22" s="112">
        <v>0.18</v>
      </c>
      <c r="EH22" s="44"/>
      <c r="EI22" s="107" t="s">
        <v>215</v>
      </c>
      <c r="EJ22" s="108">
        <f t="shared" ref="EJ22" ca="1" si="927">-EK$22*EJ$5*EJ$2</f>
        <v>-5269.9463690249077</v>
      </c>
      <c r="EK22" s="112">
        <v>0.18</v>
      </c>
      <c r="EL22" s="44"/>
      <c r="EM22" s="107" t="s">
        <v>215</v>
      </c>
      <c r="EN22" s="108">
        <f t="shared" ref="EN22" ca="1" si="928">-EO$22*EN$5*EN$2</f>
        <v>-5524.1137846768961</v>
      </c>
      <c r="EO22" s="112">
        <v>0.18</v>
      </c>
      <c r="EP22" s="44"/>
      <c r="EQ22" s="107" t="s">
        <v>215</v>
      </c>
      <c r="ER22" s="108">
        <f t="shared" ref="ER22" ca="1" si="929">-ES$22*ER$5*ER$2</f>
        <v>-4605.5552458016437</v>
      </c>
      <c r="ES22" s="112">
        <v>0.18</v>
      </c>
      <c r="ET22" s="44"/>
      <c r="EU22" s="107" t="s">
        <v>215</v>
      </c>
      <c r="EV22" s="108">
        <f t="shared" ref="EV22" ca="1" si="930">-EW$22*EV$5*EV$2</f>
        <v>-5678.3495538940715</v>
      </c>
      <c r="EW22" s="112">
        <v>0.18</v>
      </c>
      <c r="EX22" s="44"/>
      <c r="EY22" s="107" t="s">
        <v>215</v>
      </c>
      <c r="EZ22" s="108">
        <f t="shared" ref="EZ22" ca="1" si="931">-FA$22*EZ$5*EZ$2</f>
        <v>-5160.2987851849393</v>
      </c>
      <c r="FA22" s="112">
        <v>0.18</v>
      </c>
      <c r="FB22" s="44"/>
      <c r="FC22" s="107" t="s">
        <v>215</v>
      </c>
      <c r="FD22" s="108">
        <f t="shared" ref="FD22" ca="1" si="932">-FE$22*FD$5*FD$2</f>
        <v>-5958.1588841710409</v>
      </c>
      <c r="FE22" s="112">
        <v>0.18</v>
      </c>
      <c r="FF22" s="44"/>
      <c r="FG22" s="107" t="s">
        <v>215</v>
      </c>
      <c r="FH22" s="108">
        <f t="shared" ref="FH22" ca="1" si="933">-FI$22*FH$5*FH$2</f>
        <v>-6142.1565047338554</v>
      </c>
      <c r="FI22" s="112">
        <v>0.18</v>
      </c>
      <c r="FJ22" s="44"/>
      <c r="FK22" s="107" t="s">
        <v>215</v>
      </c>
      <c r="FL22" s="108">
        <f t="shared" ref="FL22" ca="1" si="934">-FM$22*FL$5*FL$2</f>
        <v>-6726.3902621421075</v>
      </c>
      <c r="FM22" s="112">
        <v>0.18</v>
      </c>
      <c r="FN22" s="44"/>
      <c r="FO22" s="107" t="s">
        <v>215</v>
      </c>
      <c r="FP22" s="108">
        <f t="shared" ref="FP22" ca="1" si="935">-FQ$22*FP$5*FP$2</f>
        <v>-5960.6767783282212</v>
      </c>
      <c r="FQ22" s="112">
        <v>0.18</v>
      </c>
      <c r="FR22" s="44"/>
      <c r="FS22" s="107" t="s">
        <v>215</v>
      </c>
      <c r="FT22" s="108">
        <f t="shared" ref="FT22" ca="1" si="936">-FU$22*FT$5*FT$2</f>
        <v>-6748.9093942487252</v>
      </c>
      <c r="FU22" s="112">
        <v>0.18</v>
      </c>
      <c r="FV22" s="44"/>
      <c r="FW22" s="107" t="s">
        <v>215</v>
      </c>
      <c r="FX22" s="108">
        <f t="shared" ref="FX22" ca="1" si="937">-FY$22*FX$5*FX$2</f>
        <v>-7910.6143348989308</v>
      </c>
      <c r="FY22" s="112">
        <v>0.18</v>
      </c>
      <c r="FZ22" s="44"/>
      <c r="GA22" s="107" t="s">
        <v>215</v>
      </c>
      <c r="GB22" s="108">
        <f t="shared" ref="GB22" ca="1" si="938">-GC$22*GB$5*GB$2</f>
        <v>-7516.3546216831519</v>
      </c>
      <c r="GC22" s="112">
        <v>0.18</v>
      </c>
      <c r="GD22" s="44"/>
      <c r="GE22" s="107" t="s">
        <v>215</v>
      </c>
      <c r="GF22" s="108">
        <f t="shared" ref="GF22" ca="1" si="939">-GG$22*GF$5*GF$2</f>
        <v>-10375.160098034785</v>
      </c>
      <c r="GG22" s="112">
        <v>0.18</v>
      </c>
      <c r="GH22" s="44"/>
      <c r="GI22" s="107" t="s">
        <v>215</v>
      </c>
      <c r="GJ22" s="108">
        <f t="shared" ref="GJ22" ca="1" si="940">-GK$22*GJ$5*GJ$2</f>
        <v>-9589.0972158011045</v>
      </c>
      <c r="GK22" s="112">
        <v>0.18</v>
      </c>
      <c r="GL22" s="44"/>
      <c r="GM22" s="107" t="s">
        <v>215</v>
      </c>
      <c r="GN22" s="108">
        <f t="shared" ref="GN22" ca="1" si="941">-GO$22*GN$5*GN$2</f>
        <v>-7048.8066332428707</v>
      </c>
      <c r="GO22" s="112">
        <v>0.18</v>
      </c>
      <c r="GP22" s="44"/>
      <c r="GQ22" s="107" t="s">
        <v>215</v>
      </c>
      <c r="GR22" s="108">
        <f t="shared" ref="GR22" ca="1" si="942">-GS$22*GR$5*GR$2</f>
        <v>-8179.3504173627971</v>
      </c>
      <c r="GS22" s="112">
        <v>0.18</v>
      </c>
      <c r="GT22" s="44"/>
      <c r="GU22" s="107" t="s">
        <v>215</v>
      </c>
      <c r="GV22" s="108">
        <f t="shared" ref="GV22" ca="1" si="943">-GW$22*GV$5*GV$2</f>
        <v>-8731.6071498520287</v>
      </c>
      <c r="GW22" s="112">
        <v>0.18</v>
      </c>
      <c r="GX22" s="44"/>
      <c r="GY22" s="107" t="s">
        <v>215</v>
      </c>
      <c r="GZ22" s="108">
        <f t="shared" ref="GZ22" ca="1" si="944">-HA$22*GZ$5*GZ$2</f>
        <v>-6899.9965356320963</v>
      </c>
      <c r="HA22" s="112">
        <v>0.18</v>
      </c>
      <c r="HB22" s="44"/>
      <c r="HC22" s="107" t="s">
        <v>215</v>
      </c>
      <c r="HD22" s="108">
        <f t="shared" ref="HD22" ca="1" si="945">-HE$22*HD$5*HD$2</f>
        <v>-7267.3927049273989</v>
      </c>
      <c r="HE22" s="112">
        <v>0.18</v>
      </c>
      <c r="HF22" s="44"/>
      <c r="HG22" s="107" t="s">
        <v>215</v>
      </c>
      <c r="HH22" s="108">
        <f t="shared" ref="HH22" ca="1" si="946">-HI$22*HH$5*HH$2</f>
        <v>-8129.941069183923</v>
      </c>
      <c r="HI22" s="112">
        <v>0.18</v>
      </c>
      <c r="HJ22" s="44"/>
      <c r="HK22" s="107" t="s">
        <v>215</v>
      </c>
      <c r="HL22" s="108">
        <f t="shared" ref="HL22" ca="1" si="947">-HM$22*HL$5*HL$2</f>
        <v>-7571.5281763710918</v>
      </c>
      <c r="HM22" s="112">
        <v>0.18</v>
      </c>
      <c r="HN22" s="44"/>
      <c r="HO22" s="107" t="s">
        <v>215</v>
      </c>
      <c r="HP22" s="108">
        <f t="shared" ref="HP22" ca="1" si="948">-HQ$22*HP$5*HP$2</f>
        <v>-8821.2515836981347</v>
      </c>
      <c r="HQ22" s="112">
        <v>0.18</v>
      </c>
      <c r="HR22" s="44"/>
      <c r="HS22" s="107" t="s">
        <v>215</v>
      </c>
      <c r="HT22" s="108">
        <f t="shared" ref="HT22" ca="1" si="949">-HU$22*HT$5*HT$2</f>
        <v>-6633.7380609738248</v>
      </c>
      <c r="HU22" s="112">
        <v>0.18</v>
      </c>
      <c r="HV22" s="44"/>
      <c r="HW22" s="107" t="s">
        <v>215</v>
      </c>
      <c r="HX22" s="108">
        <f t="shared" ref="HX22" ca="1" si="950">-HY$22*HX$5*HX$2</f>
        <v>-8153.425216552544</v>
      </c>
      <c r="HY22" s="112">
        <v>0.18</v>
      </c>
      <c r="HZ22" s="44"/>
      <c r="IA22" s="107" t="s">
        <v>215</v>
      </c>
      <c r="IB22" s="108">
        <f t="shared" ref="IB22" ca="1" si="951">-IC$22*IB$5*IB$2</f>
        <v>-6823.9584445944429</v>
      </c>
      <c r="IC22" s="112">
        <v>0.18</v>
      </c>
      <c r="ID22" s="44"/>
      <c r="IE22" s="107" t="s">
        <v>215</v>
      </c>
      <c r="IF22" s="108">
        <f t="shared" ref="IF22" ca="1" si="952">-IG$22*IF$5*IF$2</f>
        <v>-7584.5049724456912</v>
      </c>
      <c r="IG22" s="112">
        <v>0.18</v>
      </c>
      <c r="IH22" s="44"/>
      <c r="II22" s="107" t="s">
        <v>215</v>
      </c>
      <c r="IJ22" s="108">
        <f t="shared" ref="IJ22" ca="1" si="953">-IK$22*IJ$5*IJ$2</f>
        <v>-6669.6084157530113</v>
      </c>
      <c r="IK22" s="112">
        <v>0.18</v>
      </c>
      <c r="IL22" s="44"/>
      <c r="IM22" s="107" t="s">
        <v>215</v>
      </c>
      <c r="IN22" s="108">
        <f t="shared" ref="IN22" ca="1" si="954">-IO$22*IN$5*IN$2</f>
        <v>-8046.0615013430688</v>
      </c>
      <c r="IO22" s="112">
        <v>0.18</v>
      </c>
      <c r="IP22" s="44"/>
      <c r="IQ22" s="107" t="s">
        <v>215</v>
      </c>
      <c r="IR22" s="108">
        <f t="shared" ref="IR22" ca="1" si="955">-IS$22*IR$5*IR$2</f>
        <v>-8383.7685348401646</v>
      </c>
      <c r="IS22" s="112">
        <v>0.18</v>
      </c>
      <c r="IT22" s="44"/>
      <c r="IU22" s="107" t="s">
        <v>215</v>
      </c>
      <c r="IV22" s="108">
        <f t="shared" ref="IV22" ca="1" si="956">-IW$22*IV$5*IV$2</f>
        <v>-9306.7033771965089</v>
      </c>
      <c r="IW22" s="112">
        <v>0.18</v>
      </c>
      <c r="IX22" s="44"/>
      <c r="IY22" s="107" t="s">
        <v>215</v>
      </c>
      <c r="IZ22" s="108">
        <f t="shared" ref="IZ22" ca="1" si="957">-JA$22*IZ$5*IZ$2</f>
        <v>-8764.0359101674403</v>
      </c>
      <c r="JA22" s="112">
        <v>0.18</v>
      </c>
      <c r="JB22" s="44"/>
      <c r="JC22" s="107" t="s">
        <v>215</v>
      </c>
      <c r="JD22" s="108">
        <f t="shared" ref="JD22" ca="1" si="958">-JE$22*JD$5*JD$2</f>
        <v>-9902.2865609666806</v>
      </c>
      <c r="JE22" s="112">
        <v>0.18</v>
      </c>
      <c r="JF22" s="44"/>
      <c r="JG22" s="107" t="s">
        <v>215</v>
      </c>
      <c r="JH22" s="108">
        <f t="shared" ref="JH22" ca="1" si="959">-JI$22*JH$5*JH$2</f>
        <v>-9952.3041088396258</v>
      </c>
      <c r="JI22" s="112">
        <v>0.18</v>
      </c>
      <c r="JJ22" s="44"/>
      <c r="JK22" s="107" t="s">
        <v>215</v>
      </c>
      <c r="JL22" s="108">
        <f t="shared" ref="JL22" ca="1" si="960">-JM$22*JL$5*JL$2</f>
        <v>-9930.2893301984059</v>
      </c>
      <c r="JM22" s="112">
        <v>0.18</v>
      </c>
      <c r="JN22" s="44"/>
      <c r="JO22" s="107" t="s">
        <v>215</v>
      </c>
      <c r="JP22" s="108">
        <f t="shared" ref="JP22" ca="1" si="961">-JQ$22*JP$5*JP$2</f>
        <v>-11238.576331429704</v>
      </c>
      <c r="JQ22" s="112">
        <v>0.18</v>
      </c>
      <c r="JR22" s="44"/>
      <c r="JS22" s="107" t="s">
        <v>215</v>
      </c>
      <c r="JT22" s="108">
        <f t="shared" ref="JT22" ca="1" si="962">-JU$22*JT$5*JT$2</f>
        <v>-11148.655613114091</v>
      </c>
      <c r="JU22" s="112">
        <v>0.18</v>
      </c>
      <c r="JV22" s="44"/>
      <c r="JW22" s="107" t="s">
        <v>215</v>
      </c>
      <c r="JX22" s="108">
        <f t="shared" ref="JX22" ca="1" si="963">-JY$22*JX$5*JX$2</f>
        <v>-11151.189976405531</v>
      </c>
      <c r="JY22" s="112">
        <v>0.18</v>
      </c>
      <c r="JZ22" s="44"/>
      <c r="KA22" s="107" t="s">
        <v>215</v>
      </c>
      <c r="KB22" s="108">
        <f t="shared" ref="KB22" ca="1" si="964">-KC$22*KB$5*KB$2</f>
        <v>-12381.131834160142</v>
      </c>
      <c r="KC22" s="112">
        <v>0.18</v>
      </c>
    </row>
    <row r="23" spans="1:289" x14ac:dyDescent="0.25">
      <c r="A23" s="98"/>
      <c r="C23" s="107" t="s">
        <v>217</v>
      </c>
      <c r="D23" s="108">
        <f ca="1">-E$23*60*D$5</f>
        <v>-74.400000000000006</v>
      </c>
      <c r="E23" s="113">
        <v>0.4</v>
      </c>
      <c r="G23" s="107" t="s">
        <v>217</v>
      </c>
      <c r="H23" s="108">
        <f ca="1">-I$23*60*H$5</f>
        <v>-76.800000000000011</v>
      </c>
      <c r="I23" s="113">
        <v>0.4</v>
      </c>
      <c r="K23" s="107" t="s">
        <v>217</v>
      </c>
      <c r="L23" s="108">
        <f ca="1">-M$23*60*L$5</f>
        <v>-72</v>
      </c>
      <c r="M23" s="113">
        <v>0.4</v>
      </c>
      <c r="N23" s="44"/>
      <c r="O23" s="107" t="s">
        <v>217</v>
      </c>
      <c r="P23" s="108">
        <f t="shared" ref="P23" ca="1" si="965">-Q$23*60*P$5</f>
        <v>-79.199999999999989</v>
      </c>
      <c r="Q23" s="113">
        <v>0.4</v>
      </c>
      <c r="R23" s="44"/>
      <c r="S23" s="107" t="s">
        <v>217</v>
      </c>
      <c r="T23" s="108">
        <f t="shared" ref="T23" ca="1" si="966">-U$23*60*T$5</f>
        <v>-91.199999999999989</v>
      </c>
      <c r="U23" s="113">
        <v>0.4</v>
      </c>
      <c r="V23" s="44"/>
      <c r="W23" s="107" t="s">
        <v>217</v>
      </c>
      <c r="X23" s="108">
        <f t="shared" ref="X23" ca="1" si="967">-Y$23*60*X$5</f>
        <v>-84</v>
      </c>
      <c r="Y23" s="113">
        <v>0.4</v>
      </c>
      <c r="Z23" s="44"/>
      <c r="AA23" s="107" t="s">
        <v>217</v>
      </c>
      <c r="AB23" s="108">
        <f t="shared" ref="AB23" ca="1" si="968">-AC$23*60*AB$5</f>
        <v>-91.199999999999989</v>
      </c>
      <c r="AC23" s="113">
        <v>0.4</v>
      </c>
      <c r="AD23" s="44"/>
      <c r="AE23" s="107" t="s">
        <v>217</v>
      </c>
      <c r="AF23" s="108">
        <f t="shared" ref="AF23" ca="1" si="969">-AG$23*60*AF$5</f>
        <v>-98.399999999999991</v>
      </c>
      <c r="AG23" s="113">
        <v>0.4</v>
      </c>
      <c r="AH23" s="44"/>
      <c r="AI23" s="107" t="s">
        <v>217</v>
      </c>
      <c r="AJ23" s="108">
        <f t="shared" ref="AJ23" ca="1" si="970">-AK$23*60*AJ$5</f>
        <v>-93.6</v>
      </c>
      <c r="AK23" s="113">
        <v>0.4</v>
      </c>
      <c r="AL23" s="44"/>
      <c r="AM23" s="107" t="s">
        <v>217</v>
      </c>
      <c r="AN23" s="108">
        <f t="shared" ref="AN23" ca="1" si="971">-AO$23*60*AN$5</f>
        <v>-98.399999999999991</v>
      </c>
      <c r="AO23" s="113">
        <v>0.4</v>
      </c>
      <c r="AP23" s="44"/>
      <c r="AQ23" s="107" t="s">
        <v>217</v>
      </c>
      <c r="AR23" s="108">
        <f t="shared" ref="AR23" ca="1" si="972">-AS$23*60*AR$5</f>
        <v>-122.39999999999999</v>
      </c>
      <c r="AS23" s="113">
        <v>0.4</v>
      </c>
      <c r="AT23" s="44"/>
      <c r="AU23" s="107" t="s">
        <v>217</v>
      </c>
      <c r="AV23" s="108">
        <f t="shared" ref="AV23" ca="1" si="973">-AW$23*60*AV$5</f>
        <v>-127.19999999999999</v>
      </c>
      <c r="AW23" s="113">
        <v>0.4</v>
      </c>
      <c r="AX23" s="44"/>
      <c r="AY23" s="107" t="s">
        <v>217</v>
      </c>
      <c r="AZ23" s="108">
        <f t="shared" ref="AZ23" ca="1" si="974">-BA$23*60*AZ$5</f>
        <v>-120</v>
      </c>
      <c r="BA23" s="113">
        <v>0.4</v>
      </c>
      <c r="BB23" s="44"/>
      <c r="BC23" s="107" t="s">
        <v>217</v>
      </c>
      <c r="BD23" s="108">
        <f t="shared" ref="BD23" ca="1" si="975">-BE$23*60*BD$5</f>
        <v>-105.60000000000001</v>
      </c>
      <c r="BE23" s="113">
        <v>0.4</v>
      </c>
      <c r="BF23" s="44"/>
      <c r="BG23" s="107" t="s">
        <v>217</v>
      </c>
      <c r="BH23" s="108">
        <f t="shared" ref="BH23" ca="1" si="976">-BI$23*60*BH$5</f>
        <v>-108</v>
      </c>
      <c r="BI23" s="113">
        <v>0.4</v>
      </c>
      <c r="BJ23" s="44"/>
      <c r="BK23" s="107" t="s">
        <v>217</v>
      </c>
      <c r="BL23" s="108">
        <f t="shared" ref="BL23" ca="1" si="977">-BM$23*60*BL$5</f>
        <v>-110.39999999999999</v>
      </c>
      <c r="BM23" s="113">
        <v>0.4</v>
      </c>
      <c r="BN23" s="44"/>
      <c r="BO23" s="107" t="s">
        <v>217</v>
      </c>
      <c r="BP23" s="108">
        <f t="shared" ref="BP23" ca="1" si="978">-BQ$23*60*BP$5</f>
        <v>-124.80000000000001</v>
      </c>
      <c r="BQ23" s="113">
        <v>0.4</v>
      </c>
      <c r="BR23" s="44"/>
      <c r="BS23" s="107" t="s">
        <v>217</v>
      </c>
      <c r="BT23" s="108">
        <f t="shared" ref="BT23" ca="1" si="979">-BU$23*60*BT$5</f>
        <v>-110.39999999999999</v>
      </c>
      <c r="BU23" s="113">
        <v>0.4</v>
      </c>
      <c r="BV23" s="44"/>
      <c r="BW23" s="107" t="s">
        <v>217</v>
      </c>
      <c r="BX23" s="108">
        <f t="shared" ref="BX23" ca="1" si="980">-BY$23*60*BX$5</f>
        <v>-129.60000000000002</v>
      </c>
      <c r="BY23" s="113">
        <v>0.4</v>
      </c>
      <c r="BZ23" s="44"/>
      <c r="CA23" s="107" t="s">
        <v>217</v>
      </c>
      <c r="CB23" s="108">
        <f t="shared" ref="CB23" ca="1" si="981">-CC$23*60*CB$5</f>
        <v>-141.60000000000002</v>
      </c>
      <c r="CC23" s="113">
        <v>0.4</v>
      </c>
      <c r="CD23" s="44"/>
      <c r="CE23" s="107" t="s">
        <v>217</v>
      </c>
      <c r="CF23" s="108">
        <f t="shared" ref="CF23" ca="1" si="982">-CG$23*60*CF$5</f>
        <v>-160.80000000000001</v>
      </c>
      <c r="CG23" s="113">
        <v>0.4</v>
      </c>
      <c r="CH23" s="44"/>
      <c r="CI23" s="107" t="s">
        <v>217</v>
      </c>
      <c r="CJ23" s="108">
        <f t="shared" ref="CJ23" ca="1" si="983">-CK$23*60*CJ$5</f>
        <v>-129.60000000000002</v>
      </c>
      <c r="CK23" s="113">
        <v>0.4</v>
      </c>
      <c r="CL23" s="44"/>
      <c r="CM23" s="107" t="s">
        <v>217</v>
      </c>
      <c r="CN23" s="108">
        <f t="shared" ref="CN23" ca="1" si="984">-CO$23*60*CN$5</f>
        <v>-127.19999999999999</v>
      </c>
      <c r="CO23" s="113">
        <v>0.4</v>
      </c>
      <c r="CP23" s="44"/>
      <c r="CQ23" s="107" t="s">
        <v>217</v>
      </c>
      <c r="CR23" s="108">
        <f t="shared" ref="CR23" ca="1" si="985">-CS$23*60*CR$5</f>
        <v>-151.19999999999999</v>
      </c>
      <c r="CS23" s="113">
        <v>0.4</v>
      </c>
      <c r="CT23" s="44"/>
      <c r="CU23" s="107" t="s">
        <v>217</v>
      </c>
      <c r="CV23" s="108">
        <f t="shared" ref="CV23" ca="1" si="986">-CW$23*60*CV$5</f>
        <v>-151.19999999999999</v>
      </c>
      <c r="CW23" s="113">
        <v>0.4</v>
      </c>
      <c r="CX23" s="44"/>
      <c r="CY23" s="107" t="s">
        <v>217</v>
      </c>
      <c r="CZ23" s="108">
        <f t="shared" ref="CZ23" ca="1" si="987">-DA$23*60*CZ$5</f>
        <v>-134.39999999999998</v>
      </c>
      <c r="DA23" s="113">
        <v>0.4</v>
      </c>
      <c r="DB23" s="44"/>
      <c r="DC23" s="107" t="s">
        <v>217</v>
      </c>
      <c r="DD23" s="108">
        <f t="shared" ref="DD23" ca="1" si="988">-DE$23*60*DD$5</f>
        <v>-158.39999999999998</v>
      </c>
      <c r="DE23" s="113">
        <v>0.4</v>
      </c>
      <c r="DF23" s="44"/>
      <c r="DG23" s="107" t="s">
        <v>217</v>
      </c>
      <c r="DH23" s="108">
        <f t="shared" ref="DH23" ca="1" si="989">-DI$23*60*DH$5</f>
        <v>-156</v>
      </c>
      <c r="DI23" s="113">
        <v>0.4</v>
      </c>
      <c r="DJ23" s="44"/>
      <c r="DK23" s="107" t="s">
        <v>217</v>
      </c>
      <c r="DL23" s="108">
        <f t="shared" ref="DL23" ca="1" si="990">-DM$23*60*DL$5</f>
        <v>-165.60000000000002</v>
      </c>
      <c r="DM23" s="113">
        <v>0.4</v>
      </c>
      <c r="DN23" s="44"/>
      <c r="DO23" s="107" t="s">
        <v>217</v>
      </c>
      <c r="DP23" s="108">
        <f t="shared" ref="DP23" ca="1" si="991">-DQ$23*60*DP$5</f>
        <v>-168</v>
      </c>
      <c r="DQ23" s="113">
        <v>0.4</v>
      </c>
      <c r="DR23" s="44"/>
      <c r="DS23" s="107" t="s">
        <v>217</v>
      </c>
      <c r="DT23" s="108">
        <f t="shared" ref="DT23" ca="1" si="992">-DU$23*60*DT$5</f>
        <v>-175.2</v>
      </c>
      <c r="DU23" s="113">
        <v>0.4</v>
      </c>
      <c r="DV23" s="44"/>
      <c r="DW23" s="107" t="s">
        <v>217</v>
      </c>
      <c r="DX23" s="108">
        <f t="shared" ref="DX23" ca="1" si="993">-DY$23*60*DX$5</f>
        <v>-172.8</v>
      </c>
      <c r="DY23" s="113">
        <v>0.4</v>
      </c>
      <c r="DZ23" s="44"/>
      <c r="EA23" s="107" t="s">
        <v>217</v>
      </c>
      <c r="EB23" s="108">
        <f t="shared" ref="EB23" ca="1" si="994">-EC$23*60*EB$5</f>
        <v>-180</v>
      </c>
      <c r="EC23" s="113">
        <v>0.4</v>
      </c>
      <c r="ED23" s="44"/>
      <c r="EE23" s="107" t="s">
        <v>217</v>
      </c>
      <c r="EF23" s="108">
        <f t="shared" ref="EF23" ca="1" si="995">-EG$23*60*EF$5</f>
        <v>-187.2</v>
      </c>
      <c r="EG23" s="113">
        <v>0.4</v>
      </c>
      <c r="EH23" s="44"/>
      <c r="EI23" s="107" t="s">
        <v>217</v>
      </c>
      <c r="EJ23" s="108">
        <f t="shared" ref="EJ23" ca="1" si="996">-EK$23*60*EJ$5</f>
        <v>-206.39999999999998</v>
      </c>
      <c r="EK23" s="113">
        <v>0.4</v>
      </c>
      <c r="EL23" s="44"/>
      <c r="EM23" s="107" t="s">
        <v>217</v>
      </c>
      <c r="EN23" s="108">
        <f t="shared" ref="EN23" ca="1" si="997">-EO$23*60*EN$5</f>
        <v>-204</v>
      </c>
      <c r="EO23" s="113">
        <v>0.4</v>
      </c>
      <c r="EP23" s="44"/>
      <c r="EQ23" s="107" t="s">
        <v>217</v>
      </c>
      <c r="ER23" s="108">
        <f t="shared" ref="ER23" ca="1" si="998">-ES$23*60*ER$5</f>
        <v>-175.2</v>
      </c>
      <c r="ES23" s="113">
        <v>0.4</v>
      </c>
      <c r="ET23" s="44"/>
      <c r="EU23" s="107" t="s">
        <v>217</v>
      </c>
      <c r="EV23" s="108">
        <f t="shared" ref="EV23" ca="1" si="999">-EW$23*60*EV$5</f>
        <v>-213.60000000000002</v>
      </c>
      <c r="EW23" s="113">
        <v>0.4</v>
      </c>
      <c r="EX23" s="44"/>
      <c r="EY23" s="107" t="s">
        <v>217</v>
      </c>
      <c r="EZ23" s="108">
        <f t="shared" ref="EZ23" ca="1" si="1000">-FA$23*60*EZ$5</f>
        <v>-189.60000000000002</v>
      </c>
      <c r="FA23" s="113">
        <v>0.4</v>
      </c>
      <c r="FB23" s="44"/>
      <c r="FC23" s="107" t="s">
        <v>217</v>
      </c>
      <c r="FD23" s="108">
        <f t="shared" ref="FD23" ca="1" si="1001">-FE$23*60*FD$5</f>
        <v>-218.39999999999998</v>
      </c>
      <c r="FE23" s="113">
        <v>0.4</v>
      </c>
      <c r="FF23" s="44"/>
      <c r="FG23" s="107" t="s">
        <v>217</v>
      </c>
      <c r="FH23" s="108">
        <f t="shared" ref="FH23" ca="1" si="1002">-FI$23*60*FH$5</f>
        <v>-213.60000000000002</v>
      </c>
      <c r="FI23" s="113">
        <v>0.4</v>
      </c>
      <c r="FJ23" s="44"/>
      <c r="FK23" s="107" t="s">
        <v>217</v>
      </c>
      <c r="FL23" s="108">
        <f t="shared" ref="FL23" ca="1" si="1003">-FM$23*60*FL$5</f>
        <v>-211.20000000000002</v>
      </c>
      <c r="FM23" s="113">
        <v>0.4</v>
      </c>
      <c r="FN23" s="44"/>
      <c r="FO23" s="107" t="s">
        <v>217</v>
      </c>
      <c r="FP23" s="108">
        <f t="shared" ref="FP23" ca="1" si="1004">-FQ$23*60*FP$5</f>
        <v>-189.60000000000002</v>
      </c>
      <c r="FQ23" s="113">
        <v>0.4</v>
      </c>
      <c r="FR23" s="44"/>
      <c r="FS23" s="107" t="s">
        <v>217</v>
      </c>
      <c r="FT23" s="108">
        <f t="shared" ref="FT23" ca="1" si="1005">-FU$23*60*FT$5</f>
        <v>-196.79999999999998</v>
      </c>
      <c r="FU23" s="113">
        <v>0.4</v>
      </c>
      <c r="FV23" s="44"/>
      <c r="FW23" s="107" t="s">
        <v>217</v>
      </c>
      <c r="FX23" s="108">
        <f t="shared" ref="FX23" ca="1" si="1006">-FY$23*60*FX$5</f>
        <v>-232.79999999999998</v>
      </c>
      <c r="FY23" s="113">
        <v>0.4</v>
      </c>
      <c r="FZ23" s="44"/>
      <c r="GA23" s="107" t="s">
        <v>217</v>
      </c>
      <c r="GB23" s="108">
        <f t="shared" ref="GB23" ca="1" si="1007">-GC$23*60*GB$5</f>
        <v>-201.60000000000002</v>
      </c>
      <c r="GC23" s="113">
        <v>0.4</v>
      </c>
      <c r="GD23" s="44"/>
      <c r="GE23" s="107" t="s">
        <v>217</v>
      </c>
      <c r="GF23" s="108">
        <f t="shared" ref="GF23" ca="1" si="1008">-GG$23*60*GF$5</f>
        <v>-247.20000000000002</v>
      </c>
      <c r="GG23" s="113">
        <v>0.4</v>
      </c>
      <c r="GH23" s="44"/>
      <c r="GI23" s="107" t="s">
        <v>217</v>
      </c>
      <c r="GJ23" s="108">
        <f t="shared" ref="GJ23" ca="1" si="1009">-GK$23*60*GJ$5</f>
        <v>-247.20000000000002</v>
      </c>
      <c r="GK23" s="113">
        <v>0.4</v>
      </c>
      <c r="GL23" s="44"/>
      <c r="GM23" s="107" t="s">
        <v>217</v>
      </c>
      <c r="GN23" s="108">
        <f t="shared" ref="GN23" ca="1" si="1010">-GO$23*60*GN$5</f>
        <v>-208.79999999999998</v>
      </c>
      <c r="GO23" s="113">
        <v>0.4</v>
      </c>
      <c r="GP23" s="44"/>
      <c r="GQ23" s="107" t="s">
        <v>217</v>
      </c>
      <c r="GR23" s="108">
        <f t="shared" ref="GR23" ca="1" si="1011">-GS$23*60*GR$5</f>
        <v>-256.79999999999995</v>
      </c>
      <c r="GS23" s="113">
        <v>0.4</v>
      </c>
      <c r="GT23" s="44"/>
      <c r="GU23" s="107" t="s">
        <v>217</v>
      </c>
      <c r="GV23" s="108">
        <f t="shared" ref="GV23" ca="1" si="1012">-GW$23*60*GV$5</f>
        <v>-266.39999999999998</v>
      </c>
      <c r="GW23" s="113">
        <v>0.4</v>
      </c>
      <c r="GX23" s="44"/>
      <c r="GY23" s="107" t="s">
        <v>217</v>
      </c>
      <c r="GZ23" s="108">
        <f t="shared" ref="GZ23" ca="1" si="1013">-HA$23*60*GZ$5</f>
        <v>-218.39999999999998</v>
      </c>
      <c r="HA23" s="113">
        <v>0.4</v>
      </c>
      <c r="HB23" s="44"/>
      <c r="HC23" s="107" t="s">
        <v>217</v>
      </c>
      <c r="HD23" s="108">
        <f t="shared" ref="HD23" ca="1" si="1014">-HE$23*60*HD$5</f>
        <v>-242.39999999999998</v>
      </c>
      <c r="HE23" s="113">
        <v>0.4</v>
      </c>
      <c r="HF23" s="44"/>
      <c r="HG23" s="107" t="s">
        <v>217</v>
      </c>
      <c r="HH23" s="108">
        <f t="shared" ref="HH23" ca="1" si="1015">-HI$23*60*HH$5</f>
        <v>-273.60000000000002</v>
      </c>
      <c r="HI23" s="113">
        <v>0.4</v>
      </c>
      <c r="HJ23" s="44"/>
      <c r="HK23" s="107" t="s">
        <v>217</v>
      </c>
      <c r="HL23" s="108">
        <f t="shared" ref="HL23" ca="1" si="1016">-HM$23*60*HL$5</f>
        <v>-252</v>
      </c>
      <c r="HM23" s="113">
        <v>0.4</v>
      </c>
      <c r="HN23" s="44"/>
      <c r="HO23" s="107" t="s">
        <v>217</v>
      </c>
      <c r="HP23" s="108">
        <f t="shared" ref="HP23" ca="1" si="1017">-HQ$23*60*HP$5</f>
        <v>-285.60000000000002</v>
      </c>
      <c r="HQ23" s="113">
        <v>0.4</v>
      </c>
      <c r="HR23" s="44"/>
      <c r="HS23" s="107" t="s">
        <v>217</v>
      </c>
      <c r="HT23" s="108">
        <f t="shared" ref="HT23" ca="1" si="1018">-HU$23*60*HT$5</f>
        <v>-232.79999999999998</v>
      </c>
      <c r="HU23" s="113">
        <v>0.4</v>
      </c>
      <c r="HV23" s="44"/>
      <c r="HW23" s="107" t="s">
        <v>217</v>
      </c>
      <c r="HX23" s="108">
        <f t="shared" ref="HX23" ca="1" si="1019">-HY$23*60*HX$5</f>
        <v>-295.20000000000005</v>
      </c>
      <c r="HY23" s="113">
        <v>0.4</v>
      </c>
      <c r="HZ23" s="44"/>
      <c r="IA23" s="107" t="s">
        <v>217</v>
      </c>
      <c r="IB23" s="108">
        <f t="shared" ref="IB23" ca="1" si="1020">-IC$23*60*IB$5</f>
        <v>-242.39999999999998</v>
      </c>
      <c r="IC23" s="113">
        <v>0.4</v>
      </c>
      <c r="ID23" s="44"/>
      <c r="IE23" s="107" t="s">
        <v>217</v>
      </c>
      <c r="IF23" s="108">
        <f t="shared" ref="IF23" ca="1" si="1021">-IG$23*60*IF$5</f>
        <v>-273.60000000000002</v>
      </c>
      <c r="IG23" s="113">
        <v>0.4</v>
      </c>
      <c r="IH23" s="44"/>
      <c r="II23" s="107" t="s">
        <v>217</v>
      </c>
      <c r="IJ23" s="108">
        <f t="shared" ref="IJ23" ca="1" si="1022">-IK$23*60*IJ$5</f>
        <v>-244.79999999999998</v>
      </c>
      <c r="IK23" s="113">
        <v>0.4</v>
      </c>
      <c r="IL23" s="44"/>
      <c r="IM23" s="107" t="s">
        <v>217</v>
      </c>
      <c r="IN23" s="108">
        <f t="shared" ref="IN23" ca="1" si="1023">-IO$23*60*IN$5</f>
        <v>-273.60000000000002</v>
      </c>
      <c r="IO23" s="113">
        <v>0.4</v>
      </c>
      <c r="IP23" s="44"/>
      <c r="IQ23" s="107" t="s">
        <v>217</v>
      </c>
      <c r="IR23" s="108">
        <f t="shared" ref="IR23" ca="1" si="1024">-IS$23*60*IR$5</f>
        <v>-271.20000000000005</v>
      </c>
      <c r="IS23" s="113">
        <v>0.4</v>
      </c>
      <c r="IT23" s="44"/>
      <c r="IU23" s="107" t="s">
        <v>217</v>
      </c>
      <c r="IV23" s="108">
        <f t="shared" ref="IV23" ca="1" si="1025">-IW$23*60*IV$5</f>
        <v>-312</v>
      </c>
      <c r="IW23" s="113">
        <v>0.4</v>
      </c>
      <c r="IX23" s="44"/>
      <c r="IY23" s="107" t="s">
        <v>217</v>
      </c>
      <c r="IZ23" s="108">
        <f t="shared" ref="IZ23" ca="1" si="1026">-JA$23*60*IZ$5</f>
        <v>-290.39999999999998</v>
      </c>
      <c r="JA23" s="113">
        <v>0.4</v>
      </c>
      <c r="JB23" s="44"/>
      <c r="JC23" s="107" t="s">
        <v>217</v>
      </c>
      <c r="JD23" s="108">
        <f t="shared" ref="JD23" ca="1" si="1027">-JE$23*60*JD$5</f>
        <v>-314.39999999999998</v>
      </c>
      <c r="JE23" s="113">
        <v>0.4</v>
      </c>
      <c r="JF23" s="44"/>
      <c r="JG23" s="107" t="s">
        <v>217</v>
      </c>
      <c r="JH23" s="108">
        <f t="shared" ref="JH23" ca="1" si="1028">-JI$23*60*JH$5</f>
        <v>-319.20000000000005</v>
      </c>
      <c r="JI23" s="113">
        <v>0.4</v>
      </c>
      <c r="JJ23" s="44"/>
      <c r="JK23" s="107" t="s">
        <v>217</v>
      </c>
      <c r="JL23" s="108">
        <f t="shared" ref="JL23" ca="1" si="1029">-JM$23*60*JL$5</f>
        <v>-285.60000000000002</v>
      </c>
      <c r="JM23" s="113">
        <v>0.4</v>
      </c>
      <c r="JN23" s="44"/>
      <c r="JO23" s="107" t="s">
        <v>217</v>
      </c>
      <c r="JP23" s="108">
        <f t="shared" ref="JP23" ca="1" si="1030">-JQ$23*60*JP$5</f>
        <v>-312</v>
      </c>
      <c r="JQ23" s="113">
        <v>0.4</v>
      </c>
      <c r="JR23" s="44"/>
      <c r="JS23" s="107" t="s">
        <v>217</v>
      </c>
      <c r="JT23" s="108">
        <f t="shared" ref="JT23" ca="1" si="1031">-JU$23*60*JT$5</f>
        <v>-314.39999999999998</v>
      </c>
      <c r="JU23" s="113">
        <v>0.4</v>
      </c>
      <c r="JV23" s="44"/>
      <c r="JW23" s="107" t="s">
        <v>217</v>
      </c>
      <c r="JX23" s="108">
        <f t="shared" ref="JX23" ca="1" si="1032">-JY$23*60*JX$5</f>
        <v>-304.79999999999995</v>
      </c>
      <c r="JY23" s="113">
        <v>0.4</v>
      </c>
      <c r="JZ23" s="44"/>
      <c r="KA23" s="107" t="s">
        <v>217</v>
      </c>
      <c r="KB23" s="108">
        <f t="shared" ref="KB23" ca="1" si="1033">-KC$23*60*KB$5</f>
        <v>-345.6</v>
      </c>
      <c r="KC23" s="113">
        <v>0.4</v>
      </c>
    </row>
    <row r="24" spans="1:289" x14ac:dyDescent="0.25">
      <c r="C24" s="107" t="s">
        <v>219</v>
      </c>
      <c r="D24" s="108">
        <f ca="1">-E$24*D$4</f>
        <v>-3559.3818370617737</v>
      </c>
      <c r="E24" s="111">
        <v>0.12</v>
      </c>
      <c r="G24" s="107" t="s">
        <v>219</v>
      </c>
      <c r="H24" s="108">
        <f ca="1">-I$24*H$4</f>
        <v>-3755.5647846336956</v>
      </c>
      <c r="I24" s="111">
        <v>0.12</v>
      </c>
      <c r="K24" s="107" t="s">
        <v>219</v>
      </c>
      <c r="L24" s="108">
        <f ca="1">-M$24*L$4</f>
        <v>-3605.1802609740521</v>
      </c>
      <c r="M24" s="111">
        <v>0.12</v>
      </c>
      <c r="N24" s="44"/>
      <c r="O24" s="107" t="s">
        <v>219</v>
      </c>
      <c r="P24" s="108">
        <f t="shared" ref="P24" ca="1" si="1034">-Q$24*P$4</f>
        <v>-3936.2881440065507</v>
      </c>
      <c r="Q24" s="111">
        <v>0.12</v>
      </c>
      <c r="R24" s="44"/>
      <c r="S24" s="107" t="s">
        <v>219</v>
      </c>
      <c r="T24" s="108">
        <f t="shared" ref="T24" ca="1" si="1035">-U$24*T$4</f>
        <v>-4443.851896458088</v>
      </c>
      <c r="U24" s="111">
        <v>0.12</v>
      </c>
      <c r="V24" s="44"/>
      <c r="W24" s="107" t="s">
        <v>219</v>
      </c>
      <c r="X24" s="108">
        <f t="shared" ref="X24" ca="1" si="1036">-Y$24*X$4</f>
        <v>-3990.5989924814617</v>
      </c>
      <c r="Y24" s="111">
        <v>0.12</v>
      </c>
      <c r="Z24" s="44"/>
      <c r="AA24" s="107" t="s">
        <v>219</v>
      </c>
      <c r="AB24" s="108">
        <f t="shared" ref="AB24" ca="1" si="1037">-AC$24*AB$4</f>
        <v>-4387.9491470193716</v>
      </c>
      <c r="AC24" s="111">
        <v>0.12</v>
      </c>
      <c r="AD24" s="44"/>
      <c r="AE24" s="107" t="s">
        <v>219</v>
      </c>
      <c r="AF24" s="108">
        <f t="shared" ref="AF24" ca="1" si="1038">-AG$24*AF$4</f>
        <v>-4808.8674734927044</v>
      </c>
      <c r="AG24" s="111">
        <v>0.12</v>
      </c>
      <c r="AH24" s="44"/>
      <c r="AI24" s="107" t="s">
        <v>219</v>
      </c>
      <c r="AJ24" s="108">
        <f t="shared" ref="AJ24" ca="1" si="1039">-AK$24*AJ$4</f>
        <v>-4376.9925532050675</v>
      </c>
      <c r="AK24" s="111">
        <v>0.12</v>
      </c>
      <c r="AL24" s="44"/>
      <c r="AM24" s="107" t="s">
        <v>219</v>
      </c>
      <c r="AN24" s="108">
        <f t="shared" ref="AN24" ca="1" si="1040">-AO$24*AN$4</f>
        <v>-4574.6646246501359</v>
      </c>
      <c r="AO24" s="111">
        <v>0.12</v>
      </c>
      <c r="AP24" s="44"/>
      <c r="AQ24" s="107" t="s">
        <v>219</v>
      </c>
      <c r="AR24" s="108">
        <f t="shared" ref="AR24" ca="1" si="1041">-AS$24*AR$4</f>
        <v>-5805.6853883949279</v>
      </c>
      <c r="AS24" s="111">
        <v>0.12</v>
      </c>
      <c r="AT24" s="44"/>
      <c r="AU24" s="107" t="s">
        <v>219</v>
      </c>
      <c r="AV24" s="108">
        <f t="shared" ref="AV24" ca="1" si="1042">-AW$24*AV$4</f>
        <v>-5989.9331412973588</v>
      </c>
      <c r="AW24" s="111">
        <v>0.12</v>
      </c>
      <c r="AX24" s="44"/>
      <c r="AY24" s="107" t="s">
        <v>219</v>
      </c>
      <c r="AZ24" s="108">
        <f t="shared" ref="AZ24" ca="1" si="1043">-BA$24*AZ$4</f>
        <v>-5932.0791306908795</v>
      </c>
      <c r="BA24" s="111">
        <v>0.12</v>
      </c>
      <c r="BB24" s="44"/>
      <c r="BC24" s="107" t="s">
        <v>219</v>
      </c>
      <c r="BD24" s="108">
        <f t="shared" ref="BD24" ca="1" si="1044">-BE$24*BD$4</f>
        <v>-5042.4765552028102</v>
      </c>
      <c r="BE24" s="111">
        <v>0.12</v>
      </c>
      <c r="BF24" s="44"/>
      <c r="BG24" s="107" t="s">
        <v>219</v>
      </c>
      <c r="BH24" s="108">
        <f t="shared" ref="BH24" ca="1" si="1045">-BI$24*BH$4</f>
        <v>-5231.8575421288233</v>
      </c>
      <c r="BI24" s="111">
        <v>0.12</v>
      </c>
      <c r="BJ24" s="44"/>
      <c r="BK24" s="107" t="s">
        <v>219</v>
      </c>
      <c r="BL24" s="108">
        <f t="shared" ref="BL24" ca="1" si="1046">-BM$24*BL$4</f>
        <v>-5269.6395017578388</v>
      </c>
      <c r="BM24" s="111">
        <v>0.12</v>
      </c>
      <c r="BN24" s="44"/>
      <c r="BO24" s="107" t="s">
        <v>219</v>
      </c>
      <c r="BP24" s="108">
        <f t="shared" ref="BP24" ca="1" si="1047">-BQ$24*BP$4</f>
        <v>-5931.8616234674701</v>
      </c>
      <c r="BQ24" s="111">
        <v>0.12</v>
      </c>
      <c r="BR24" s="44"/>
      <c r="BS24" s="107" t="s">
        <v>219</v>
      </c>
      <c r="BT24" s="108">
        <f t="shared" ref="BT24" ca="1" si="1048">-BU$24*BT$4</f>
        <v>-5281.8996830533042</v>
      </c>
      <c r="BU24" s="111">
        <v>0.12</v>
      </c>
      <c r="BV24" s="44"/>
      <c r="BW24" s="107" t="s">
        <v>219</v>
      </c>
      <c r="BX24" s="108">
        <f t="shared" ref="BX24" ca="1" si="1049">-BY$24*BX$4</f>
        <v>-6362.4199960542046</v>
      </c>
      <c r="BY24" s="111">
        <v>0.12</v>
      </c>
      <c r="BZ24" s="44"/>
      <c r="CA24" s="107" t="s">
        <v>219</v>
      </c>
      <c r="CB24" s="108">
        <f t="shared" ref="CB24" ca="1" si="1050">-CC$24*CB$4</f>
        <v>-6765.8592340159312</v>
      </c>
      <c r="CC24" s="111">
        <v>0.12</v>
      </c>
      <c r="CD24" s="44"/>
      <c r="CE24" s="107" t="s">
        <v>219</v>
      </c>
      <c r="CF24" s="108">
        <f t="shared" ref="CF24" ca="1" si="1051">-CG$24*CF$4</f>
        <v>-7722.924449256865</v>
      </c>
      <c r="CG24" s="111">
        <v>0.12</v>
      </c>
      <c r="CH24" s="44"/>
      <c r="CI24" s="107" t="s">
        <v>219</v>
      </c>
      <c r="CJ24" s="108">
        <f t="shared" ref="CJ24" ca="1" si="1052">-CK$24*CJ$4</f>
        <v>-6117.8537188490791</v>
      </c>
      <c r="CK24" s="111">
        <v>0.12</v>
      </c>
      <c r="CL24" s="44"/>
      <c r="CM24" s="107" t="s">
        <v>219</v>
      </c>
      <c r="CN24" s="108">
        <f t="shared" ref="CN24" ca="1" si="1053">-CO$24*CN$4</f>
        <v>-6310.833518875218</v>
      </c>
      <c r="CO24" s="111">
        <v>0.12</v>
      </c>
      <c r="CP24" s="44"/>
      <c r="CQ24" s="107" t="s">
        <v>219</v>
      </c>
      <c r="CR24" s="108">
        <f t="shared" ref="CR24" ca="1" si="1054">-CS$24*CR$4</f>
        <v>-7578.1430859641105</v>
      </c>
      <c r="CS24" s="111">
        <v>0.12</v>
      </c>
      <c r="CT24" s="44"/>
      <c r="CU24" s="107" t="s">
        <v>219</v>
      </c>
      <c r="CV24" s="108">
        <f t="shared" ref="CV24" ca="1" si="1055">-CW$24*CV$4</f>
        <v>-7023.8148343890452</v>
      </c>
      <c r="CW24" s="111">
        <v>0.12</v>
      </c>
      <c r="CX24" s="44"/>
      <c r="CY24" s="107" t="s">
        <v>219</v>
      </c>
      <c r="CZ24" s="108">
        <f t="shared" ref="CZ24" ca="1" si="1056">-DA$24*CZ$4</f>
        <v>-6382.8034094339091</v>
      </c>
      <c r="DA24" s="111">
        <v>0.12</v>
      </c>
      <c r="DB24" s="44"/>
      <c r="DC24" s="107" t="s">
        <v>219</v>
      </c>
      <c r="DD24" s="108">
        <f t="shared" ref="DD24" ca="1" si="1057">-DE$24*DD$4</f>
        <v>-7489.1679983490631</v>
      </c>
      <c r="DE24" s="111">
        <v>0.12</v>
      </c>
      <c r="DF24" s="44"/>
      <c r="DG24" s="107" t="s">
        <v>219</v>
      </c>
      <c r="DH24" s="108">
        <f t="shared" ref="DH24" ca="1" si="1058">-DI$24*DH$4</f>
        <v>-7309.9131500877647</v>
      </c>
      <c r="DI24" s="111">
        <v>0.12</v>
      </c>
      <c r="DJ24" s="44"/>
      <c r="DK24" s="107" t="s">
        <v>219</v>
      </c>
      <c r="DL24" s="108">
        <f t="shared" ref="DL24" ca="1" si="1059">-DM$24*DL$4</f>
        <v>-7920.0879510821269</v>
      </c>
      <c r="DM24" s="111">
        <v>0.12</v>
      </c>
      <c r="DN24" s="44"/>
      <c r="DO24" s="107" t="s">
        <v>219</v>
      </c>
      <c r="DP24" s="108">
        <f t="shared" ref="DP24" ca="1" si="1060">-DQ$24*DP$4</f>
        <v>-7974.2644062817562</v>
      </c>
      <c r="DQ24" s="111">
        <v>0.12</v>
      </c>
      <c r="DR24" s="44"/>
      <c r="DS24" s="107" t="s">
        <v>219</v>
      </c>
      <c r="DT24" s="108">
        <f t="shared" ref="DT24" ca="1" si="1061">-DU$24*DT$4</f>
        <v>-8426.5855869485622</v>
      </c>
      <c r="DU24" s="111">
        <v>0.12</v>
      </c>
      <c r="DV24" s="44"/>
      <c r="DW24" s="107" t="s">
        <v>219</v>
      </c>
      <c r="DX24" s="108">
        <f t="shared" ref="DX24" ca="1" si="1062">-DY$24*DX$4</f>
        <v>-8162.8694470175815</v>
      </c>
      <c r="DY24" s="111">
        <v>0.12</v>
      </c>
      <c r="DZ24" s="44"/>
      <c r="EA24" s="107" t="s">
        <v>219</v>
      </c>
      <c r="EB24" s="108">
        <f t="shared" ref="EB24" ca="1" si="1063">-EC$24*EB$4</f>
        <v>-8541.1471643051154</v>
      </c>
      <c r="EC24" s="111">
        <v>0.12</v>
      </c>
      <c r="ED24" s="44"/>
      <c r="EE24" s="107" t="s">
        <v>219</v>
      </c>
      <c r="EF24" s="108">
        <f t="shared" ref="EF24" ca="1" si="1064">-EG$24*EF$4</f>
        <v>-8701.8635396378995</v>
      </c>
      <c r="EG24" s="111">
        <v>0.12</v>
      </c>
      <c r="EH24" s="44"/>
      <c r="EI24" s="107" t="s">
        <v>219</v>
      </c>
      <c r="EJ24" s="108">
        <f t="shared" ref="EJ24" ca="1" si="1065">-EK$24*EJ$4</f>
        <v>-9970.2554912451396</v>
      </c>
      <c r="EK24" s="111">
        <v>0.12</v>
      </c>
      <c r="EL24" s="44"/>
      <c r="EM24" s="107" t="s">
        <v>219</v>
      </c>
      <c r="EN24" s="108">
        <f t="shared" ref="EN24" ca="1" si="1066">-EO$24*EN$4</f>
        <v>-10173.517891463007</v>
      </c>
      <c r="EO24" s="111">
        <v>0.12</v>
      </c>
      <c r="EP24" s="44"/>
      <c r="EQ24" s="107" t="s">
        <v>219</v>
      </c>
      <c r="ER24" s="108">
        <f t="shared" ref="ER24" ca="1" si="1067">-ES$24*ER$4</f>
        <v>-8380.1380336763978</v>
      </c>
      <c r="ES24" s="111">
        <v>0.12</v>
      </c>
      <c r="ET24" s="44"/>
      <c r="EU24" s="107" t="s">
        <v>219</v>
      </c>
      <c r="EV24" s="108">
        <f t="shared" ref="EV24" ca="1" si="1068">-EW$24*EV$4</f>
        <v>-10477.360354752849</v>
      </c>
      <c r="EW24" s="111">
        <v>0.12</v>
      </c>
      <c r="EX24" s="44"/>
      <c r="EY24" s="107" t="s">
        <v>219</v>
      </c>
      <c r="EZ24" s="108">
        <f t="shared" ref="EZ24" ca="1" si="1069">-FA$24*EZ$4</f>
        <v>-9159.0645364651282</v>
      </c>
      <c r="FA24" s="111">
        <v>0.12</v>
      </c>
      <c r="FB24" s="44"/>
      <c r="FC24" s="107" t="s">
        <v>219</v>
      </c>
      <c r="FD24" s="108">
        <f t="shared" ref="FD24" ca="1" si="1070">-FE$24*FD$4</f>
        <v>-10515.909945949124</v>
      </c>
      <c r="FE24" s="111">
        <v>0.12</v>
      </c>
      <c r="FF24" s="44"/>
      <c r="FG24" s="107" t="s">
        <v>219</v>
      </c>
      <c r="FH24" s="108">
        <f t="shared" ref="FH24" ca="1" si="1071">-FI$24*FH$4</f>
        <v>-10253.205059988491</v>
      </c>
      <c r="FI24" s="111">
        <v>0.12</v>
      </c>
      <c r="FJ24" s="44"/>
      <c r="FK24" s="107" t="s">
        <v>219</v>
      </c>
      <c r="FL24" s="108">
        <f t="shared" ref="FL24" ca="1" si="1072">-FM$24*FL$4</f>
        <v>-10309.498242317501</v>
      </c>
      <c r="FM24" s="111">
        <v>0.12</v>
      </c>
      <c r="FN24" s="44"/>
      <c r="FO24" s="107" t="s">
        <v>219</v>
      </c>
      <c r="FP24" s="108">
        <f t="shared" ref="FP24" ca="1" si="1073">-FQ$24*FP$4</f>
        <v>-9151.7924325378863</v>
      </c>
      <c r="FQ24" s="111">
        <v>0.12</v>
      </c>
      <c r="FR24" s="44"/>
      <c r="FS24" s="107" t="s">
        <v>219</v>
      </c>
      <c r="FT24" s="108">
        <f t="shared" ref="FT24" ca="1" si="1074">-FU$24*FT$4</f>
        <v>-9359.7335530285181</v>
      </c>
      <c r="FU24" s="111">
        <v>0.12</v>
      </c>
      <c r="FV24" s="44"/>
      <c r="FW24" s="107" t="s">
        <v>219</v>
      </c>
      <c r="FX24" s="108">
        <f t="shared" ref="FX24" ca="1" si="1075">-FY$24*FX$4</f>
        <v>-11348.561049310996</v>
      </c>
      <c r="FY24" s="111">
        <v>0.12</v>
      </c>
      <c r="FZ24" s="44"/>
      <c r="GA24" s="107" t="s">
        <v>219</v>
      </c>
      <c r="GB24" s="108">
        <f t="shared" ref="GB24" ca="1" si="1076">-GC$24*GB$4</f>
        <v>-9543.7720022214398</v>
      </c>
      <c r="GC24" s="111">
        <v>0.12</v>
      </c>
      <c r="GD24" s="44"/>
      <c r="GE24" s="107" t="s">
        <v>219</v>
      </c>
      <c r="GF24" s="108">
        <f t="shared" ref="GF24" ca="1" si="1077">-GG$24*GF$4</f>
        <v>-12091.235036391485</v>
      </c>
      <c r="GG24" s="111">
        <v>0.12</v>
      </c>
      <c r="GH24" s="44"/>
      <c r="GI24" s="107" t="s">
        <v>219</v>
      </c>
      <c r="GJ24" s="108">
        <f t="shared" ref="GJ24" ca="1" si="1078">-GK$24*GJ$4</f>
        <v>-11906.573355935359</v>
      </c>
      <c r="GK24" s="111">
        <v>0.12</v>
      </c>
      <c r="GL24" s="44"/>
      <c r="GM24" s="107" t="s">
        <v>219</v>
      </c>
      <c r="GN24" s="108">
        <f t="shared" ref="GN24" ca="1" si="1079">-GO$24*GN$4</f>
        <v>-9808.8681801177045</v>
      </c>
      <c r="GO24" s="111">
        <v>0.12</v>
      </c>
      <c r="GP24" s="44"/>
      <c r="GQ24" s="107" t="s">
        <v>219</v>
      </c>
      <c r="GR24" s="108">
        <f t="shared" ref="GR24" ca="1" si="1080">-GS$24*GR$4</f>
        <v>-12265.638376931438</v>
      </c>
      <c r="GS24" s="111">
        <v>0.12</v>
      </c>
      <c r="GT24" s="44"/>
      <c r="GU24" s="107" t="s">
        <v>219</v>
      </c>
      <c r="GV24" s="108">
        <f t="shared" ref="GV24" ca="1" si="1081">-GW$24*GV$4</f>
        <v>-12723.782507052165</v>
      </c>
      <c r="GW24" s="111">
        <v>0.12</v>
      </c>
      <c r="GX24" s="44"/>
      <c r="GY24" s="107" t="s">
        <v>219</v>
      </c>
      <c r="GZ24" s="108">
        <f t="shared" ref="GZ24" ca="1" si="1082">-HA$24*GZ$4</f>
        <v>-10362.284340849637</v>
      </c>
      <c r="HA24" s="111">
        <v>0.12</v>
      </c>
      <c r="HB24" s="44"/>
      <c r="HC24" s="107" t="s">
        <v>219</v>
      </c>
      <c r="HD24" s="108">
        <f t="shared" ref="HD24" ca="1" si="1083">-HE$24*HD$4</f>
        <v>-11437.005488035218</v>
      </c>
      <c r="HE24" s="111">
        <v>0.12</v>
      </c>
      <c r="HF24" s="44"/>
      <c r="HG24" s="107" t="s">
        <v>219</v>
      </c>
      <c r="HH24" s="108">
        <f t="shared" ref="HH24" ca="1" si="1084">-HI$24*HH$4</f>
        <v>-13116.762409517511</v>
      </c>
      <c r="HI24" s="111">
        <v>0.12</v>
      </c>
      <c r="HJ24" s="44"/>
      <c r="HK24" s="107" t="s">
        <v>219</v>
      </c>
      <c r="HL24" s="108">
        <f t="shared" ref="HL24" ca="1" si="1085">-HM$24*HL$4</f>
        <v>-11993.678857687155</v>
      </c>
      <c r="HM24" s="111">
        <v>0.12</v>
      </c>
      <c r="HN24" s="44"/>
      <c r="HO24" s="107" t="s">
        <v>219</v>
      </c>
      <c r="HP24" s="108">
        <f t="shared" ref="HP24" ca="1" si="1086">-HQ$24*HP$4</f>
        <v>-14072.239990731505</v>
      </c>
      <c r="HQ24" s="111">
        <v>0.12</v>
      </c>
      <c r="HR24" s="44"/>
      <c r="HS24" s="107" t="s">
        <v>219</v>
      </c>
      <c r="HT24" s="108">
        <f t="shared" ref="HT24" ca="1" si="1087">-HU$24*HT$4</f>
        <v>-11490.96943091255</v>
      </c>
      <c r="HU24" s="111">
        <v>0.12</v>
      </c>
      <c r="HV24" s="44"/>
      <c r="HW24" s="107" t="s">
        <v>219</v>
      </c>
      <c r="HX24" s="108">
        <f t="shared" ref="HX24" ca="1" si="1088">-HY$24*HX$4</f>
        <v>-14290.455800073876</v>
      </c>
      <c r="HY24" s="111">
        <v>0.12</v>
      </c>
      <c r="HZ24" s="44"/>
      <c r="IA24" s="107" t="s">
        <v>219</v>
      </c>
      <c r="IB24" s="108">
        <f t="shared" ref="IB24" ca="1" si="1089">-IC$24*IB$4</f>
        <v>-11638.913438321913</v>
      </c>
      <c r="IC24" s="111">
        <v>0.12</v>
      </c>
      <c r="ID24" s="44"/>
      <c r="IE24" s="107" t="s">
        <v>219</v>
      </c>
      <c r="IF24" s="108">
        <f t="shared" ref="IF24" ca="1" si="1090">-IG$24*IF$4</f>
        <v>-12685.021079413615</v>
      </c>
      <c r="IG24" s="111">
        <v>0.12</v>
      </c>
      <c r="IH24" s="44"/>
      <c r="II24" s="107" t="s">
        <v>219</v>
      </c>
      <c r="IJ24" s="108">
        <f t="shared" ref="IJ24" ca="1" si="1091">-IK$24*IJ$4</f>
        <v>-11522.259907728378</v>
      </c>
      <c r="IK24" s="111">
        <v>0.12</v>
      </c>
      <c r="IL24" s="44"/>
      <c r="IM24" s="107" t="s">
        <v>219</v>
      </c>
      <c r="IN24" s="108">
        <f t="shared" ref="IN24" ca="1" si="1092">-IO$24*IN$4</f>
        <v>-13449.570115882327</v>
      </c>
      <c r="IO24" s="111">
        <v>0.12</v>
      </c>
      <c r="IP24" s="44"/>
      <c r="IQ24" s="107" t="s">
        <v>219</v>
      </c>
      <c r="IR24" s="108">
        <f t="shared" ref="IR24" ca="1" si="1093">-IS$24*IR$4</f>
        <v>-12509.094510503031</v>
      </c>
      <c r="IS24" s="111">
        <v>0.12</v>
      </c>
      <c r="IT24" s="44"/>
      <c r="IU24" s="107" t="s">
        <v>219</v>
      </c>
      <c r="IV24" s="108">
        <f t="shared" ref="IV24" ca="1" si="1094">-IW$24*IV$4</f>
        <v>-15090.245944570752</v>
      </c>
      <c r="IW24" s="111">
        <v>0.12</v>
      </c>
      <c r="IX24" s="44"/>
      <c r="IY24" s="107" t="s">
        <v>219</v>
      </c>
      <c r="IZ24" s="108">
        <f t="shared" ref="IZ24" ca="1" si="1095">-JA$24*IZ$4</f>
        <v>-14134.129168531686</v>
      </c>
      <c r="JA24" s="111">
        <v>0.12</v>
      </c>
      <c r="JB24" s="44"/>
      <c r="JC24" s="107" t="s">
        <v>219</v>
      </c>
      <c r="JD24" s="108">
        <f t="shared" ref="JD24" ca="1" si="1096">-JE$24*JD$4</f>
        <v>-15002.980694868433</v>
      </c>
      <c r="JE24" s="111">
        <v>0.12</v>
      </c>
      <c r="JF24" s="44"/>
      <c r="JG24" s="107" t="s">
        <v>219</v>
      </c>
      <c r="JH24" s="108">
        <f t="shared" ref="JH24" ca="1" si="1097">-JI$24*JH$4</f>
        <v>-15642.038430279204</v>
      </c>
      <c r="JI24" s="111">
        <v>0.12</v>
      </c>
      <c r="JJ24" s="44"/>
      <c r="JK24" s="107" t="s">
        <v>219</v>
      </c>
      <c r="JL24" s="108">
        <f t="shared" ref="JL24" ca="1" si="1098">-JM$24*JL$4</f>
        <v>-13539.650677844706</v>
      </c>
      <c r="JM24" s="111">
        <v>0.12</v>
      </c>
      <c r="JN24" s="44"/>
      <c r="JO24" s="107" t="s">
        <v>219</v>
      </c>
      <c r="JP24" s="108">
        <f t="shared" ref="JP24" ca="1" si="1099">-JQ$24*JP$4</f>
        <v>-15451.907786768186</v>
      </c>
      <c r="JQ24" s="111">
        <v>0.12</v>
      </c>
      <c r="JR24" s="44"/>
      <c r="JS24" s="107" t="s">
        <v>219</v>
      </c>
      <c r="JT24" s="108">
        <f t="shared" ref="JT24" ca="1" si="1100">-JU$24*JT$4</f>
        <v>-14780.839090579957</v>
      </c>
      <c r="JU24" s="111">
        <v>0.12</v>
      </c>
      <c r="JV24" s="44"/>
      <c r="JW24" s="107" t="s">
        <v>219</v>
      </c>
      <c r="JX24" s="108">
        <f t="shared" ref="JX24" ca="1" si="1101">-JY$24*JX$4</f>
        <v>-14154.813386304791</v>
      </c>
      <c r="JY24" s="111">
        <v>0.12</v>
      </c>
      <c r="JZ24" s="44"/>
      <c r="KA24" s="107" t="s">
        <v>219</v>
      </c>
      <c r="KB24" s="108">
        <f t="shared" ref="KB24" ca="1" si="1102">-KC$24*KB$4</f>
        <v>-16829.882648185147</v>
      </c>
      <c r="KC24" s="111">
        <v>0.12</v>
      </c>
    </row>
    <row r="25" spans="1:289" x14ac:dyDescent="0.25">
      <c r="H25" s="44"/>
      <c r="I25" s="44"/>
      <c r="K25" s="37"/>
      <c r="L25" s="44"/>
      <c r="M25" s="44"/>
      <c r="N25" s="44"/>
      <c r="O25" s="37"/>
      <c r="P25" s="44"/>
      <c r="Q25" s="44"/>
      <c r="R25" s="44"/>
      <c r="S25" s="37"/>
      <c r="T25" s="44"/>
      <c r="U25" s="44"/>
      <c r="V25" s="44"/>
      <c r="W25" s="37"/>
      <c r="X25" s="44"/>
      <c r="Y25" s="44"/>
      <c r="Z25" s="44"/>
      <c r="AA25" s="37"/>
      <c r="AB25" s="44"/>
      <c r="AC25" s="44"/>
      <c r="AD25" s="44"/>
      <c r="AE25" s="37"/>
      <c r="AF25" s="44"/>
      <c r="AG25" s="44"/>
      <c r="AH25" s="44"/>
      <c r="AI25" s="37"/>
      <c r="AJ25" s="44"/>
      <c r="AK25" s="44"/>
      <c r="AL25" s="44"/>
      <c r="AM25" s="37"/>
      <c r="AN25" s="44"/>
      <c r="AO25" s="44"/>
      <c r="AP25" s="44"/>
      <c r="AQ25" s="37"/>
      <c r="AR25" s="44"/>
      <c r="AS25" s="44"/>
      <c r="AT25" s="44"/>
      <c r="AU25" s="37"/>
      <c r="AV25" s="44"/>
      <c r="AW25" s="44"/>
      <c r="AX25" s="44"/>
      <c r="AY25" s="37"/>
      <c r="AZ25" s="44"/>
      <c r="BA25" s="44"/>
      <c r="BB25" s="44"/>
      <c r="BC25" s="37"/>
      <c r="BD25" s="44"/>
      <c r="BE25" s="44"/>
      <c r="BF25" s="44"/>
      <c r="BG25" s="37"/>
      <c r="BH25" s="44"/>
      <c r="BI25" s="44"/>
      <c r="BJ25" s="44"/>
      <c r="BK25" s="37"/>
      <c r="BL25" s="44"/>
      <c r="BM25" s="44"/>
      <c r="BN25" s="44"/>
      <c r="BO25" s="37"/>
      <c r="BP25" s="44"/>
      <c r="BQ25" s="44"/>
      <c r="BR25" s="44"/>
      <c r="BS25" s="37"/>
      <c r="BT25" s="44"/>
      <c r="BU25" s="44"/>
      <c r="BV25" s="44"/>
      <c r="BW25" s="37"/>
      <c r="BX25" s="44"/>
      <c r="BY25" s="44"/>
      <c r="BZ25" s="44"/>
      <c r="CA25" s="37"/>
      <c r="CB25" s="44"/>
      <c r="CC25" s="44"/>
      <c r="CD25" s="44"/>
      <c r="CE25" s="37"/>
      <c r="CF25" s="44"/>
      <c r="CG25" s="44"/>
      <c r="CH25" s="44"/>
      <c r="CI25" s="37"/>
      <c r="CJ25" s="44"/>
      <c r="CK25" s="44"/>
      <c r="CL25" s="44"/>
      <c r="CM25" s="37"/>
      <c r="CN25" s="44"/>
      <c r="CO25" s="44"/>
      <c r="CP25" s="44"/>
      <c r="CQ25" s="37"/>
      <c r="CR25" s="44"/>
      <c r="CS25" s="44"/>
      <c r="CT25" s="44"/>
      <c r="CU25" s="37"/>
      <c r="CV25" s="44"/>
      <c r="CW25" s="44"/>
      <c r="CX25" s="44"/>
      <c r="CY25" s="37"/>
      <c r="CZ25" s="44"/>
      <c r="DA25" s="44"/>
      <c r="DB25" s="44"/>
      <c r="DC25" s="37"/>
      <c r="DD25" s="44"/>
      <c r="DE25" s="44"/>
      <c r="DF25" s="44"/>
      <c r="DG25" s="37"/>
      <c r="DH25" s="44"/>
      <c r="DI25" s="44"/>
      <c r="DJ25" s="44"/>
      <c r="DK25" s="37"/>
      <c r="DL25" s="44"/>
      <c r="DM25" s="44"/>
      <c r="DN25" s="44"/>
      <c r="DO25" s="37"/>
      <c r="DP25" s="44"/>
      <c r="DQ25" s="44"/>
      <c r="DR25" s="44"/>
      <c r="DS25" s="37"/>
      <c r="DT25" s="44"/>
      <c r="DU25" s="44"/>
      <c r="DV25" s="44"/>
      <c r="DW25" s="37"/>
      <c r="DX25" s="44"/>
      <c r="DY25" s="44"/>
      <c r="DZ25" s="44"/>
      <c r="EA25" s="37"/>
      <c r="EB25" s="44"/>
      <c r="EC25" s="44"/>
      <c r="ED25" s="44"/>
      <c r="EE25" s="37"/>
      <c r="EF25" s="44"/>
      <c r="EG25" s="44"/>
      <c r="EH25" s="44"/>
      <c r="EI25" s="37"/>
      <c r="EJ25" s="44"/>
      <c r="EK25" s="44"/>
      <c r="EL25" s="44"/>
      <c r="EM25" s="37"/>
      <c r="EN25" s="44"/>
      <c r="EO25" s="44"/>
      <c r="EP25" s="44"/>
      <c r="EQ25" s="37"/>
      <c r="ER25" s="44"/>
      <c r="ES25" s="44"/>
      <c r="ET25" s="44"/>
      <c r="EU25" s="37"/>
      <c r="EV25" s="44"/>
      <c r="EW25" s="44"/>
      <c r="EX25" s="44"/>
      <c r="EY25" s="37"/>
      <c r="EZ25" s="44"/>
      <c r="FA25" s="44"/>
      <c r="FB25" s="44"/>
      <c r="FC25" s="37"/>
      <c r="FD25" s="44"/>
      <c r="FE25" s="44"/>
      <c r="FF25" s="44"/>
      <c r="FG25" s="37"/>
      <c r="FH25" s="44"/>
      <c r="FI25" s="44"/>
      <c r="FJ25" s="44"/>
      <c r="FK25" s="37"/>
      <c r="FL25" s="44"/>
      <c r="FM25" s="44"/>
      <c r="FN25" s="44"/>
      <c r="FO25" s="37"/>
      <c r="FP25" s="44"/>
      <c r="FQ25" s="44"/>
      <c r="FR25" s="44"/>
      <c r="FS25" s="37"/>
      <c r="FT25" s="44"/>
      <c r="FU25" s="44"/>
      <c r="FV25" s="44"/>
      <c r="FW25" s="37"/>
      <c r="FX25" s="44"/>
      <c r="FY25" s="44"/>
      <c r="FZ25" s="44"/>
      <c r="GA25" s="37"/>
      <c r="GB25" s="44"/>
      <c r="GC25" s="44"/>
      <c r="GD25" s="44"/>
      <c r="GE25" s="37"/>
      <c r="GF25" s="44"/>
      <c r="GG25" s="44"/>
      <c r="GH25" s="44"/>
      <c r="GI25" s="37"/>
      <c r="GJ25" s="44"/>
      <c r="GK25" s="44"/>
      <c r="GL25" s="44"/>
      <c r="GM25" s="37"/>
      <c r="GN25" s="44"/>
      <c r="GO25" s="44"/>
      <c r="GP25" s="44"/>
      <c r="GQ25" s="37"/>
      <c r="GR25" s="44"/>
      <c r="GS25" s="44"/>
      <c r="GT25" s="44"/>
      <c r="GU25" s="37"/>
      <c r="GV25" s="44"/>
      <c r="GW25" s="44"/>
      <c r="GX25" s="44"/>
      <c r="GY25" s="37"/>
      <c r="GZ25" s="44"/>
      <c r="HA25" s="44"/>
      <c r="HB25" s="44"/>
      <c r="HC25" s="37"/>
      <c r="HD25" s="44"/>
      <c r="HE25" s="44"/>
      <c r="HF25" s="44"/>
      <c r="HG25" s="37"/>
      <c r="HH25" s="44"/>
      <c r="HI25" s="44"/>
      <c r="HJ25" s="44"/>
      <c r="HK25" s="37"/>
      <c r="HL25" s="44"/>
      <c r="HM25" s="44"/>
      <c r="HN25" s="44"/>
      <c r="HO25" s="37"/>
      <c r="HP25" s="44"/>
      <c r="HQ25" s="44"/>
      <c r="HR25" s="44"/>
      <c r="HS25" s="37"/>
      <c r="HT25" s="44"/>
      <c r="HU25" s="44"/>
      <c r="HV25" s="44"/>
      <c r="HW25" s="37"/>
      <c r="HX25" s="44"/>
      <c r="HY25" s="44"/>
      <c r="HZ25" s="44"/>
      <c r="IA25" s="37"/>
      <c r="IB25" s="44"/>
      <c r="IC25" s="44"/>
      <c r="ID25" s="44"/>
      <c r="IE25" s="37"/>
      <c r="IF25" s="44"/>
      <c r="IG25" s="44"/>
      <c r="IH25" s="44"/>
      <c r="II25" s="37"/>
      <c r="IJ25" s="44"/>
      <c r="IK25" s="44"/>
      <c r="IL25" s="44"/>
      <c r="IM25" s="37"/>
      <c r="IN25" s="44"/>
      <c r="IO25" s="44"/>
      <c r="IP25" s="44"/>
      <c r="IQ25" s="37"/>
      <c r="IR25" s="44"/>
      <c r="IS25" s="44"/>
      <c r="IT25" s="44"/>
      <c r="IU25" s="37"/>
      <c r="IV25" s="44"/>
      <c r="IW25" s="44"/>
      <c r="IX25" s="44"/>
      <c r="IY25" s="37"/>
      <c r="IZ25" s="44"/>
      <c r="JA25" s="44"/>
      <c r="JB25" s="44"/>
      <c r="JC25" s="37"/>
      <c r="JD25" s="44"/>
      <c r="JE25" s="44"/>
      <c r="JF25" s="44"/>
      <c r="JG25" s="37"/>
      <c r="JH25" s="44"/>
      <c r="JI25" s="44"/>
      <c r="JJ25" s="44"/>
      <c r="JK25" s="37"/>
      <c r="JL25" s="44"/>
      <c r="JM25" s="44"/>
      <c r="JN25" s="44"/>
      <c r="JO25" s="37"/>
      <c r="JP25" s="44"/>
      <c r="JQ25" s="44"/>
      <c r="JR25" s="44"/>
      <c r="JS25" s="37"/>
      <c r="JT25" s="44"/>
      <c r="JU25" s="44"/>
      <c r="JV25" s="44"/>
      <c r="JW25" s="37"/>
      <c r="JX25" s="44"/>
      <c r="JY25" s="44"/>
      <c r="JZ25" s="44"/>
      <c r="KA25" s="37"/>
      <c r="KB25" s="44"/>
      <c r="KC25" s="44"/>
    </row>
    <row r="26" spans="1:289" x14ac:dyDescent="0.25">
      <c r="C26" s="1" t="s">
        <v>225</v>
      </c>
      <c r="D26" s="19">
        <f ca="1">SUM(D$11:D$24)</f>
        <v>-194921.86338144002</v>
      </c>
      <c r="G26" s="1" t="s">
        <v>225</v>
      </c>
      <c r="H26" s="19">
        <f ca="1">SUM(H$11:H$24)</f>
        <v>-21777.851312634735</v>
      </c>
      <c r="I26" s="44"/>
      <c r="K26" s="1" t="s">
        <v>225</v>
      </c>
      <c r="L26" s="19">
        <f ca="1">SUM(L$11:L$24)</f>
        <v>-21028.017704190759</v>
      </c>
      <c r="M26" s="44"/>
      <c r="N26" s="44"/>
      <c r="O26" s="1" t="s">
        <v>225</v>
      </c>
      <c r="P26" s="19">
        <f t="shared" ref="P26" ca="1" si="1103">SUM(P$11:P$24)</f>
        <v>-48944.901292163144</v>
      </c>
      <c r="Q26" s="44"/>
      <c r="R26" s="44"/>
      <c r="S26" s="1" t="s">
        <v>225</v>
      </c>
      <c r="T26" s="19">
        <f t="shared" ref="T26" ca="1" si="1104">SUM(T$11:T$24)</f>
        <v>-23591.462412674053</v>
      </c>
      <c r="U26" s="44"/>
      <c r="V26" s="44"/>
      <c r="W26" s="1" t="s">
        <v>225</v>
      </c>
      <c r="X26" s="19">
        <f t="shared" ref="X26" ca="1" si="1105">SUM(X$11:X$24)</f>
        <v>-23438.863741607209</v>
      </c>
      <c r="Y26" s="44"/>
      <c r="Z26" s="44"/>
      <c r="AA26" s="1" t="s">
        <v>225</v>
      </c>
      <c r="AB26" s="19">
        <f t="shared" ref="AB26" ca="1" si="1106">SUM(AB$11:AB$24)</f>
        <v>-54582.835695181187</v>
      </c>
      <c r="AC26" s="44"/>
      <c r="AD26" s="44"/>
      <c r="AE26" s="1" t="s">
        <v>225</v>
      </c>
      <c r="AF26" s="19">
        <f t="shared" ref="AF26" ca="1" si="1107">SUM(AF$11:AF$24)</f>
        <v>-25607.018833846952</v>
      </c>
      <c r="AG26" s="44"/>
      <c r="AH26" s="44"/>
      <c r="AI26" s="1" t="s">
        <v>225</v>
      </c>
      <c r="AJ26" s="19">
        <f t="shared" ref="AJ26" ca="1" si="1108">SUM(AJ$11:AJ$24)</f>
        <v>-24368.59854881763</v>
      </c>
      <c r="AK26" s="44"/>
      <c r="AL26" s="44"/>
      <c r="AM26" s="1" t="s">
        <v>225</v>
      </c>
      <c r="AN26" s="19">
        <f t="shared" ref="AN26" ca="1" si="1109">SUM(AN$11:AN$24)</f>
        <v>-53587.43511190085</v>
      </c>
      <c r="AO26" s="44"/>
      <c r="AP26" s="44"/>
      <c r="AQ26" s="1" t="s">
        <v>225</v>
      </c>
      <c r="AR26" s="19">
        <f t="shared" ref="AR26" ca="1" si="1110">SUM(AR$11:AR$24)</f>
        <v>-29575.875258346787</v>
      </c>
      <c r="AS26" s="44"/>
      <c r="AT26" s="44"/>
      <c r="AU26" s="1" t="s">
        <v>225</v>
      </c>
      <c r="AV26" s="19">
        <f t="shared" ref="AV26" ca="1" si="1111">SUM(AV$11:AV$24)</f>
        <v>-30393.989588645094</v>
      </c>
      <c r="AW26" s="44"/>
      <c r="AX26" s="44"/>
      <c r="AY26" s="1" t="s">
        <v>225</v>
      </c>
      <c r="AZ26" s="19">
        <f t="shared" ref="AZ26" ca="1" si="1112">SUM(AZ$11:AZ$24)</f>
        <v>-58283.957485689119</v>
      </c>
      <c r="BA26" s="44"/>
      <c r="BB26" s="44"/>
      <c r="BC26" s="1" t="s">
        <v>225</v>
      </c>
      <c r="BD26" s="19">
        <f t="shared" ref="BD26" ca="1" si="1113">SUM(BD$11:BD$24)</f>
        <v>-27121.000029082748</v>
      </c>
      <c r="BE26" s="44"/>
      <c r="BF26" s="44"/>
      <c r="BG26" s="1" t="s">
        <v>225</v>
      </c>
      <c r="BH26" s="19">
        <f t="shared" ref="BH26" ca="1" si="1114">SUM(BH$11:BH$24)</f>
        <v>-27545.951743499212</v>
      </c>
      <c r="BI26" s="44"/>
      <c r="BJ26" s="44"/>
      <c r="BK26" s="1" t="s">
        <v>225</v>
      </c>
      <c r="BL26" s="19">
        <f t="shared" ref="BL26" ca="1" si="1115">SUM(BL$11:BL$24)</f>
        <v>-57784.467640077921</v>
      </c>
      <c r="BM26" s="44"/>
      <c r="BN26" s="44"/>
      <c r="BO26" s="1" t="s">
        <v>225</v>
      </c>
      <c r="BP26" s="19">
        <f t="shared" ref="BP26" ca="1" si="1116">SUM(BP$11:BP$24)</f>
        <v>-30208.464822793627</v>
      </c>
      <c r="BQ26" s="44"/>
      <c r="BR26" s="44"/>
      <c r="BS26" s="1" t="s">
        <v>225</v>
      </c>
      <c r="BT26" s="19">
        <f t="shared" ref="BT26" ca="1" si="1117">SUM(BT$11:BT$24)</f>
        <v>-28401.149501883257</v>
      </c>
      <c r="BU26" s="44"/>
      <c r="BV26" s="44"/>
      <c r="BW26" s="1" t="s">
        <v>225</v>
      </c>
      <c r="BX26" s="19">
        <f t="shared" ref="BX26" ca="1" si="1118">SUM(BX$11:BX$24)</f>
        <v>-69903.107032028114</v>
      </c>
      <c r="BY26" s="44"/>
      <c r="BZ26" s="44"/>
      <c r="CA26" s="1" t="s">
        <v>225</v>
      </c>
      <c r="CB26" s="19">
        <f t="shared" ref="CB26" ca="1" si="1119">SUM(CB$11:CB$24)</f>
        <v>-32694.457397060047</v>
      </c>
      <c r="CC26" s="44"/>
      <c r="CD26" s="44"/>
      <c r="CE26" s="1" t="s">
        <v>225</v>
      </c>
      <c r="CF26" s="19">
        <f t="shared" ref="CF26" ca="1" si="1120">SUM(CF$11:CF$24)</f>
        <v>-35181.88261229256</v>
      </c>
      <c r="CG26" s="44"/>
      <c r="CH26" s="44"/>
      <c r="CI26" s="1" t="s">
        <v>225</v>
      </c>
      <c r="CJ26" s="19">
        <f t="shared" ref="CJ26" ca="1" si="1121">SUM(CJ$11:CJ$24)</f>
        <v>-58388.628449015931</v>
      </c>
      <c r="CK26" s="44"/>
      <c r="CL26" s="44"/>
      <c r="CM26" s="1" t="s">
        <v>225</v>
      </c>
      <c r="CN26" s="19">
        <f t="shared" ref="CN26" ca="1" si="1122">SUM(CN$11:CN$24)</f>
        <v>-29910.391800042271</v>
      </c>
      <c r="CO26" s="44"/>
      <c r="CP26" s="44"/>
      <c r="CQ26" s="1" t="s">
        <v>225</v>
      </c>
      <c r="CR26" s="19">
        <f t="shared" ref="CR26" ca="1" si="1123">SUM(CR$11:CR$24)</f>
        <v>-33689.276684450233</v>
      </c>
      <c r="CS26" s="44"/>
      <c r="CT26" s="44"/>
      <c r="CU26" s="1" t="s">
        <v>225</v>
      </c>
      <c r="CV26" s="19">
        <f t="shared" ref="CV26" ca="1" si="1124">SUM(CV$11:CV$24)</f>
        <v>-61642.313535371926</v>
      </c>
      <c r="CW26" s="44"/>
      <c r="CX26" s="44"/>
      <c r="CY26" s="1" t="s">
        <v>225</v>
      </c>
      <c r="CZ26" s="19">
        <f t="shared" ref="CZ26" ca="1" si="1125">SUM(CZ$11:CZ$24)</f>
        <v>-30597.32148543428</v>
      </c>
      <c r="DA26" s="44"/>
      <c r="DB26" s="44"/>
      <c r="DC26" s="1" t="s">
        <v>225</v>
      </c>
      <c r="DD26" s="19">
        <f t="shared" ref="DD26" ca="1" si="1126">SUM(DD$11:DD$24)</f>
        <v>-34116.229245599679</v>
      </c>
      <c r="DE26" s="44"/>
      <c r="DF26" s="44"/>
      <c r="DG26" s="1" t="s">
        <v>225</v>
      </c>
      <c r="DH26" s="19">
        <f t="shared" ref="DH26" ca="1" si="1127">SUM(DH$11:DH$24)</f>
        <v>-64965.254551849917</v>
      </c>
      <c r="DI26" s="44"/>
      <c r="DJ26" s="44"/>
      <c r="DK26" s="1" t="s">
        <v>225</v>
      </c>
      <c r="DL26" s="19">
        <f t="shared" ref="DL26" ca="1" si="1128">SUM(DL$11:DL$24)</f>
        <v>-35538.644219884191</v>
      </c>
      <c r="DM26" s="44"/>
      <c r="DN26" s="44"/>
      <c r="DO26" s="1" t="s">
        <v>225</v>
      </c>
      <c r="DP26" s="19">
        <f t="shared" ref="DP26" ca="1" si="1129">SUM(DP$11:DP$24)</f>
        <v>-36265.298986377631</v>
      </c>
      <c r="DQ26" s="44"/>
      <c r="DR26" s="44"/>
      <c r="DS26" s="1" t="s">
        <v>225</v>
      </c>
      <c r="DT26" s="19">
        <f t="shared" ref="DT26" ca="1" si="1130">SUM(DT$11:DT$24)</f>
        <v>-84145.331997691173</v>
      </c>
      <c r="DU26" s="44"/>
      <c r="DV26" s="44"/>
      <c r="DW26" s="1" t="s">
        <v>225</v>
      </c>
      <c r="DX26" s="19">
        <f t="shared" ref="DX26" ca="1" si="1131">SUM(DX$11:DX$24)</f>
        <v>-38512.323957247616</v>
      </c>
      <c r="DY26" s="44"/>
      <c r="DZ26" s="44"/>
      <c r="EA26" s="1" t="s">
        <v>225</v>
      </c>
      <c r="EB26" s="19">
        <f t="shared" ref="EB26" ca="1" si="1132">SUM(EB$11:EB$24)</f>
        <v>-40296.492819646213</v>
      </c>
      <c r="EC26" s="44"/>
      <c r="ED26" s="44"/>
      <c r="EE26" s="1" t="s">
        <v>225</v>
      </c>
      <c r="EF26" s="19">
        <f t="shared" ref="EF26" ca="1" si="1133">SUM(EF$11:EF$24)</f>
        <v>-110998.6037046141</v>
      </c>
      <c r="EG26" s="44"/>
      <c r="EH26" s="44"/>
      <c r="EI26" s="1" t="s">
        <v>225</v>
      </c>
      <c r="EJ26" s="19">
        <f t="shared" ref="EJ26" ca="1" si="1134">SUM(EJ$11:EJ$24)</f>
        <v>-47338.137898115448</v>
      </c>
      <c r="EK26" s="44"/>
      <c r="EL26" s="44"/>
      <c r="EM26" s="1" t="s">
        <v>225</v>
      </c>
      <c r="EN26" s="19">
        <f t="shared" ref="EN26" ca="1" si="1135">SUM(EN$11:EN$24)</f>
        <v>-48056.324231289975</v>
      </c>
      <c r="EO26" s="44"/>
      <c r="EP26" s="44"/>
      <c r="EQ26" s="1" t="s">
        <v>225</v>
      </c>
      <c r="ER26" s="19">
        <f t="shared" ref="ER26" ca="1" si="1136">SUM(ER$11:ER$24)</f>
        <v>-126347.62166885598</v>
      </c>
      <c r="ES26" s="44"/>
      <c r="ET26" s="44"/>
      <c r="EU26" s="1" t="s">
        <v>225</v>
      </c>
      <c r="EV26" s="19">
        <f t="shared" ref="EV26" ca="1" si="1137">SUM(EV$11:EV$24)</f>
        <v>-49294.412609012288</v>
      </c>
      <c r="EW26" s="44"/>
      <c r="EX26" s="44"/>
      <c r="EY26" s="1" t="s">
        <v>225</v>
      </c>
      <c r="EZ26" s="19">
        <f t="shared" ref="EZ26" ca="1" si="1138">SUM(EZ$11:EZ$24)</f>
        <v>-44898.289412474143</v>
      </c>
      <c r="FA26" s="44"/>
      <c r="FB26" s="44"/>
      <c r="FC26" s="1" t="s">
        <v>225</v>
      </c>
      <c r="FD26" s="19">
        <f t="shared" ref="FD26" ca="1" si="1139">SUM(FD$11:FD$24)</f>
        <v>-147516.00895384769</v>
      </c>
      <c r="FE26" s="44"/>
      <c r="FF26" s="44"/>
      <c r="FG26" s="1" t="s">
        <v>225</v>
      </c>
      <c r="FH26" s="19">
        <f t="shared" ref="FH26" ca="1" si="1140">SUM(FH$11:FH$24)</f>
        <v>-49634.057290534169</v>
      </c>
      <c r="FI26" s="44"/>
      <c r="FJ26" s="44"/>
      <c r="FK26" s="1" t="s">
        <v>225</v>
      </c>
      <c r="FL26" s="19">
        <f t="shared" ref="FL26" ca="1" si="1141">SUM(FL$11:FL$24)</f>
        <v>-50618.213705384012</v>
      </c>
      <c r="FM26" s="44"/>
      <c r="FN26" s="44"/>
      <c r="FO26" s="1" t="s">
        <v>225</v>
      </c>
      <c r="FP26" s="19">
        <f t="shared" ref="FP26" ca="1" si="1142">SUM(FP$11:FP$24)</f>
        <v>-154365.49353096989</v>
      </c>
      <c r="FQ26" s="44"/>
      <c r="FR26" s="44"/>
      <c r="FS26" s="1" t="s">
        <v>225</v>
      </c>
      <c r="FT26" s="19">
        <f t="shared" ref="FT26" ca="1" si="1143">SUM(FT$11:FT$24)</f>
        <v>-48229.133859603018</v>
      </c>
      <c r="FU26" s="44"/>
      <c r="FV26" s="44"/>
      <c r="FW26" s="1" t="s">
        <v>225</v>
      </c>
      <c r="FX26" s="19">
        <f t="shared" ref="FX26" ca="1" si="1144">SUM(FX$11:FX$24)</f>
        <v>-55486.375253499471</v>
      </c>
      <c r="FY26" s="44"/>
      <c r="FZ26" s="44"/>
      <c r="GA26" s="1" t="s">
        <v>225</v>
      </c>
      <c r="GB26" s="19">
        <f t="shared" ref="GB26" ca="1" si="1145">SUM(GB$11:GB$24)</f>
        <v>-194223.70316954143</v>
      </c>
      <c r="GC26" s="44"/>
      <c r="GD26" s="44"/>
      <c r="GE26" s="1" t="s">
        <v>225</v>
      </c>
      <c r="GF26" s="19">
        <f t="shared" ref="GF26" ca="1" si="1146">SUM(GF$11:GF$24)</f>
        <v>-61620.187900414836</v>
      </c>
      <c r="GG26" s="44"/>
      <c r="GH26" s="44"/>
      <c r="GI26" s="1" t="s">
        <v>225</v>
      </c>
      <c r="GJ26" s="19">
        <f t="shared" ref="GJ26" ca="1" si="1147">SUM(GJ$11:GJ$24)</f>
        <v>-59953.070514476873</v>
      </c>
      <c r="GK26" s="44"/>
      <c r="GL26" s="44"/>
      <c r="GM26" s="1" t="s">
        <v>225</v>
      </c>
      <c r="GN26" s="19">
        <f t="shared" ref="GN26" ca="1" si="1148">SUM(GN$11:GN$24)</f>
        <v>-187374.47619974191</v>
      </c>
      <c r="GO26" s="44"/>
      <c r="GP26" s="44"/>
      <c r="GQ26" s="1" t="s">
        <v>225</v>
      </c>
      <c r="GR26" s="19">
        <f t="shared" ref="GR26" ca="1" si="1149">SUM(GR$11:GR$24)</f>
        <v>-58691.284891005445</v>
      </c>
      <c r="GS26" s="44"/>
      <c r="GT26" s="44"/>
      <c r="GU26" s="1" t="s">
        <v>225</v>
      </c>
      <c r="GV26" s="19">
        <f t="shared" ref="GV26" ca="1" si="1150">SUM(GV$11:GV$24)</f>
        <v>-60891.058096720903</v>
      </c>
      <c r="GW26" s="44"/>
      <c r="GX26" s="44"/>
      <c r="GY26" s="1" t="s">
        <v>225</v>
      </c>
      <c r="GZ26" s="19">
        <f t="shared" ref="GZ26" ca="1" si="1151">SUM(GZ$11:GZ$24)</f>
        <v>-180205.84480050084</v>
      </c>
      <c r="HA26" s="44"/>
      <c r="HB26" s="44"/>
      <c r="HC26" s="1" t="s">
        <v>225</v>
      </c>
      <c r="HD26" s="19">
        <f t="shared" ref="HD26" ca="1" si="1152">SUM(HD$11:HD$24)</f>
        <v>-54978.931785080422</v>
      </c>
      <c r="HE26" s="44"/>
      <c r="HF26" s="44"/>
      <c r="HG26" s="1" t="s">
        <v>225</v>
      </c>
      <c r="HH26" s="19">
        <f t="shared" ref="HH26" ca="1" si="1153">SUM(HH$11:HH$24)</f>
        <v>-60943.242440373724</v>
      </c>
      <c r="HI26" s="44"/>
      <c r="HJ26" s="44"/>
      <c r="HK26" s="1" t="s">
        <v>225</v>
      </c>
      <c r="HL26" s="19">
        <f t="shared" ref="HL26" ca="1" si="1154">SUM(HL$11:HL$24)</f>
        <v>-185551.45543019567</v>
      </c>
      <c r="HM26" s="44"/>
      <c r="HN26" s="44"/>
      <c r="HO26" s="1" t="s">
        <v>225</v>
      </c>
      <c r="HP26" s="19">
        <f t="shared" ref="HP26" ca="1" si="1155">SUM(HP$11:HP$24)</f>
        <v>-64434.683288244465</v>
      </c>
      <c r="HQ26" s="44"/>
      <c r="HR26" s="44"/>
      <c r="HS26" s="1" t="s">
        <v>225</v>
      </c>
      <c r="HT26" s="19">
        <f t="shared" ref="HT26" ca="1" si="1156">SUM(HT$11:HT$24)</f>
        <v>-53633.571001387303</v>
      </c>
      <c r="HU26" s="44"/>
      <c r="HV26" s="44"/>
      <c r="HW26" s="1" t="s">
        <v>225</v>
      </c>
      <c r="HX26" s="19">
        <f t="shared" ref="HX26" ca="1" si="1157">SUM(HX$11:HX$24)</f>
        <v>-188611.27514687943</v>
      </c>
      <c r="HY26" s="44"/>
      <c r="HZ26" s="44"/>
      <c r="IA26" s="1" t="s">
        <v>225</v>
      </c>
      <c r="IB26" s="19">
        <f t="shared" ref="IB26" ca="1" si="1158">SUM(IB$11:IB$24)</f>
        <v>-54630.230055079774</v>
      </c>
      <c r="IC26" s="44"/>
      <c r="ID26" s="44"/>
      <c r="IE26" s="1" t="s">
        <v>225</v>
      </c>
      <c r="IF26" s="19">
        <f t="shared" ref="IF26" ca="1" si="1159">SUM(IF$11:IF$24)</f>
        <v>-59199.482374275809</v>
      </c>
      <c r="IG26" s="44"/>
      <c r="IH26" s="44"/>
      <c r="II26" s="1" t="s">
        <v>225</v>
      </c>
      <c r="IJ26" s="19">
        <f t="shared" ref="IJ26" ca="1" si="1160">SUM(IJ$11:IJ$24)</f>
        <v>-173761.16405171625</v>
      </c>
      <c r="IK26" s="44"/>
      <c r="IL26" s="44"/>
      <c r="IM26" s="1" t="s">
        <v>225</v>
      </c>
      <c r="IN26" s="19">
        <f t="shared" ref="IN26" ca="1" si="1161">SUM(IN$11:IN$24)</f>
        <v>-61446.871392944275</v>
      </c>
      <c r="IO26" s="44"/>
      <c r="IP26" s="44"/>
      <c r="IQ26" s="1" t="s">
        <v>225</v>
      </c>
      <c r="IR26" s="19">
        <f t="shared" ref="IR26" ca="1" si="1162">SUM(IR$11:IR$24)</f>
        <v>-60093.063611706129</v>
      </c>
      <c r="IS26" s="44"/>
      <c r="IT26" s="44"/>
      <c r="IU26" s="1" t="s">
        <v>225</v>
      </c>
      <c r="IV26" s="19">
        <f t="shared" ref="IV26" ca="1" si="1163">SUM(IV$11:IV$24)</f>
        <v>-220224.25847573124</v>
      </c>
      <c r="IW26" s="44"/>
      <c r="IX26" s="44"/>
      <c r="IY26" s="1" t="s">
        <v>225</v>
      </c>
      <c r="IZ26" s="19">
        <f t="shared" ref="IZ26" ca="1" si="1164">SUM(IZ$11:IZ$24)</f>
        <v>-64655.77624277366</v>
      </c>
      <c r="JA26" s="44"/>
      <c r="JB26" s="44"/>
      <c r="JC26" s="1" t="s">
        <v>225</v>
      </c>
      <c r="JD26" s="19">
        <f t="shared" ref="JD26" ca="1" si="1165">SUM(JD$11:JD$24)</f>
        <v>-69216.640278356776</v>
      </c>
      <c r="JE26" s="44"/>
      <c r="JF26" s="44"/>
      <c r="JG26" s="1" t="s">
        <v>225</v>
      </c>
      <c r="JH26" s="19">
        <f t="shared" ref="JH26" ca="1" si="1166">SUM(JH$11:JH$24)</f>
        <v>-229536.83284154057</v>
      </c>
      <c r="JI26" s="44"/>
      <c r="JJ26" s="44"/>
      <c r="JK26" s="1" t="s">
        <v>225</v>
      </c>
      <c r="JL26" s="19">
        <f t="shared" ref="JL26" ca="1" si="1167">SUM(JL$11:JL$24)</f>
        <v>-65253.406860830444</v>
      </c>
      <c r="JM26" s="44"/>
      <c r="JN26" s="44"/>
      <c r="JO26" s="1" t="s">
        <v>225</v>
      </c>
      <c r="JP26" s="19">
        <f t="shared" ref="JP26" ca="1" si="1168">SUM(JP$11:JP$24)</f>
        <v>-72213.315606801334</v>
      </c>
      <c r="JQ26" s="44"/>
      <c r="JR26" s="44"/>
      <c r="JS26" s="1" t="s">
        <v>225</v>
      </c>
      <c r="JT26" s="19">
        <f t="shared" ref="JT26" ca="1" si="1169">SUM(JT$11:JT$24)</f>
        <v>-260930.58721495364</v>
      </c>
      <c r="JU26" s="44"/>
      <c r="JV26" s="44"/>
      <c r="JW26" s="1" t="s">
        <v>225</v>
      </c>
      <c r="JX26" s="19">
        <f t="shared" ref="JX26" ca="1" si="1170">SUM(JX$11:JX$24)</f>
        <v>-69264.755840865168</v>
      </c>
      <c r="JY26" s="44"/>
      <c r="JZ26" s="44"/>
      <c r="KA26" s="1" t="s">
        <v>225</v>
      </c>
      <c r="KB26" s="19">
        <f t="shared" ref="KB26" ca="1" si="1171">SUM(KB$11:KB$24)</f>
        <v>-78159.25951009152</v>
      </c>
      <c r="KC26" s="44"/>
    </row>
    <row r="27" spans="1:289" x14ac:dyDescent="0.25">
      <c r="C27" s="1" t="s">
        <v>227</v>
      </c>
      <c r="D27" s="19">
        <f ca="1">D$8+D$26</f>
        <v>-165260.34807259191</v>
      </c>
      <c r="G27" s="1" t="s">
        <v>227</v>
      </c>
      <c r="H27" s="19">
        <f ca="1">H$8+H$26</f>
        <v>9518.521892646062</v>
      </c>
      <c r="I27" s="44"/>
      <c r="K27" s="1" t="s">
        <v>227</v>
      </c>
      <c r="L27" s="19">
        <f ca="1">L$8+L$26</f>
        <v>9015.151137259676</v>
      </c>
      <c r="M27" s="44"/>
      <c r="N27" s="44"/>
      <c r="O27" s="1" t="s">
        <v>227</v>
      </c>
      <c r="P27" s="19">
        <f t="shared" ref="P27" ca="1" si="1172">P$8+P$26</f>
        <v>-16142.500092108552</v>
      </c>
      <c r="Q27" s="44"/>
      <c r="R27" s="44"/>
      <c r="S27" s="1" t="s">
        <v>227</v>
      </c>
      <c r="T27" s="19">
        <f t="shared" ref="T27" ca="1" si="1173">T$8+T$26</f>
        <v>13440.636724476681</v>
      </c>
      <c r="U27" s="44"/>
      <c r="V27" s="44"/>
      <c r="W27" s="1" t="s">
        <v>227</v>
      </c>
      <c r="X27" s="19">
        <f t="shared" ref="X27" ca="1" si="1174">X$8+X$26</f>
        <v>9816.1278624049737</v>
      </c>
      <c r="Y27" s="44"/>
      <c r="Z27" s="44"/>
      <c r="AA27" s="1" t="s">
        <v>227</v>
      </c>
      <c r="AB27" s="19">
        <f t="shared" ref="AB27" ca="1" si="1175">AB$8+AB$26</f>
        <v>-18016.592803353087</v>
      </c>
      <c r="AC27" s="44"/>
      <c r="AD27" s="44"/>
      <c r="AE27" s="1" t="s">
        <v>227</v>
      </c>
      <c r="AF27" s="19">
        <f t="shared" ref="AF27" ca="1" si="1176">AF$8+AF$26</f>
        <v>14466.876778592254</v>
      </c>
      <c r="AG27" s="44"/>
      <c r="AH27" s="44"/>
      <c r="AI27" s="1" t="s">
        <v>227</v>
      </c>
      <c r="AJ27" s="19">
        <f t="shared" ref="AJ27" ca="1" si="1177">AJ$8+AJ$26</f>
        <v>12106.33939455793</v>
      </c>
      <c r="AK27" s="44"/>
      <c r="AL27" s="44"/>
      <c r="AM27" s="1" t="s">
        <v>227</v>
      </c>
      <c r="AN27" s="19">
        <f t="shared" ref="AN27" ca="1" si="1178">AN$8+AN$26</f>
        <v>-15465.229906483051</v>
      </c>
      <c r="AO27" s="44"/>
      <c r="AP27" s="44"/>
      <c r="AQ27" s="1" t="s">
        <v>227</v>
      </c>
      <c r="AR27" s="19">
        <f t="shared" ref="AR27" ca="1" si="1179">AR$8+AR$26</f>
        <v>18804.836311610947</v>
      </c>
      <c r="AS27" s="44"/>
      <c r="AT27" s="44"/>
      <c r="AU27" s="1" t="s">
        <v>227</v>
      </c>
      <c r="AV27" s="19">
        <f t="shared" ref="AV27" ca="1" si="1180">AV$8+AV$26</f>
        <v>19522.119922166228</v>
      </c>
      <c r="AW27" s="44"/>
      <c r="AX27" s="44"/>
      <c r="AY27" s="1" t="s">
        <v>227</v>
      </c>
      <c r="AZ27" s="19">
        <f t="shared" ref="AZ27" ca="1" si="1181">AZ$8+AZ$26</f>
        <v>-8849.9647299317876</v>
      </c>
      <c r="BA27" s="44"/>
      <c r="BB27" s="44"/>
      <c r="BC27" s="1" t="s">
        <v>227</v>
      </c>
      <c r="BD27" s="19">
        <f t="shared" ref="BD27" ca="1" si="1182">BD$8+BD$26</f>
        <v>14899.637930940673</v>
      </c>
      <c r="BE27" s="44"/>
      <c r="BF27" s="44"/>
      <c r="BG27" s="1" t="s">
        <v>227</v>
      </c>
      <c r="BH27" s="19">
        <f t="shared" ref="BH27" ca="1" si="1183">BH$8+BH$26</f>
        <v>16052.861107574314</v>
      </c>
      <c r="BI27" s="44"/>
      <c r="BJ27" s="44"/>
      <c r="BK27" s="1" t="s">
        <v>227</v>
      </c>
      <c r="BL27" s="19">
        <f t="shared" ref="BL27" ca="1" si="1184">BL$8+BL$26</f>
        <v>-13870.805125429259</v>
      </c>
      <c r="BM27" s="44"/>
      <c r="BN27" s="44"/>
      <c r="BO27" s="1" t="s">
        <v>227</v>
      </c>
      <c r="BP27" s="19">
        <f t="shared" ref="BP27" ca="1" si="1185">BP$8+BP$26</f>
        <v>19223.715372768624</v>
      </c>
      <c r="BQ27" s="44"/>
      <c r="BR27" s="44"/>
      <c r="BS27" s="1" t="s">
        <v>227</v>
      </c>
      <c r="BT27" s="19">
        <f t="shared" ref="BT27" ca="1" si="1186">BT$8+BT$26</f>
        <v>15614.681190227609</v>
      </c>
      <c r="BU27" s="44"/>
      <c r="BV27" s="44"/>
      <c r="BW27" s="1" t="s">
        <v>227</v>
      </c>
      <c r="BX27" s="19">
        <f t="shared" ref="BX27" ca="1" si="1187">BX$8+BX$26</f>
        <v>-16882.940398243074</v>
      </c>
      <c r="BY27" s="44"/>
      <c r="BZ27" s="44"/>
      <c r="CA27" s="1" t="s">
        <v>227</v>
      </c>
      <c r="CB27" s="19">
        <f t="shared" ref="CB27" ca="1" si="1188">CB$8+CB$26</f>
        <v>23687.702886406048</v>
      </c>
      <c r="CC27" s="44"/>
      <c r="CD27" s="44"/>
      <c r="CE27" s="1" t="s">
        <v>227</v>
      </c>
      <c r="CF27" s="19">
        <f t="shared" ref="CF27" ca="1" si="1189">CF$8+CF$26</f>
        <v>29175.821131514655</v>
      </c>
      <c r="CG27" s="44"/>
      <c r="CH27" s="44"/>
      <c r="CI27" s="1" t="s">
        <v>227</v>
      </c>
      <c r="CJ27" s="19">
        <f t="shared" ref="CJ27" ca="1" si="1190">CJ$8+CJ$26</f>
        <v>-7406.5141252735993</v>
      </c>
      <c r="CK27" s="44"/>
      <c r="CL27" s="44"/>
      <c r="CM27" s="1" t="s">
        <v>227</v>
      </c>
      <c r="CN27" s="19">
        <f t="shared" ref="CN27" ca="1" si="1191">CN$8+CN$26</f>
        <v>22679.887523917881</v>
      </c>
      <c r="CO27" s="44"/>
      <c r="CP27" s="44"/>
      <c r="CQ27" s="1" t="s">
        <v>227</v>
      </c>
      <c r="CR27" s="19">
        <f t="shared" ref="CR27" ca="1" si="1192">CR$8+CR$26</f>
        <v>29461.915698584024</v>
      </c>
      <c r="CS27" s="44"/>
      <c r="CT27" s="44"/>
      <c r="CU27" s="1" t="s">
        <v>227</v>
      </c>
      <c r="CV27" s="19">
        <f t="shared" ref="CV27" ca="1" si="1193">CV$8+CV$26</f>
        <v>-3110.5232487965477</v>
      </c>
      <c r="CW27" s="44"/>
      <c r="CX27" s="44"/>
      <c r="CY27" s="1" t="s">
        <v>227</v>
      </c>
      <c r="CZ27" s="19">
        <f t="shared" ref="CZ27" ca="1" si="1194">CZ$8+CZ$26</f>
        <v>22592.706926514962</v>
      </c>
      <c r="DA27" s="44"/>
      <c r="DB27" s="44"/>
      <c r="DC27" s="1" t="s">
        <v>227</v>
      </c>
      <c r="DD27" s="19">
        <f t="shared" ref="DD27" ca="1" si="1195">DD$8+DD$26</f>
        <v>28293.504073975848</v>
      </c>
      <c r="DE27" s="44"/>
      <c r="DF27" s="44"/>
      <c r="DG27" s="1" t="s">
        <v>227</v>
      </c>
      <c r="DH27" s="19">
        <f t="shared" ref="DH27" ca="1" si="1196">DH$8+DH$26</f>
        <v>-4049.3116344518785</v>
      </c>
      <c r="DI27" s="44"/>
      <c r="DJ27" s="44"/>
      <c r="DK27" s="1" t="s">
        <v>227</v>
      </c>
      <c r="DL27" s="19">
        <f t="shared" ref="DL27" ca="1" si="1197">DL$8+DL$26</f>
        <v>30462.088705800204</v>
      </c>
      <c r="DM27" s="44"/>
      <c r="DN27" s="44"/>
      <c r="DO27" s="1" t="s">
        <v>227</v>
      </c>
      <c r="DP27" s="19">
        <f t="shared" ref="DP27" ca="1" si="1198">DP$8+DP$26</f>
        <v>30186.904399303676</v>
      </c>
      <c r="DQ27" s="44"/>
      <c r="DR27" s="44"/>
      <c r="DS27" s="1" t="s">
        <v>227</v>
      </c>
      <c r="DT27" s="19">
        <f t="shared" ref="DT27" ca="1" si="1199">DT$8+DT$26</f>
        <v>-13923.785439786487</v>
      </c>
      <c r="DU27" s="44"/>
      <c r="DV27" s="44"/>
      <c r="DW27" s="1" t="s">
        <v>227</v>
      </c>
      <c r="DX27" s="19">
        <f t="shared" ref="DX27" ca="1" si="1200">DX$8+DX$26</f>
        <v>29511.588101232235</v>
      </c>
      <c r="DY27" s="44"/>
      <c r="DZ27" s="44"/>
      <c r="EA27" s="1" t="s">
        <v>227</v>
      </c>
      <c r="EB27" s="19">
        <f t="shared" ref="EB27" ca="1" si="1201">EB$8+EB$26</f>
        <v>30879.733549563083</v>
      </c>
      <c r="EC27" s="44"/>
      <c r="ED27" s="44"/>
      <c r="EE27" s="1" t="s">
        <v>227</v>
      </c>
      <c r="EF27" s="19">
        <f t="shared" ref="EF27" ca="1" si="1202">EF$8+EF$26</f>
        <v>-38483.074207631595</v>
      </c>
      <c r="EG27" s="44"/>
      <c r="EH27" s="44"/>
      <c r="EI27" s="1" t="s">
        <v>227</v>
      </c>
      <c r="EJ27" s="19">
        <f t="shared" ref="EJ27" ca="1" si="1203">EJ$8+EJ$26</f>
        <v>35747.324528927384</v>
      </c>
      <c r="EK27" s="44"/>
      <c r="EL27" s="44"/>
      <c r="EM27" s="1" t="s">
        <v>227</v>
      </c>
      <c r="EN27" s="19">
        <f t="shared" ref="EN27" ca="1" si="1204">EN$8+EN$26</f>
        <v>36722.99153090176</v>
      </c>
      <c r="EO27" s="44"/>
      <c r="EP27" s="44"/>
      <c r="EQ27" s="1" t="s">
        <v>227</v>
      </c>
      <c r="ER27" s="19">
        <f t="shared" ref="ER27" ca="1" si="1205">ER$8+ER$26</f>
        <v>-56513.138054886003</v>
      </c>
      <c r="ES27" s="44"/>
      <c r="ET27" s="44"/>
      <c r="EU27" s="1" t="s">
        <v>227</v>
      </c>
      <c r="EV27" s="19">
        <f t="shared" ref="EV27" ca="1" si="1206">EV$8+EV$26</f>
        <v>38016.923680594788</v>
      </c>
      <c r="EW27" s="44"/>
      <c r="EX27" s="44"/>
      <c r="EY27" s="1" t="s">
        <v>227</v>
      </c>
      <c r="EZ27" s="19">
        <f t="shared" ref="EZ27" ca="1" si="1207">EZ$8+EZ$26</f>
        <v>31427.248391401925</v>
      </c>
      <c r="FA27" s="44"/>
      <c r="FB27" s="44"/>
      <c r="FC27" s="1" t="s">
        <v>227</v>
      </c>
      <c r="FD27" s="19">
        <f t="shared" ref="FD27" ca="1" si="1208">FD$8+FD$26</f>
        <v>-59883.426070938309</v>
      </c>
      <c r="FE27" s="44"/>
      <c r="FF27" s="44"/>
      <c r="FG27" s="1" t="s">
        <v>227</v>
      </c>
      <c r="FH27" s="19">
        <f t="shared" ref="FH27" ca="1" si="1209">FH$8+FH$26</f>
        <v>35809.318209369929</v>
      </c>
      <c r="FI27" s="44"/>
      <c r="FJ27" s="44"/>
      <c r="FK27" s="1" t="s">
        <v>227</v>
      </c>
      <c r="FL27" s="19">
        <f t="shared" ref="FL27" ca="1" si="1210">FL$8+FL$26</f>
        <v>35294.271647261834</v>
      </c>
      <c r="FM27" s="44"/>
      <c r="FN27" s="44"/>
      <c r="FO27" s="1" t="s">
        <v>227</v>
      </c>
      <c r="FP27" s="19">
        <f t="shared" ref="FP27" ca="1" si="1211">FP$8+FP$26</f>
        <v>-78100.556593154164</v>
      </c>
      <c r="FQ27" s="44"/>
      <c r="FR27" s="44"/>
      <c r="FS27" s="1" t="s">
        <v>227</v>
      </c>
      <c r="FT27" s="19">
        <f t="shared" ref="FT27" ca="1" si="1212">FT$8+FT$26</f>
        <v>29768.645748967967</v>
      </c>
      <c r="FU27" s="44"/>
      <c r="FV27" s="44"/>
      <c r="FW27" s="1" t="s">
        <v>227</v>
      </c>
      <c r="FX27" s="19">
        <f t="shared" ref="FX27" ca="1" si="1213">FX$8+FX$26</f>
        <v>39084.96682409216</v>
      </c>
      <c r="FY27" s="44"/>
      <c r="FZ27" s="44"/>
      <c r="GA27" s="1" t="s">
        <v>227</v>
      </c>
      <c r="GB27" s="19">
        <f t="shared" ref="GB27" ca="1" si="1214">GB$8+GB$26</f>
        <v>-114692.2698176961</v>
      </c>
      <c r="GC27" s="44"/>
      <c r="GD27" s="44"/>
      <c r="GE27" s="1" t="s">
        <v>227</v>
      </c>
      <c r="GF27" s="19">
        <f t="shared" ref="GF27" ca="1" si="1215">GF$8+GF$26</f>
        <v>39140.104069514215</v>
      </c>
      <c r="GG27" s="44"/>
      <c r="GH27" s="44"/>
      <c r="GI27" s="1" t="s">
        <v>227</v>
      </c>
      <c r="GJ27" s="19">
        <f t="shared" ref="GJ27" ca="1" si="1216">GJ$8+GJ$26</f>
        <v>39268.374118317792</v>
      </c>
      <c r="GK27" s="44"/>
      <c r="GL27" s="44"/>
      <c r="GM27" s="1" t="s">
        <v>227</v>
      </c>
      <c r="GN27" s="19">
        <f t="shared" ref="GN27" ca="1" si="1217">GN$8+GN$26</f>
        <v>-105633.90803209438</v>
      </c>
      <c r="GO27" s="44"/>
      <c r="GP27" s="44"/>
      <c r="GQ27" s="1" t="s">
        <v>227</v>
      </c>
      <c r="GR27" s="19">
        <f t="shared" ref="GR27" ca="1" si="1218">GR$8+GR$26</f>
        <v>43522.368250089872</v>
      </c>
      <c r="GS27" s="44"/>
      <c r="GT27" s="44"/>
      <c r="GU27" s="1" t="s">
        <v>227</v>
      </c>
      <c r="GV27" s="19">
        <f t="shared" ref="GV27" ca="1" si="1219">GV$8+GV$26</f>
        <v>45140.462795380481</v>
      </c>
      <c r="GW27" s="44"/>
      <c r="GX27" s="44"/>
      <c r="GY27" s="1" t="s">
        <v>227</v>
      </c>
      <c r="GZ27" s="19">
        <f t="shared" ref="GZ27" ca="1" si="1220">GZ$8+GZ$26</f>
        <v>-93853.475293420532</v>
      </c>
      <c r="HA27" s="44"/>
      <c r="HB27" s="44"/>
      <c r="HC27" s="1" t="s">
        <v>227</v>
      </c>
      <c r="HD27" s="19">
        <f t="shared" ref="HD27" ca="1" si="1221">HD$8+HD$26</f>
        <v>40329.447281879737</v>
      </c>
      <c r="HE27" s="44"/>
      <c r="HF27" s="44"/>
      <c r="HG27" s="1" t="s">
        <v>227</v>
      </c>
      <c r="HH27" s="19">
        <f t="shared" ref="HH27" ca="1" si="1222">HH$8+HH$26</f>
        <v>48363.110972272203</v>
      </c>
      <c r="HI27" s="44"/>
      <c r="HJ27" s="44"/>
      <c r="HK27" s="1" t="s">
        <v>227</v>
      </c>
      <c r="HL27" s="19">
        <f t="shared" ref="HL27" ca="1" si="1223">HL$8+HL$26</f>
        <v>-85604.131616136045</v>
      </c>
      <c r="HM27" s="44"/>
      <c r="HN27" s="44"/>
      <c r="HO27" s="1" t="s">
        <v>227</v>
      </c>
      <c r="HP27" s="19">
        <f t="shared" ref="HP27" ca="1" si="1224">HP$8+HP$26</f>
        <v>52833.983301184744</v>
      </c>
      <c r="HQ27" s="44"/>
      <c r="HR27" s="44"/>
      <c r="HS27" s="1" t="s">
        <v>227</v>
      </c>
      <c r="HT27" s="19">
        <f t="shared" ref="HT27" ca="1" si="1225">HT$8+HT$26</f>
        <v>42124.507589550616</v>
      </c>
      <c r="HU27" s="44"/>
      <c r="HV27" s="44"/>
      <c r="HW27" s="1" t="s">
        <v>227</v>
      </c>
      <c r="HX27" s="19">
        <f t="shared" ref="HX27" ca="1" si="1226">HX$8+HX$26</f>
        <v>-69524.143479597129</v>
      </c>
      <c r="HY27" s="44"/>
      <c r="HZ27" s="44"/>
      <c r="IA27" s="1" t="s">
        <v>227</v>
      </c>
      <c r="IB27" s="19">
        <f t="shared" ref="IB27" ca="1" si="1227">IB$8+IB$26</f>
        <v>42360.715264269507</v>
      </c>
      <c r="IC27" s="44"/>
      <c r="ID27" s="44"/>
      <c r="IE27" s="1" t="s">
        <v>227</v>
      </c>
      <c r="IF27" s="19">
        <f t="shared" ref="IF27" ca="1" si="1228">IF$8+IF$26</f>
        <v>46509.026620837649</v>
      </c>
      <c r="IG27" s="44"/>
      <c r="IH27" s="44"/>
      <c r="II27" s="1" t="s">
        <v>227</v>
      </c>
      <c r="IJ27" s="19">
        <f t="shared" ref="IJ27" ca="1" si="1229">IJ$8+IJ$26</f>
        <v>-77742.331487313088</v>
      </c>
      <c r="IK27" s="44"/>
      <c r="IL27" s="44"/>
      <c r="IM27" s="1" t="s">
        <v>227</v>
      </c>
      <c r="IN27" s="19">
        <f t="shared" ref="IN27" ca="1" si="1230">IN$8+IN$26</f>
        <v>50632.879572741789</v>
      </c>
      <c r="IO27" s="44"/>
      <c r="IP27" s="44"/>
      <c r="IQ27" s="1" t="s">
        <v>227</v>
      </c>
      <c r="IR27" s="19">
        <f t="shared" ref="IR27" ca="1" si="1231">IR$8+IR$26</f>
        <v>44149.390642485807</v>
      </c>
      <c r="IS27" s="44"/>
      <c r="IT27" s="44"/>
      <c r="IU27" s="1" t="s">
        <v>227</v>
      </c>
      <c r="IV27" s="19">
        <f t="shared" ref="IV27" ca="1" si="1232">IV$8+IV$26</f>
        <v>-94472.208937641641</v>
      </c>
      <c r="IW27" s="44"/>
      <c r="IX27" s="44"/>
      <c r="IY27" s="1" t="s">
        <v>227</v>
      </c>
      <c r="IZ27" s="19">
        <f t="shared" ref="IZ27" ca="1" si="1233">IZ$8+IZ$26</f>
        <v>53128.633494990398</v>
      </c>
      <c r="JA27" s="44"/>
      <c r="JB27" s="44"/>
      <c r="JC27" s="1" t="s">
        <v>227</v>
      </c>
      <c r="JD27" s="19">
        <f t="shared" ref="JD27" ca="1" si="1234">JD$8+JD$26</f>
        <v>55808.198845546838</v>
      </c>
      <c r="JE27" s="44"/>
      <c r="JF27" s="44"/>
      <c r="JG27" s="1" t="s">
        <v>227</v>
      </c>
      <c r="JH27" s="19">
        <f t="shared" ref="JH27" ca="1" si="1235">JH$8+JH$26</f>
        <v>-99186.51258921386</v>
      </c>
      <c r="JI27" s="44"/>
      <c r="JJ27" s="44"/>
      <c r="JK27" s="1" t="s">
        <v>227</v>
      </c>
      <c r="JL27" s="19">
        <f t="shared" ref="JL27" ca="1" si="1236">JL$8+JL$26</f>
        <v>47577.015454542103</v>
      </c>
      <c r="JM27" s="44"/>
      <c r="JN27" s="44"/>
      <c r="JO27" s="1" t="s">
        <v>227</v>
      </c>
      <c r="JP27" s="19">
        <f t="shared" ref="JP27" ca="1" si="1237">JP$8+JP$26</f>
        <v>56552.582616266896</v>
      </c>
      <c r="JQ27" s="44"/>
      <c r="JR27" s="44"/>
      <c r="JS27" s="1" t="s">
        <v>227</v>
      </c>
      <c r="JT27" s="19">
        <f t="shared" ref="JT27" ca="1" si="1238">JT$8+JT$26</f>
        <v>-137756.92812678733</v>
      </c>
      <c r="JU27" s="44"/>
      <c r="JV27" s="44"/>
      <c r="JW27" s="1" t="s">
        <v>227</v>
      </c>
      <c r="JX27" s="19">
        <f t="shared" ref="JX27" ca="1" si="1239">JX$8+JX$26</f>
        <v>48692.022378341426</v>
      </c>
      <c r="JY27" s="44"/>
      <c r="JZ27" s="44"/>
      <c r="KA27" s="1" t="s">
        <v>227</v>
      </c>
      <c r="KB27" s="19">
        <f t="shared" ref="KB27" ca="1" si="1240">KB$8+KB$26</f>
        <v>62089.762558118047</v>
      </c>
      <c r="KC27" s="44"/>
    </row>
    <row r="28" spans="1:289" x14ac:dyDescent="0.25">
      <c r="H28" s="44"/>
      <c r="I28" s="44"/>
      <c r="K28" s="37"/>
      <c r="L28" s="44"/>
      <c r="M28" s="44"/>
      <c r="N28" s="44"/>
      <c r="O28" s="37"/>
      <c r="P28" s="44"/>
      <c r="Q28" s="44"/>
      <c r="R28" s="44"/>
      <c r="S28" s="37"/>
      <c r="T28" s="44"/>
      <c r="U28" s="44"/>
      <c r="V28" s="44"/>
      <c r="W28" s="37"/>
      <c r="X28" s="44"/>
      <c r="Y28" s="44"/>
      <c r="Z28" s="44"/>
      <c r="AA28" s="37"/>
      <c r="AB28" s="44"/>
      <c r="AC28" s="44"/>
      <c r="AD28" s="44"/>
      <c r="AE28" s="37"/>
      <c r="AF28" s="44"/>
      <c r="AG28" s="44"/>
      <c r="AH28" s="44"/>
      <c r="AI28" s="37"/>
      <c r="AJ28" s="44"/>
      <c r="AK28" s="44"/>
      <c r="AL28" s="44"/>
      <c r="AM28" s="37"/>
      <c r="AN28" s="44"/>
      <c r="AO28" s="44"/>
      <c r="AP28" s="44"/>
      <c r="AQ28" s="37"/>
      <c r="AR28" s="44"/>
      <c r="AS28" s="44"/>
      <c r="AT28" s="44"/>
      <c r="AU28" s="37"/>
      <c r="AV28" s="44"/>
      <c r="AW28" s="44"/>
      <c r="AX28" s="44"/>
      <c r="AY28" s="37"/>
      <c r="AZ28" s="44"/>
      <c r="BA28" s="44"/>
      <c r="BB28" s="44"/>
      <c r="BC28" s="37"/>
      <c r="BD28" s="44"/>
      <c r="BE28" s="44"/>
      <c r="BF28" s="44"/>
      <c r="BG28" s="37"/>
      <c r="BH28" s="44"/>
      <c r="BI28" s="44"/>
      <c r="BJ28" s="44"/>
      <c r="BK28" s="37"/>
      <c r="BL28" s="44"/>
      <c r="BM28" s="44"/>
      <c r="BN28" s="44"/>
      <c r="BO28" s="37"/>
      <c r="BP28" s="44"/>
      <c r="BQ28" s="44"/>
      <c r="BR28" s="44"/>
      <c r="BS28" s="37"/>
      <c r="BT28" s="44"/>
      <c r="BU28" s="44"/>
      <c r="BV28" s="44"/>
      <c r="BW28" s="37"/>
      <c r="BX28" s="44"/>
      <c r="BY28" s="44"/>
      <c r="BZ28" s="44"/>
      <c r="CA28" s="37"/>
      <c r="CB28" s="44"/>
      <c r="CC28" s="44"/>
      <c r="CD28" s="44"/>
      <c r="CE28" s="37"/>
      <c r="CF28" s="44"/>
      <c r="CG28" s="44"/>
      <c r="CH28" s="44"/>
      <c r="CI28" s="37"/>
      <c r="CJ28" s="44"/>
      <c r="CK28" s="44"/>
      <c r="CL28" s="44"/>
      <c r="CM28" s="37"/>
      <c r="CN28" s="44"/>
      <c r="CO28" s="44"/>
      <c r="CP28" s="44"/>
      <c r="CQ28" s="37"/>
      <c r="CR28" s="44"/>
      <c r="CS28" s="44"/>
      <c r="CT28" s="44"/>
      <c r="CU28" s="37"/>
      <c r="CV28" s="44"/>
      <c r="CW28" s="44"/>
      <c r="CX28" s="44"/>
      <c r="CY28" s="37"/>
      <c r="CZ28" s="44"/>
      <c r="DA28" s="44"/>
      <c r="DB28" s="44"/>
      <c r="DC28" s="37"/>
      <c r="DD28" s="44"/>
      <c r="DE28" s="44"/>
      <c r="DF28" s="44"/>
      <c r="DG28" s="37"/>
      <c r="DH28" s="44"/>
      <c r="DI28" s="44"/>
      <c r="DJ28" s="44"/>
      <c r="DK28" s="37"/>
      <c r="DL28" s="44"/>
      <c r="DM28" s="44"/>
      <c r="DN28" s="44"/>
      <c r="DO28" s="37"/>
      <c r="DP28" s="44"/>
      <c r="DQ28" s="44"/>
      <c r="DR28" s="44"/>
      <c r="DS28" s="37"/>
      <c r="DT28" s="44"/>
      <c r="DU28" s="44"/>
      <c r="DV28" s="44"/>
      <c r="DW28" s="37"/>
      <c r="DX28" s="44"/>
      <c r="DY28" s="44"/>
      <c r="DZ28" s="44"/>
      <c r="EA28" s="37"/>
      <c r="EB28" s="44"/>
      <c r="EC28" s="44"/>
      <c r="ED28" s="44"/>
      <c r="EE28" s="37"/>
      <c r="EF28" s="44"/>
      <c r="EG28" s="44"/>
      <c r="EH28" s="44"/>
      <c r="EI28" s="37"/>
      <c r="EJ28" s="44"/>
      <c r="EK28" s="44"/>
      <c r="EL28" s="44"/>
      <c r="EM28" s="37"/>
      <c r="EN28" s="44"/>
      <c r="EO28" s="44"/>
      <c r="EP28" s="44"/>
      <c r="EQ28" s="37"/>
      <c r="ER28" s="44"/>
      <c r="ES28" s="44"/>
      <c r="ET28" s="44"/>
      <c r="EU28" s="37"/>
      <c r="EV28" s="44"/>
      <c r="EW28" s="44"/>
      <c r="EX28" s="44"/>
      <c r="EY28" s="37"/>
      <c r="EZ28" s="44"/>
      <c r="FA28" s="44"/>
      <c r="FB28" s="44"/>
      <c r="FC28" s="37"/>
      <c r="FD28" s="44"/>
      <c r="FE28" s="44"/>
      <c r="FF28" s="44"/>
      <c r="FG28" s="37"/>
      <c r="FH28" s="44"/>
      <c r="FI28" s="44"/>
      <c r="FJ28" s="44"/>
      <c r="FK28" s="37"/>
      <c r="FL28" s="44"/>
      <c r="FM28" s="44"/>
      <c r="FN28" s="44"/>
      <c r="FO28" s="37"/>
      <c r="FP28" s="44"/>
      <c r="FQ28" s="44"/>
      <c r="FR28" s="44"/>
      <c r="FS28" s="37"/>
      <c r="FT28" s="44"/>
      <c r="FU28" s="44"/>
      <c r="FV28" s="44"/>
      <c r="FW28" s="37"/>
      <c r="FX28" s="44"/>
      <c r="FY28" s="44"/>
      <c r="FZ28" s="44"/>
      <c r="GA28" s="37"/>
      <c r="GB28" s="44"/>
      <c r="GC28" s="44"/>
      <c r="GD28" s="44"/>
      <c r="GE28" s="37"/>
      <c r="GF28" s="44"/>
      <c r="GG28" s="44"/>
      <c r="GH28" s="44"/>
      <c r="GI28" s="37"/>
      <c r="GJ28" s="44"/>
      <c r="GK28" s="44"/>
      <c r="GL28" s="44"/>
      <c r="GM28" s="37"/>
      <c r="GN28" s="44"/>
      <c r="GO28" s="44"/>
      <c r="GP28" s="44"/>
      <c r="GQ28" s="37"/>
      <c r="GR28" s="44"/>
      <c r="GS28" s="44"/>
      <c r="GT28" s="44"/>
      <c r="GU28" s="37"/>
      <c r="GV28" s="44"/>
      <c r="GW28" s="44"/>
      <c r="GX28" s="44"/>
      <c r="GY28" s="37"/>
      <c r="GZ28" s="44"/>
      <c r="HA28" s="44"/>
      <c r="HB28" s="44"/>
      <c r="HC28" s="37"/>
      <c r="HD28" s="44"/>
      <c r="HE28" s="44"/>
      <c r="HF28" s="44"/>
      <c r="HG28" s="37"/>
      <c r="HH28" s="44"/>
      <c r="HI28" s="44"/>
      <c r="HJ28" s="44"/>
      <c r="HK28" s="37"/>
      <c r="HL28" s="44"/>
      <c r="HM28" s="44"/>
      <c r="HN28" s="44"/>
      <c r="HO28" s="37"/>
      <c r="HP28" s="44"/>
      <c r="HQ28" s="44"/>
      <c r="HR28" s="44"/>
      <c r="HS28" s="37"/>
      <c r="HT28" s="44"/>
      <c r="HU28" s="44"/>
      <c r="HV28" s="44"/>
      <c r="HW28" s="37"/>
      <c r="HX28" s="44"/>
      <c r="HY28" s="44"/>
      <c r="HZ28" s="44"/>
      <c r="IA28" s="37"/>
      <c r="IB28" s="44"/>
      <c r="IC28" s="44"/>
      <c r="ID28" s="44"/>
      <c r="IE28" s="37"/>
      <c r="IF28" s="44"/>
      <c r="IG28" s="44"/>
      <c r="IH28" s="44"/>
      <c r="II28" s="37"/>
      <c r="IJ28" s="44"/>
      <c r="IK28" s="44"/>
      <c r="IL28" s="44"/>
      <c r="IM28" s="37"/>
      <c r="IN28" s="44"/>
      <c r="IO28" s="44"/>
      <c r="IP28" s="44"/>
      <c r="IQ28" s="37"/>
      <c r="IR28" s="44"/>
      <c r="IS28" s="44"/>
      <c r="IT28" s="44"/>
      <c r="IU28" s="37"/>
      <c r="IV28" s="44"/>
      <c r="IW28" s="44"/>
      <c r="IX28" s="44"/>
      <c r="IY28" s="37"/>
      <c r="IZ28" s="44"/>
      <c r="JA28" s="44"/>
      <c r="JB28" s="44"/>
      <c r="JC28" s="37"/>
      <c r="JD28" s="44"/>
      <c r="JE28" s="44"/>
      <c r="JF28" s="44"/>
      <c r="JG28" s="37"/>
      <c r="JH28" s="44"/>
      <c r="JI28" s="44"/>
      <c r="JJ28" s="44"/>
      <c r="JK28" s="37"/>
      <c r="JL28" s="44"/>
      <c r="JM28" s="44"/>
      <c r="JN28" s="44"/>
      <c r="JO28" s="37"/>
      <c r="JP28" s="44"/>
      <c r="JQ28" s="44"/>
      <c r="JR28" s="44"/>
      <c r="JS28" s="37"/>
      <c r="JT28" s="44"/>
      <c r="JU28" s="44"/>
      <c r="JV28" s="44"/>
      <c r="JW28" s="37"/>
      <c r="JX28" s="44"/>
      <c r="JY28" s="44"/>
      <c r="JZ28" s="44"/>
      <c r="KA28" s="37"/>
      <c r="KB28" s="44"/>
      <c r="KC28" s="44"/>
    </row>
    <row r="29" spans="1:289" x14ac:dyDescent="0.25">
      <c r="C29" s="1" t="s">
        <v>221</v>
      </c>
      <c r="D29" s="63">
        <f ca="1">D$27</f>
        <v>-165260.34807259191</v>
      </c>
      <c r="G29" s="1" t="s">
        <v>221</v>
      </c>
      <c r="H29" s="63">
        <f ca="1">D$29+H27</f>
        <v>-155741.82617994584</v>
      </c>
      <c r="I29" s="44"/>
      <c r="K29" s="1" t="s">
        <v>221</v>
      </c>
      <c r="L29" s="63">
        <f ca="1">H$29+L27</f>
        <v>-146726.67504268617</v>
      </c>
      <c r="M29" s="44"/>
      <c r="N29" s="44"/>
      <c r="O29" s="1" t="s">
        <v>221</v>
      </c>
      <c r="P29" s="63">
        <f t="shared" ref="P29" ca="1" si="1241">L$29+P27</f>
        <v>-162869.17513479473</v>
      </c>
      <c r="Q29" s="44"/>
      <c r="R29" s="44"/>
      <c r="S29" s="1" t="s">
        <v>221</v>
      </c>
      <c r="T29" s="63">
        <f t="shared" ref="T29" ca="1" si="1242">P$29+T27</f>
        <v>-149428.53841031805</v>
      </c>
      <c r="U29" s="44"/>
      <c r="V29" s="44"/>
      <c r="W29" s="1" t="s">
        <v>221</v>
      </c>
      <c r="X29" s="63">
        <f t="shared" ref="X29" ca="1" si="1243">T$29+X27</f>
        <v>-139612.41054791308</v>
      </c>
      <c r="Y29" s="44"/>
      <c r="Z29" s="44"/>
      <c r="AA29" s="1" t="s">
        <v>221</v>
      </c>
      <c r="AB29" s="63">
        <f t="shared" ref="AB29" ca="1" si="1244">X$29+AB27</f>
        <v>-157629.00335126618</v>
      </c>
      <c r="AC29" s="44"/>
      <c r="AD29" s="44"/>
      <c r="AE29" s="1" t="s">
        <v>221</v>
      </c>
      <c r="AF29" s="63">
        <f t="shared" ref="AF29" ca="1" si="1245">AB$29+AF27</f>
        <v>-143162.12657267391</v>
      </c>
      <c r="AG29" s="44"/>
      <c r="AH29" s="44"/>
      <c r="AI29" s="1" t="s">
        <v>221</v>
      </c>
      <c r="AJ29" s="63">
        <f t="shared" ref="AJ29" ca="1" si="1246">AF$29+AJ27</f>
        <v>-131055.78717811598</v>
      </c>
      <c r="AK29" s="44"/>
      <c r="AL29" s="44"/>
      <c r="AM29" s="1" t="s">
        <v>221</v>
      </c>
      <c r="AN29" s="63">
        <f t="shared" ref="AN29" ca="1" si="1247">AJ$29+AN27</f>
        <v>-146521.01708459904</v>
      </c>
      <c r="AO29" s="44"/>
      <c r="AP29" s="44"/>
      <c r="AQ29" s="1" t="s">
        <v>221</v>
      </c>
      <c r="AR29" s="63">
        <f t="shared" ref="AR29" ca="1" si="1248">AN$29+AR27</f>
        <v>-127716.1807729881</v>
      </c>
      <c r="AS29" s="44"/>
      <c r="AT29" s="44"/>
      <c r="AU29" s="1" t="s">
        <v>221</v>
      </c>
      <c r="AV29" s="63">
        <f t="shared" ref="AV29" ca="1" si="1249">AR$29+AV27</f>
        <v>-108194.06085082187</v>
      </c>
      <c r="AW29" s="44"/>
      <c r="AX29" s="44"/>
      <c r="AY29" s="1" t="s">
        <v>221</v>
      </c>
      <c r="AZ29" s="63">
        <f t="shared" ref="AZ29" ca="1" si="1250">AV$29+AZ27</f>
        <v>-117044.02558075366</v>
      </c>
      <c r="BA29" s="44"/>
      <c r="BB29" s="44"/>
      <c r="BC29" s="1" t="s">
        <v>221</v>
      </c>
      <c r="BD29" s="63">
        <f t="shared" ref="BD29" ca="1" si="1251">AZ$29+BD27</f>
        <v>-102144.38764981298</v>
      </c>
      <c r="BE29" s="44"/>
      <c r="BF29" s="44"/>
      <c r="BG29" s="1" t="s">
        <v>221</v>
      </c>
      <c r="BH29" s="63">
        <f t="shared" ref="BH29" ca="1" si="1252">BD$29+BH27</f>
        <v>-86091.526542238673</v>
      </c>
      <c r="BI29" s="44"/>
      <c r="BJ29" s="44"/>
      <c r="BK29" s="1" t="s">
        <v>221</v>
      </c>
      <c r="BL29" s="63">
        <f t="shared" ref="BL29" ca="1" si="1253">BH$29+BL27</f>
        <v>-99962.331667667924</v>
      </c>
      <c r="BM29" s="44"/>
      <c r="BN29" s="44"/>
      <c r="BO29" s="1" t="s">
        <v>221</v>
      </c>
      <c r="BP29" s="63">
        <f t="shared" ref="BP29" ca="1" si="1254">BL$29+BP27</f>
        <v>-80738.616294899301</v>
      </c>
      <c r="BQ29" s="44"/>
      <c r="BR29" s="44"/>
      <c r="BS29" s="1" t="s">
        <v>221</v>
      </c>
      <c r="BT29" s="63">
        <f ca="1">BP$29+BT27</f>
        <v>-65123.935104671691</v>
      </c>
      <c r="BU29" s="44"/>
      <c r="BV29" s="44"/>
      <c r="BW29" s="1" t="s">
        <v>221</v>
      </c>
      <c r="BX29" s="63">
        <f t="shared" ref="BX29" ca="1" si="1255">BT$29+BX27</f>
        <v>-82006.875502914772</v>
      </c>
      <c r="BY29" s="44"/>
      <c r="BZ29" s="44"/>
      <c r="CA29" s="1" t="s">
        <v>221</v>
      </c>
      <c r="CB29" s="63">
        <f t="shared" ref="CB29" ca="1" si="1256">BX$29+CB27</f>
        <v>-58319.172616508724</v>
      </c>
      <c r="CC29" s="44"/>
      <c r="CD29" s="44"/>
      <c r="CE29" s="1" t="s">
        <v>221</v>
      </c>
      <c r="CF29" s="63">
        <f t="shared" ref="CF29" ca="1" si="1257">CB$29+CF27</f>
        <v>-29143.351484994069</v>
      </c>
      <c r="CG29" s="44"/>
      <c r="CH29" s="44"/>
      <c r="CI29" s="1" t="s">
        <v>221</v>
      </c>
      <c r="CJ29" s="63">
        <f t="shared" ref="CJ29" ca="1" si="1258">CF$29+CJ27</f>
        <v>-36549.865610267669</v>
      </c>
      <c r="CK29" s="44"/>
      <c r="CL29" s="44"/>
      <c r="CM29" s="1" t="s">
        <v>221</v>
      </c>
      <c r="CN29" s="63">
        <f t="shared" ref="CN29" ca="1" si="1259">CJ$29+CN27</f>
        <v>-13869.978086349787</v>
      </c>
      <c r="CO29" s="44"/>
      <c r="CP29" s="44"/>
      <c r="CQ29" s="1" t="s">
        <v>221</v>
      </c>
      <c r="CR29" s="63">
        <f t="shared" ref="CR29" ca="1" si="1260">CN$29+CR27</f>
        <v>15591.937612234236</v>
      </c>
      <c r="CS29" s="44"/>
      <c r="CT29" s="44"/>
      <c r="CU29" s="1" t="s">
        <v>221</v>
      </c>
      <c r="CV29" s="63">
        <f t="shared" ref="CV29" ca="1" si="1261">CR$29+CV27</f>
        <v>12481.414363437689</v>
      </c>
      <c r="CW29" s="44"/>
      <c r="CX29" s="44"/>
      <c r="CY29" s="1" t="s">
        <v>221</v>
      </c>
      <c r="CZ29" s="63">
        <f t="shared" ref="CZ29" ca="1" si="1262">CV$29+CZ27</f>
        <v>35074.121289952651</v>
      </c>
      <c r="DA29" s="44"/>
      <c r="DB29" s="44"/>
      <c r="DC29" s="1" t="s">
        <v>221</v>
      </c>
      <c r="DD29" s="63">
        <f t="shared" ref="DD29" ca="1" si="1263">CZ$29+DD27</f>
        <v>63367.625363928499</v>
      </c>
      <c r="DE29" s="44"/>
      <c r="DF29" s="44"/>
      <c r="DG29" s="1" t="s">
        <v>221</v>
      </c>
      <c r="DH29" s="63">
        <f t="shared" ref="DH29" ca="1" si="1264">DD$29+DH27</f>
        <v>59318.31372947662</v>
      </c>
      <c r="DI29" s="44"/>
      <c r="DJ29" s="44"/>
      <c r="DK29" s="1" t="s">
        <v>221</v>
      </c>
      <c r="DL29" s="63">
        <f t="shared" ref="DL29" ca="1" si="1265">DH$29+DL27</f>
        <v>89780.402435276832</v>
      </c>
      <c r="DM29" s="44"/>
      <c r="DN29" s="44"/>
      <c r="DO29" s="1" t="s">
        <v>221</v>
      </c>
      <c r="DP29" s="63">
        <f t="shared" ref="DP29" ca="1" si="1266">DL$29+DP27</f>
        <v>119967.30683458051</v>
      </c>
      <c r="DQ29" s="44"/>
      <c r="DR29" s="44"/>
      <c r="DS29" s="1" t="s">
        <v>221</v>
      </c>
      <c r="DT29" s="63">
        <f t="shared" ref="DT29" ca="1" si="1267">DP$29+DT27</f>
        <v>106043.52139479402</v>
      </c>
      <c r="DU29" s="44"/>
      <c r="DV29" s="44"/>
      <c r="DW29" s="1" t="s">
        <v>221</v>
      </c>
      <c r="DX29" s="63">
        <f t="shared" ref="DX29" ca="1" si="1268">DT$29+DX27</f>
        <v>135555.10949602624</v>
      </c>
      <c r="DY29" s="44"/>
      <c r="DZ29" s="44"/>
      <c r="EA29" s="1" t="s">
        <v>221</v>
      </c>
      <c r="EB29" s="63">
        <f t="shared" ref="EB29" ca="1" si="1269">DX$29+EB27</f>
        <v>166434.84304558934</v>
      </c>
      <c r="EC29" s="44"/>
      <c r="ED29" s="44"/>
      <c r="EE29" s="1" t="s">
        <v>221</v>
      </c>
      <c r="EF29" s="63">
        <f t="shared" ref="EF29" ca="1" si="1270">EB$29+EF27</f>
        <v>127951.76883795774</v>
      </c>
      <c r="EG29" s="44"/>
      <c r="EH29" s="44"/>
      <c r="EI29" s="1" t="s">
        <v>221</v>
      </c>
      <c r="EJ29" s="63">
        <f t="shared" ref="EJ29" ca="1" si="1271">EF$29+EJ27</f>
        <v>163699.09336688512</v>
      </c>
      <c r="EK29" s="44"/>
      <c r="EL29" s="44"/>
      <c r="EM29" s="1" t="s">
        <v>221</v>
      </c>
      <c r="EN29" s="63">
        <f t="shared" ref="EN29" ca="1" si="1272">EJ$29+EN27</f>
        <v>200422.08489778687</v>
      </c>
      <c r="EO29" s="44"/>
      <c r="EP29" s="44"/>
      <c r="EQ29" s="1" t="s">
        <v>221</v>
      </c>
      <c r="ER29" s="63">
        <f t="shared" ref="ER29" ca="1" si="1273">EN$29+ER27</f>
        <v>143908.94684290088</v>
      </c>
      <c r="ES29" s="44"/>
      <c r="ET29" s="44"/>
      <c r="EU29" s="1" t="s">
        <v>221</v>
      </c>
      <c r="EV29" s="63">
        <f t="shared" ref="EV29" ca="1" si="1274">ER$29+EV27</f>
        <v>181925.87052349566</v>
      </c>
      <c r="EW29" s="44"/>
      <c r="EX29" s="44"/>
      <c r="EY29" s="1" t="s">
        <v>221</v>
      </c>
      <c r="EZ29" s="63">
        <f t="shared" ref="EZ29" ca="1" si="1275">EV$29+EZ27</f>
        <v>213353.11891489758</v>
      </c>
      <c r="FA29" s="44"/>
      <c r="FB29" s="44"/>
      <c r="FC29" s="1" t="s">
        <v>221</v>
      </c>
      <c r="FD29" s="63">
        <f t="shared" ref="FD29" ca="1" si="1276">EZ$29+FD27</f>
        <v>153469.69284395926</v>
      </c>
      <c r="FE29" s="44"/>
      <c r="FF29" s="44"/>
      <c r="FG29" s="1" t="s">
        <v>221</v>
      </c>
      <c r="FH29" s="63">
        <f t="shared" ref="FH29" ca="1" si="1277">FD$29+FH27</f>
        <v>189279.01105332919</v>
      </c>
      <c r="FI29" s="44"/>
      <c r="FJ29" s="44"/>
      <c r="FK29" s="1" t="s">
        <v>221</v>
      </c>
      <c r="FL29" s="63">
        <f t="shared" ref="FL29" ca="1" si="1278">FH$29+FL27</f>
        <v>224573.28270059102</v>
      </c>
      <c r="FM29" s="44"/>
      <c r="FN29" s="44"/>
      <c r="FO29" s="1" t="s">
        <v>221</v>
      </c>
      <c r="FP29" s="63">
        <f t="shared" ref="FP29" ca="1" si="1279">FL$29+FP27</f>
        <v>146472.72610743687</v>
      </c>
      <c r="FQ29" s="44"/>
      <c r="FR29" s="44"/>
      <c r="FS29" s="1" t="s">
        <v>221</v>
      </c>
      <c r="FT29" s="63">
        <f t="shared" ref="FT29" ca="1" si="1280">FP$29+FT27</f>
        <v>176241.37185640485</v>
      </c>
      <c r="FU29" s="44"/>
      <c r="FV29" s="44"/>
      <c r="FW29" s="1" t="s">
        <v>221</v>
      </c>
      <c r="FX29" s="63">
        <f t="shared" ref="FX29" ca="1" si="1281">FT$29+FX27</f>
        <v>215326.33868049702</v>
      </c>
      <c r="FY29" s="44"/>
      <c r="FZ29" s="44"/>
      <c r="GA29" s="1" t="s">
        <v>221</v>
      </c>
      <c r="GB29" s="63">
        <f t="shared" ref="GB29" ca="1" si="1282">FX$29+GB27</f>
        <v>100634.06886280092</v>
      </c>
      <c r="GC29" s="44"/>
      <c r="GD29" s="44"/>
      <c r="GE29" s="1" t="s">
        <v>221</v>
      </c>
      <c r="GF29" s="63">
        <f t="shared" ref="GF29" ca="1" si="1283">GB$29+GF27</f>
        <v>139774.17293231515</v>
      </c>
      <c r="GG29" s="44"/>
      <c r="GH29" s="44"/>
      <c r="GI29" s="1" t="s">
        <v>221</v>
      </c>
      <c r="GJ29" s="63">
        <f t="shared" ref="GJ29" ca="1" si="1284">GF$29+GJ27</f>
        <v>179042.54705063294</v>
      </c>
      <c r="GK29" s="44"/>
      <c r="GL29" s="44"/>
      <c r="GM29" s="1" t="s">
        <v>221</v>
      </c>
      <c r="GN29" s="63">
        <f t="shared" ref="GN29" ca="1" si="1285">GJ$29+GN27</f>
        <v>73408.639018538568</v>
      </c>
      <c r="GO29" s="44"/>
      <c r="GP29" s="44"/>
      <c r="GQ29" s="1" t="s">
        <v>221</v>
      </c>
      <c r="GR29" s="63">
        <f t="shared" ref="GR29" ca="1" si="1286">GN$29+GR27</f>
        <v>116931.00726862844</v>
      </c>
      <c r="GS29" s="44"/>
      <c r="GT29" s="44"/>
      <c r="GU29" s="1" t="s">
        <v>221</v>
      </c>
      <c r="GV29" s="63">
        <f t="shared" ref="GV29" ca="1" si="1287">GR$29+GV27</f>
        <v>162071.47006400893</v>
      </c>
      <c r="GW29" s="44"/>
      <c r="GX29" s="44"/>
      <c r="GY29" s="1" t="s">
        <v>221</v>
      </c>
      <c r="GZ29" s="63">
        <f t="shared" ref="GZ29" ca="1" si="1288">GV$29+GZ27</f>
        <v>68217.994770588397</v>
      </c>
      <c r="HA29" s="44"/>
      <c r="HB29" s="44"/>
      <c r="HC29" s="1" t="s">
        <v>221</v>
      </c>
      <c r="HD29" s="63">
        <f t="shared" ref="HD29" ca="1" si="1289">GZ$29+HD27</f>
        <v>108547.44205246813</v>
      </c>
      <c r="HE29" s="44"/>
      <c r="HF29" s="44"/>
      <c r="HG29" s="1" t="s">
        <v>221</v>
      </c>
      <c r="HH29" s="63">
        <f t="shared" ref="HH29" ca="1" si="1290">HD$29+HH27</f>
        <v>156910.55302474034</v>
      </c>
      <c r="HI29" s="44"/>
      <c r="HJ29" s="44"/>
      <c r="HK29" s="1" t="s">
        <v>221</v>
      </c>
      <c r="HL29" s="63">
        <f t="shared" ref="HL29" ca="1" si="1291">HH$29+HL27</f>
        <v>71306.421408604292</v>
      </c>
      <c r="HM29" s="44"/>
      <c r="HN29" s="44"/>
      <c r="HO29" s="1" t="s">
        <v>221</v>
      </c>
      <c r="HP29" s="63">
        <f t="shared" ref="HP29" ca="1" si="1292">HL$29+HP27</f>
        <v>124140.40470978903</v>
      </c>
      <c r="HQ29" s="44"/>
      <c r="HR29" s="44"/>
      <c r="HS29" s="1" t="s">
        <v>221</v>
      </c>
      <c r="HT29" s="63">
        <f t="shared" ref="HT29" ca="1" si="1293">HP$29+HT27</f>
        <v>166264.91229933966</v>
      </c>
      <c r="HU29" s="44"/>
      <c r="HV29" s="44"/>
      <c r="HW29" s="1" t="s">
        <v>221</v>
      </c>
      <c r="HX29" s="63">
        <f t="shared" ref="HX29" ca="1" si="1294">HT$29+HX27</f>
        <v>96740.76881974253</v>
      </c>
      <c r="HY29" s="44"/>
      <c r="HZ29" s="44"/>
      <c r="IA29" s="1" t="s">
        <v>221</v>
      </c>
      <c r="IB29" s="63">
        <f t="shared" ref="IB29" ca="1" si="1295">HX$29+IB27</f>
        <v>139101.48408401205</v>
      </c>
      <c r="IC29" s="44"/>
      <c r="ID29" s="44"/>
      <c r="IE29" s="1" t="s">
        <v>221</v>
      </c>
      <c r="IF29" s="63">
        <f t="shared" ref="IF29" ca="1" si="1296">IB$29+IF27</f>
        <v>185610.5107048497</v>
      </c>
      <c r="IG29" s="44"/>
      <c r="IH29" s="44"/>
      <c r="II29" s="1" t="s">
        <v>221</v>
      </c>
      <c r="IJ29" s="63">
        <f t="shared" ref="IJ29" ca="1" si="1297">IF$29+IJ27</f>
        <v>107868.17921753661</v>
      </c>
      <c r="IK29" s="44"/>
      <c r="IL29" s="44"/>
      <c r="IM29" s="1" t="s">
        <v>221</v>
      </c>
      <c r="IN29" s="63">
        <f t="shared" ref="IN29" ca="1" si="1298">IJ$29+IN27</f>
        <v>158501.05879027839</v>
      </c>
      <c r="IO29" s="44"/>
      <c r="IP29" s="44"/>
      <c r="IQ29" s="1" t="s">
        <v>221</v>
      </c>
      <c r="IR29" s="63">
        <f t="shared" ref="IR29" ca="1" si="1299">IN$29+IR27</f>
        <v>202650.4494327642</v>
      </c>
      <c r="IS29" s="44"/>
      <c r="IT29" s="44"/>
      <c r="IU29" s="1" t="s">
        <v>221</v>
      </c>
      <c r="IV29" s="63">
        <f t="shared" ref="IV29" ca="1" si="1300">IR$29+IV27</f>
        <v>108178.24049512256</v>
      </c>
      <c r="IW29" s="44"/>
      <c r="IX29" s="44"/>
      <c r="IY29" s="1" t="s">
        <v>221</v>
      </c>
      <c r="IZ29" s="63">
        <f t="shared" ref="IZ29" ca="1" si="1301">IV$29+IZ27</f>
        <v>161306.87399011297</v>
      </c>
      <c r="JA29" s="44"/>
      <c r="JB29" s="44"/>
      <c r="JC29" s="1" t="s">
        <v>221</v>
      </c>
      <c r="JD29" s="63">
        <f t="shared" ref="JD29" ca="1" si="1302">IZ$29+JD27</f>
        <v>217115.07283565981</v>
      </c>
      <c r="JE29" s="44"/>
      <c r="JF29" s="44"/>
      <c r="JG29" s="1" t="s">
        <v>221</v>
      </c>
      <c r="JH29" s="63">
        <f t="shared" ref="JH29" ca="1" si="1303">JD$29+JH27</f>
        <v>117928.56024644595</v>
      </c>
      <c r="JI29" s="44"/>
      <c r="JJ29" s="44"/>
      <c r="JK29" s="1" t="s">
        <v>221</v>
      </c>
      <c r="JL29" s="63">
        <f t="shared" ref="JL29" ca="1" si="1304">JH$29+JL27</f>
        <v>165505.57570098806</v>
      </c>
      <c r="JM29" s="44"/>
      <c r="JN29" s="44"/>
      <c r="JO29" s="1" t="s">
        <v>221</v>
      </c>
      <c r="JP29" s="63">
        <f t="shared" ref="JP29" ca="1" si="1305">JL$29+JP27</f>
        <v>222058.15831725497</v>
      </c>
      <c r="JQ29" s="44"/>
      <c r="JR29" s="44"/>
      <c r="JS29" s="1" t="s">
        <v>221</v>
      </c>
      <c r="JT29" s="63">
        <f t="shared" ref="JT29" ca="1" si="1306">JP$29+JT27</f>
        <v>84301.230190467642</v>
      </c>
      <c r="JU29" s="44"/>
      <c r="JV29" s="44"/>
      <c r="JW29" s="1" t="s">
        <v>221</v>
      </c>
      <c r="JX29" s="63">
        <f t="shared" ref="JX29" ca="1" si="1307">JT$29+JX27</f>
        <v>132993.25256880908</v>
      </c>
      <c r="JY29" s="44"/>
      <c r="JZ29" s="44"/>
      <c r="KA29" s="1" t="s">
        <v>221</v>
      </c>
      <c r="KB29" s="63">
        <f t="shared" ref="KB29" ca="1" si="1308">JX$29+KB27</f>
        <v>195083.01512692712</v>
      </c>
      <c r="KC29" s="44"/>
    </row>
    <row r="30" spans="1:289" x14ac:dyDescent="0.25">
      <c r="K30" s="37"/>
      <c r="N30" s="44"/>
      <c r="O30" s="37"/>
      <c r="R30" s="44"/>
      <c r="S30" s="37"/>
      <c r="V30" s="44"/>
      <c r="W30" s="37"/>
      <c r="Z30" s="44"/>
      <c r="AA30" s="37"/>
      <c r="AD30" s="44"/>
      <c r="AE30" s="37"/>
      <c r="AH30" s="44"/>
      <c r="AI30" s="37"/>
      <c r="AL30" s="44"/>
      <c r="AM30" s="37"/>
      <c r="AP30" s="44"/>
      <c r="AQ30" s="37"/>
      <c r="AT30" s="44"/>
      <c r="AU30" s="37"/>
      <c r="AX30" s="44"/>
      <c r="AY30" s="37"/>
      <c r="BB30" s="44"/>
      <c r="BC30" s="37"/>
      <c r="BF30" s="44"/>
      <c r="BG30" s="37"/>
      <c r="BJ30" s="44"/>
      <c r="BK30" s="37"/>
      <c r="BN30" s="44"/>
      <c r="BO30" s="37"/>
      <c r="BR30" s="44"/>
      <c r="BS30" s="37"/>
      <c r="BV30" s="44"/>
      <c r="BW30" s="37"/>
      <c r="BZ30" s="44"/>
      <c r="CA30" s="37"/>
      <c r="CD30" s="44"/>
      <c r="CE30" s="37"/>
      <c r="CH30" s="44"/>
      <c r="CI30" s="37"/>
      <c r="CL30" s="44"/>
      <c r="CM30" s="37"/>
      <c r="CP30" s="44"/>
      <c r="CQ30" s="37"/>
      <c r="CT30" s="44"/>
      <c r="CU30" s="37"/>
      <c r="CX30" s="44"/>
      <c r="CY30" s="37"/>
      <c r="DB30" s="44"/>
      <c r="DC30" s="37"/>
      <c r="DF30" s="44"/>
      <c r="DG30" s="37"/>
      <c r="DJ30" s="44"/>
      <c r="DK30" s="37"/>
      <c r="DN30" s="44"/>
      <c r="DO30" s="37"/>
      <c r="DR30" s="44"/>
      <c r="DS30" s="37"/>
      <c r="DV30" s="44"/>
      <c r="DW30" s="37"/>
      <c r="DZ30" s="44"/>
      <c r="EA30" s="37"/>
      <c r="ED30" s="44"/>
      <c r="EE30" s="37"/>
      <c r="EH30" s="44"/>
      <c r="EI30" s="37"/>
      <c r="EL30" s="44"/>
      <c r="EM30" s="37"/>
      <c r="EP30" s="44"/>
      <c r="EQ30" s="37"/>
      <c r="ET30" s="44"/>
      <c r="EU30" s="37"/>
      <c r="EX30" s="44"/>
      <c r="EY30" s="37"/>
      <c r="FB30" s="44"/>
      <c r="FC30" s="37"/>
      <c r="FF30" s="44"/>
      <c r="FG30" s="37"/>
      <c r="FJ30" s="44"/>
      <c r="FK30" s="37"/>
      <c r="FN30" s="44"/>
      <c r="FO30" s="37"/>
      <c r="FR30" s="44"/>
      <c r="FS30" s="37"/>
      <c r="FV30" s="44"/>
      <c r="FW30" s="37"/>
      <c r="FZ30" s="44"/>
      <c r="GA30" s="37"/>
      <c r="GD30" s="44"/>
      <c r="GE30" s="37"/>
      <c r="GH30" s="44"/>
      <c r="GI30" s="37"/>
      <c r="GL30" s="44"/>
      <c r="GM30" s="37"/>
      <c r="GP30" s="44"/>
      <c r="GQ30" s="37"/>
      <c r="GT30" s="44"/>
      <c r="GU30" s="37"/>
      <c r="GX30" s="44"/>
      <c r="GY30" s="37"/>
      <c r="HB30" s="44"/>
      <c r="HC30" s="37"/>
      <c r="HF30" s="44"/>
      <c r="HG30" s="37"/>
      <c r="HJ30" s="44"/>
      <c r="HK30" s="37"/>
      <c r="HN30" s="44"/>
      <c r="HO30" s="37"/>
      <c r="HR30" s="44"/>
      <c r="HS30" s="37"/>
      <c r="HV30" s="44"/>
      <c r="HW30" s="37"/>
      <c r="HZ30" s="44"/>
      <c r="IA30" s="37"/>
      <c r="ID30" s="44"/>
      <c r="IE30" s="37"/>
      <c r="IH30" s="44"/>
      <c r="II30" s="37"/>
      <c r="IL30" s="44"/>
      <c r="IM30" s="37"/>
      <c r="IP30" s="44"/>
      <c r="IQ30" s="37"/>
      <c r="IT30" s="44"/>
      <c r="IU30" s="37"/>
      <c r="IX30" s="44"/>
      <c r="IY30" s="37"/>
      <c r="JB30" s="44"/>
      <c r="JC30" s="37"/>
      <c r="JF30" s="44"/>
      <c r="JG30" s="37"/>
      <c r="JJ30" s="44"/>
      <c r="JK30" s="37"/>
      <c r="JN30" s="44"/>
      <c r="JO30" s="37"/>
      <c r="JR30" s="44"/>
      <c r="JS30" s="37"/>
      <c r="JV30" s="44"/>
      <c r="JW30" s="37"/>
      <c r="JZ30" s="44"/>
      <c r="KA30" s="37"/>
    </row>
    <row r="31" spans="1:289" x14ac:dyDescent="0.25">
      <c r="C31" s="1" t="s">
        <v>311</v>
      </c>
      <c r="D31" s="19">
        <f ca="1">D$27-D15</f>
        <v>-164043.68140592525</v>
      </c>
      <c r="G31" s="1" t="s">
        <v>311</v>
      </c>
      <c r="H31" s="19">
        <f ca="1">H$27-H15</f>
        <v>10735.188559312728</v>
      </c>
      <c r="K31" s="1" t="s">
        <v>311</v>
      </c>
      <c r="L31" s="19">
        <f ca="1">L$27-L15</f>
        <v>10231.817803926342</v>
      </c>
      <c r="N31" s="44"/>
      <c r="O31" s="1" t="s">
        <v>311</v>
      </c>
      <c r="P31" s="19">
        <f t="shared" ref="P31" ca="1" si="1309">P$27-P15</f>
        <v>-14925.833425441886</v>
      </c>
      <c r="R31" s="44"/>
      <c r="S31" s="1" t="s">
        <v>311</v>
      </c>
      <c r="T31" s="19">
        <f t="shared" ref="T31" ca="1" si="1310">T$27-T15</f>
        <v>14657.303391143347</v>
      </c>
      <c r="V31" s="44"/>
      <c r="W31" s="1" t="s">
        <v>311</v>
      </c>
      <c r="X31" s="19">
        <f t="shared" ref="X31" ca="1" si="1311">X$27-X15</f>
        <v>11032.79452907164</v>
      </c>
      <c r="Z31" s="44"/>
      <c r="AA31" s="1" t="s">
        <v>311</v>
      </c>
      <c r="AB31" s="19">
        <f t="shared" ref="AB31" ca="1" si="1312">AB$27-AB15</f>
        <v>-16799.926136686419</v>
      </c>
      <c r="AD31" s="44"/>
      <c r="AE31" s="1" t="s">
        <v>311</v>
      </c>
      <c r="AF31" s="19">
        <f t="shared" ref="AF31" ca="1" si="1313">AF$27-AF15</f>
        <v>15683.54344525892</v>
      </c>
      <c r="AH31" s="44"/>
      <c r="AI31" s="1" t="s">
        <v>311</v>
      </c>
      <c r="AJ31" s="19">
        <f t="shared" ref="AJ31" ca="1" si="1314">AJ$27-AJ15</f>
        <v>13323.006061224596</v>
      </c>
      <c r="AL31" s="44"/>
      <c r="AM31" s="1" t="s">
        <v>311</v>
      </c>
      <c r="AN31" s="19">
        <f t="shared" ref="AN31" ca="1" si="1315">AN$27-AN15</f>
        <v>-14248.563239816385</v>
      </c>
      <c r="AP31" s="44"/>
      <c r="AQ31" s="1" t="s">
        <v>311</v>
      </c>
      <c r="AR31" s="19">
        <f t="shared" ref="AR31" ca="1" si="1316">AR$27-AR15</f>
        <v>20021.502978277615</v>
      </c>
      <c r="AT31" s="44"/>
      <c r="AU31" s="1" t="s">
        <v>311</v>
      </c>
      <c r="AV31" s="19">
        <f t="shared" ref="AV31" ca="1" si="1317">AV$27-AV15</f>
        <v>20738.786588832896</v>
      </c>
      <c r="AX31" s="44"/>
      <c r="AY31" s="1" t="s">
        <v>311</v>
      </c>
      <c r="AZ31" s="19">
        <f t="shared" ref="AZ31" ca="1" si="1318">AZ$27-AZ15</f>
        <v>-7633.2980632651206</v>
      </c>
      <c r="BB31" s="44"/>
      <c r="BC31" s="1" t="s">
        <v>311</v>
      </c>
      <c r="BD31" s="19">
        <f t="shared" ref="BD31" ca="1" si="1319">BD$27-BD15</f>
        <v>16116.304597607339</v>
      </c>
      <c r="BF31" s="44"/>
      <c r="BG31" s="1" t="s">
        <v>311</v>
      </c>
      <c r="BH31" s="19">
        <f t="shared" ref="BH31" ca="1" si="1320">BH$27-BH15</f>
        <v>17269.527774240982</v>
      </c>
      <c r="BJ31" s="44"/>
      <c r="BK31" s="1" t="s">
        <v>311</v>
      </c>
      <c r="BL31" s="19">
        <f t="shared" ref="BL31" ca="1" si="1321">BL$27-BL15</f>
        <v>-12654.138458762593</v>
      </c>
      <c r="BN31" s="44"/>
      <c r="BO31" s="1" t="s">
        <v>311</v>
      </c>
      <c r="BP31" s="19">
        <f t="shared" ref="BP31" ca="1" si="1322">BP$27-BP15</f>
        <v>20440.382039435292</v>
      </c>
      <c r="BR31" s="44"/>
      <c r="BS31" s="1" t="s">
        <v>311</v>
      </c>
      <c r="BT31" s="19">
        <f t="shared" ref="BT31" ca="1" si="1323">BT$27-BT15</f>
        <v>16831.347856894277</v>
      </c>
      <c r="BV31" s="44"/>
      <c r="BW31" s="1" t="s">
        <v>311</v>
      </c>
      <c r="BX31" s="19">
        <f t="shared" ref="BX31" ca="1" si="1324">BX$27-BX15</f>
        <v>-15666.273731576408</v>
      </c>
      <c r="BZ31" s="44"/>
      <c r="CA31" s="1" t="s">
        <v>311</v>
      </c>
      <c r="CB31" s="19">
        <f t="shared" ref="CB31" ca="1" si="1325">CB$27-CB15</f>
        <v>24904.369553072716</v>
      </c>
      <c r="CD31" s="44"/>
      <c r="CE31" s="1" t="s">
        <v>311</v>
      </c>
      <c r="CF31" s="19">
        <f t="shared" ref="CF31" ca="1" si="1326">CF$27-CF15</f>
        <v>30392.487798181322</v>
      </c>
      <c r="CH31" s="44"/>
      <c r="CI31" s="1" t="s">
        <v>311</v>
      </c>
      <c r="CJ31" s="19">
        <f t="shared" ref="CJ31" ca="1" si="1327">CJ$27-CJ15</f>
        <v>-6189.8474586069324</v>
      </c>
      <c r="CL31" s="44"/>
      <c r="CM31" s="1" t="s">
        <v>311</v>
      </c>
      <c r="CN31" s="19">
        <f t="shared" ref="CN31" ca="1" si="1328">CN$27-CN15</f>
        <v>23896.554190584549</v>
      </c>
      <c r="CP31" s="44"/>
      <c r="CQ31" s="1" t="s">
        <v>311</v>
      </c>
      <c r="CR31" s="19">
        <f t="shared" ref="CR31" ca="1" si="1329">CR$27-CR15</f>
        <v>30678.582365250692</v>
      </c>
      <c r="CT31" s="44"/>
      <c r="CU31" s="1" t="s">
        <v>311</v>
      </c>
      <c r="CV31" s="19">
        <f t="shared" ref="CV31" ca="1" si="1330">CV$27-CV15</f>
        <v>-1893.856582129881</v>
      </c>
      <c r="CX31" s="44"/>
      <c r="CY31" s="1" t="s">
        <v>311</v>
      </c>
      <c r="CZ31" s="19">
        <f t="shared" ref="CZ31" ca="1" si="1331">CZ$27-CZ15</f>
        <v>23809.37359318163</v>
      </c>
      <c r="DB31" s="44"/>
      <c r="DC31" s="1" t="s">
        <v>311</v>
      </c>
      <c r="DD31" s="19">
        <f t="shared" ref="DD31" ca="1" si="1332">DD$27-DD15</f>
        <v>29510.170740642516</v>
      </c>
      <c r="DF31" s="44"/>
      <c r="DG31" s="1" t="s">
        <v>311</v>
      </c>
      <c r="DH31" s="19">
        <f t="shared" ref="DH31" ca="1" si="1333">DH$27-DH15</f>
        <v>-2832.6449677852115</v>
      </c>
      <c r="DJ31" s="44"/>
      <c r="DK31" s="1" t="s">
        <v>311</v>
      </c>
      <c r="DL31" s="19">
        <f t="shared" ref="DL31" ca="1" si="1334">DL$27-DL15</f>
        <v>31678.755372466872</v>
      </c>
      <c r="DN31" s="44"/>
      <c r="DO31" s="1" t="s">
        <v>311</v>
      </c>
      <c r="DP31" s="19">
        <f t="shared" ref="DP31" ca="1" si="1335">DP$27-DP15</f>
        <v>31403.571065970344</v>
      </c>
      <c r="DR31" s="44"/>
      <c r="DS31" s="1" t="s">
        <v>311</v>
      </c>
      <c r="DT31" s="19">
        <f t="shared" ref="DT31" ca="1" si="1336">DT$27-DT15</f>
        <v>-12707.118773119821</v>
      </c>
      <c r="DV31" s="44"/>
      <c r="DW31" s="1" t="s">
        <v>311</v>
      </c>
      <c r="DX31" s="19">
        <f t="shared" ref="DX31" ca="1" si="1337">DX$27-DX15</f>
        <v>30728.254767898903</v>
      </c>
      <c r="DZ31" s="44"/>
      <c r="EA31" s="1" t="s">
        <v>311</v>
      </c>
      <c r="EB31" s="19">
        <f t="shared" ref="EB31" ca="1" si="1338">EB$27-EB15</f>
        <v>32096.400216229751</v>
      </c>
      <c r="ED31" s="44"/>
      <c r="EE31" s="1" t="s">
        <v>311</v>
      </c>
      <c r="EF31" s="19">
        <f t="shared" ref="EF31" ca="1" si="1339">EF$27-EF15</f>
        <v>-37266.40754096493</v>
      </c>
      <c r="EH31" s="44"/>
      <c r="EI31" s="1" t="s">
        <v>311</v>
      </c>
      <c r="EJ31" s="19">
        <f t="shared" ref="EJ31" ca="1" si="1340">EJ$27-EJ15</f>
        <v>36963.991195594048</v>
      </c>
      <c r="EL31" s="44"/>
      <c r="EM31" s="1" t="s">
        <v>311</v>
      </c>
      <c r="EN31" s="19">
        <f t="shared" ref="EN31" ca="1" si="1341">EN$27-EN15</f>
        <v>37939.658197568424</v>
      </c>
      <c r="EP31" s="44"/>
      <c r="EQ31" s="1" t="s">
        <v>311</v>
      </c>
      <c r="ER31" s="19">
        <f t="shared" ref="ER31" ca="1" si="1342">ER$27-ER15</f>
        <v>-55296.471388219339</v>
      </c>
      <c r="ET31" s="44"/>
      <c r="EU31" s="1" t="s">
        <v>311</v>
      </c>
      <c r="EV31" s="19">
        <f t="shared" ref="EV31" ca="1" si="1343">EV$27-EV15</f>
        <v>39233.590347261452</v>
      </c>
      <c r="EX31" s="44"/>
      <c r="EY31" s="1" t="s">
        <v>311</v>
      </c>
      <c r="EZ31" s="19">
        <f t="shared" ref="EZ31" ca="1" si="1344">EZ$27-EZ15</f>
        <v>32643.915058068593</v>
      </c>
      <c r="FB31" s="44"/>
      <c r="FC31" s="1" t="s">
        <v>311</v>
      </c>
      <c r="FD31" s="19">
        <f t="shared" ref="FD31" ca="1" si="1345">FD$27-FD15</f>
        <v>-58666.759404271645</v>
      </c>
      <c r="FF31" s="44"/>
      <c r="FG31" s="1" t="s">
        <v>311</v>
      </c>
      <c r="FH31" s="19">
        <f t="shared" ref="FH31" ca="1" si="1346">FH$27-FH15</f>
        <v>37025.984876036593</v>
      </c>
      <c r="FJ31" s="44"/>
      <c r="FK31" s="1" t="s">
        <v>311</v>
      </c>
      <c r="FL31" s="19">
        <f t="shared" ref="FL31" ca="1" si="1347">FL$27-FL15</f>
        <v>36510.938313928498</v>
      </c>
      <c r="FN31" s="44"/>
      <c r="FO31" s="1" t="s">
        <v>311</v>
      </c>
      <c r="FP31" s="19">
        <f t="shared" ref="FP31" ca="1" si="1348">FP$27-FP15</f>
        <v>-76883.889926487493</v>
      </c>
      <c r="FR31" s="44"/>
      <c r="FS31" s="1" t="s">
        <v>311</v>
      </c>
      <c r="FT31" s="19">
        <f t="shared" ref="FT31" ca="1" si="1349">FT$27-FT15</f>
        <v>30985.312415634635</v>
      </c>
      <c r="FV31" s="44"/>
      <c r="FW31" s="1" t="s">
        <v>311</v>
      </c>
      <c r="FX31" s="19">
        <f t="shared" ref="FX31" ca="1" si="1350">FX$27-FX15</f>
        <v>40301.633490758824</v>
      </c>
      <c r="FZ31" s="44"/>
      <c r="GA31" s="1" t="s">
        <v>311</v>
      </c>
      <c r="GB31" s="19">
        <f t="shared" ref="GB31" ca="1" si="1351">GB$27-GB15</f>
        <v>-113475.60315102943</v>
      </c>
      <c r="GD31" s="44"/>
      <c r="GE31" s="1" t="s">
        <v>311</v>
      </c>
      <c r="GF31" s="19">
        <f t="shared" ref="GF31" ca="1" si="1352">GF$27-GF15</f>
        <v>40356.770736180879</v>
      </c>
      <c r="GH31" s="44"/>
      <c r="GI31" s="1" t="s">
        <v>311</v>
      </c>
      <c r="GJ31" s="19">
        <f t="shared" ref="GJ31" ca="1" si="1353">GJ$27-GJ15</f>
        <v>40485.040784984456</v>
      </c>
      <c r="GL31" s="44"/>
      <c r="GM31" s="1" t="s">
        <v>311</v>
      </c>
      <c r="GN31" s="19">
        <f t="shared" ref="GN31" ca="1" si="1354">GN$27-GN15</f>
        <v>-104417.2413654277</v>
      </c>
      <c r="GP31" s="44"/>
      <c r="GQ31" s="1" t="s">
        <v>311</v>
      </c>
      <c r="GR31" s="19">
        <f t="shared" ref="GR31" ca="1" si="1355">GR$27-GR15</f>
        <v>44739.034916756536</v>
      </c>
      <c r="GT31" s="44"/>
      <c r="GU31" s="1" t="s">
        <v>311</v>
      </c>
      <c r="GV31" s="19">
        <f t="shared" ref="GV31" ca="1" si="1356">GV$27-GV15</f>
        <v>46357.129462047145</v>
      </c>
      <c r="GX31" s="44"/>
      <c r="GY31" s="1" t="s">
        <v>311</v>
      </c>
      <c r="GZ31" s="19">
        <f t="shared" ref="GZ31" ca="1" si="1357">GZ$27-GZ15</f>
        <v>-92636.80862675386</v>
      </c>
      <c r="HB31" s="44"/>
      <c r="HC31" s="1" t="s">
        <v>311</v>
      </c>
      <c r="HD31" s="19">
        <f t="shared" ref="HD31" ca="1" si="1358">HD$27-HD15</f>
        <v>41546.113948546401</v>
      </c>
      <c r="HF31" s="44"/>
      <c r="HG31" s="1" t="s">
        <v>311</v>
      </c>
      <c r="HH31" s="19">
        <f t="shared" ref="HH31" ca="1" si="1359">HH$27-HH15</f>
        <v>49579.777638938867</v>
      </c>
      <c r="HJ31" s="44"/>
      <c r="HK31" s="1" t="s">
        <v>311</v>
      </c>
      <c r="HL31" s="19">
        <f t="shared" ref="HL31" ca="1" si="1360">HL$27-HL15</f>
        <v>-84387.464949469373</v>
      </c>
      <c r="HN31" s="44"/>
      <c r="HO31" s="1" t="s">
        <v>311</v>
      </c>
      <c r="HP31" s="19">
        <f t="shared" ref="HP31" ca="1" si="1361">HP$27-HP15</f>
        <v>54050.649967851408</v>
      </c>
      <c r="HR31" s="44"/>
      <c r="HS31" s="1" t="s">
        <v>311</v>
      </c>
      <c r="HT31" s="19">
        <f t="shared" ref="HT31" ca="1" si="1362">HT$27-HT15</f>
        <v>43341.17425621728</v>
      </c>
      <c r="HV31" s="44"/>
      <c r="HW31" s="1" t="s">
        <v>311</v>
      </c>
      <c r="HX31" s="19">
        <f t="shared" ref="HX31" ca="1" si="1363">HX$27-HX15</f>
        <v>-68307.476812930458</v>
      </c>
      <c r="HZ31" s="44"/>
      <c r="IA31" s="1" t="s">
        <v>311</v>
      </c>
      <c r="IB31" s="19">
        <f t="shared" ref="IB31" ca="1" si="1364">IB$27-IB15</f>
        <v>43577.381930936172</v>
      </c>
      <c r="ID31" s="44"/>
      <c r="IE31" s="1" t="s">
        <v>311</v>
      </c>
      <c r="IF31" s="19">
        <f t="shared" ref="IF31" ca="1" si="1365">IF$27-IF15</f>
        <v>47725.693287504313</v>
      </c>
      <c r="IH31" s="44"/>
      <c r="II31" s="1" t="s">
        <v>311</v>
      </c>
      <c r="IJ31" s="19">
        <f t="shared" ref="IJ31" ca="1" si="1366">IJ$27-IJ15</f>
        <v>-76525.664820646416</v>
      </c>
      <c r="IL31" s="44"/>
      <c r="IM31" s="1" t="s">
        <v>311</v>
      </c>
      <c r="IN31" s="19">
        <f t="shared" ref="IN31" ca="1" si="1367">IN$27-IN15</f>
        <v>51849.546239408453</v>
      </c>
      <c r="IP31" s="44"/>
      <c r="IQ31" s="1" t="s">
        <v>311</v>
      </c>
      <c r="IR31" s="19">
        <f t="shared" ref="IR31" ca="1" si="1368">IR$27-IR15</f>
        <v>45366.057309152471</v>
      </c>
      <c r="IT31" s="44"/>
      <c r="IU31" s="1" t="s">
        <v>311</v>
      </c>
      <c r="IV31" s="19">
        <f t="shared" ref="IV31" ca="1" si="1369">IV$27-IV15</f>
        <v>-93255.542270974969</v>
      </c>
      <c r="IX31" s="44"/>
      <c r="IY31" s="1" t="s">
        <v>311</v>
      </c>
      <c r="IZ31" s="19">
        <f t="shared" ref="IZ31" ca="1" si="1370">IZ$27-IZ15</f>
        <v>54345.300161657062</v>
      </c>
      <c r="JB31" s="44"/>
      <c r="JC31" s="1" t="s">
        <v>311</v>
      </c>
      <c r="JD31" s="19">
        <f t="shared" ref="JD31" ca="1" si="1371">JD$27-JD15</f>
        <v>57024.865512213502</v>
      </c>
      <c r="JF31" s="44"/>
      <c r="JG31" s="1" t="s">
        <v>311</v>
      </c>
      <c r="JH31" s="19">
        <f t="shared" ref="JH31" ca="1" si="1372">JH$27-JH15</f>
        <v>-97969.845922547189</v>
      </c>
      <c r="JJ31" s="44"/>
      <c r="JK31" s="1" t="s">
        <v>311</v>
      </c>
      <c r="JL31" s="19">
        <f t="shared" ref="JL31" ca="1" si="1373">JL$27-JL15</f>
        <v>48793.682121208767</v>
      </c>
      <c r="JN31" s="44"/>
      <c r="JO31" s="1" t="s">
        <v>311</v>
      </c>
      <c r="JP31" s="19">
        <f t="shared" ref="JP31" ca="1" si="1374">JP$27-JP15</f>
        <v>57769.249282933561</v>
      </c>
      <c r="JR31" s="44"/>
      <c r="JS31" s="1" t="s">
        <v>311</v>
      </c>
      <c r="JT31" s="19">
        <f t="shared" ref="JT31" ca="1" si="1375">JT$27-JT15</f>
        <v>-136540.26146012067</v>
      </c>
      <c r="JV31" s="44"/>
      <c r="JW31" s="1" t="s">
        <v>311</v>
      </c>
      <c r="JX31" s="19">
        <f t="shared" ref="JX31" ca="1" si="1376">JX$27-JX15</f>
        <v>49908.68904500809</v>
      </c>
      <c r="JZ31" s="44"/>
      <c r="KA31" s="1" t="s">
        <v>311</v>
      </c>
      <c r="KB31" s="19">
        <f t="shared" ref="KB31" ca="1" si="1377">KB$27-KB15</f>
        <v>63306.429224784712</v>
      </c>
    </row>
    <row r="32" spans="1:289" x14ac:dyDescent="0.25">
      <c r="C32" s="119" t="s">
        <v>1</v>
      </c>
      <c r="D32" s="120"/>
      <c r="E32" s="120"/>
      <c r="F32" s="120"/>
      <c r="G32" s="119" t="s">
        <v>1</v>
      </c>
      <c r="H32" s="119" t="s">
        <v>1</v>
      </c>
      <c r="I32" s="119" t="s">
        <v>1</v>
      </c>
      <c r="J32" s="119" t="s">
        <v>1</v>
      </c>
      <c r="K32" s="119" t="s">
        <v>1</v>
      </c>
      <c r="L32" s="119" t="s">
        <v>1</v>
      </c>
      <c r="M32" s="119" t="s">
        <v>1</v>
      </c>
      <c r="N32" s="119" t="s">
        <v>1</v>
      </c>
      <c r="O32" s="119" t="s">
        <v>1</v>
      </c>
      <c r="P32" s="119" t="s">
        <v>1</v>
      </c>
      <c r="Q32" s="119" t="s">
        <v>1</v>
      </c>
      <c r="R32" s="119" t="s">
        <v>1</v>
      </c>
      <c r="S32" s="119" t="s">
        <v>1</v>
      </c>
      <c r="T32" s="119" t="s">
        <v>1</v>
      </c>
      <c r="U32" s="119" t="s">
        <v>1</v>
      </c>
      <c r="V32" s="119" t="s">
        <v>1</v>
      </c>
      <c r="W32" s="119" t="s">
        <v>1</v>
      </c>
      <c r="X32" s="119" t="s">
        <v>1</v>
      </c>
      <c r="Y32" s="119" t="s">
        <v>1</v>
      </c>
      <c r="Z32" s="119" t="s">
        <v>1</v>
      </c>
      <c r="AA32" s="119" t="s">
        <v>1</v>
      </c>
      <c r="AB32" s="119" t="s">
        <v>1</v>
      </c>
      <c r="AC32" s="119" t="s">
        <v>1</v>
      </c>
      <c r="AD32" s="119" t="s">
        <v>1</v>
      </c>
      <c r="AE32" s="119" t="s">
        <v>1</v>
      </c>
      <c r="AF32" s="119" t="s">
        <v>1</v>
      </c>
      <c r="AG32" s="119" t="s">
        <v>1</v>
      </c>
      <c r="AH32" s="119" t="s">
        <v>1</v>
      </c>
      <c r="AI32" s="119" t="s">
        <v>1</v>
      </c>
      <c r="AJ32" s="119" t="s">
        <v>1</v>
      </c>
      <c r="AK32" s="119" t="s">
        <v>1</v>
      </c>
      <c r="AL32" s="119" t="s">
        <v>1</v>
      </c>
      <c r="AM32" s="119" t="s">
        <v>1</v>
      </c>
      <c r="AN32" s="119" t="s">
        <v>1</v>
      </c>
      <c r="AO32" s="119" t="s">
        <v>1</v>
      </c>
      <c r="AP32" s="119" t="s">
        <v>1</v>
      </c>
      <c r="AQ32" s="119" t="s">
        <v>1</v>
      </c>
      <c r="AR32" s="119" t="s">
        <v>1</v>
      </c>
      <c r="AS32" s="119" t="s">
        <v>1</v>
      </c>
      <c r="AT32" s="119" t="s">
        <v>1</v>
      </c>
      <c r="AU32" s="119" t="s">
        <v>1</v>
      </c>
      <c r="AV32" s="119" t="s">
        <v>1</v>
      </c>
      <c r="AW32" s="119" t="s">
        <v>1</v>
      </c>
      <c r="AX32" s="119" t="s">
        <v>1</v>
      </c>
      <c r="AY32" s="119" t="s">
        <v>1</v>
      </c>
      <c r="AZ32" s="119" t="s">
        <v>1</v>
      </c>
      <c r="BA32" s="119" t="s">
        <v>1</v>
      </c>
      <c r="BB32" s="119" t="s">
        <v>1</v>
      </c>
      <c r="BC32" s="119" t="s">
        <v>1</v>
      </c>
      <c r="BD32" s="119" t="s">
        <v>1</v>
      </c>
      <c r="BE32" s="119" t="s">
        <v>1</v>
      </c>
      <c r="BF32" s="119" t="s">
        <v>1</v>
      </c>
      <c r="BG32" s="119" t="s">
        <v>1</v>
      </c>
      <c r="BH32" s="119" t="s">
        <v>1</v>
      </c>
      <c r="BI32" s="119" t="s">
        <v>1</v>
      </c>
      <c r="BJ32" s="119" t="s">
        <v>1</v>
      </c>
      <c r="BK32" s="119" t="s">
        <v>1</v>
      </c>
      <c r="BL32" s="119" t="s">
        <v>1</v>
      </c>
      <c r="BM32" s="119" t="s">
        <v>1</v>
      </c>
      <c r="BN32" s="119" t="s">
        <v>1</v>
      </c>
      <c r="BO32" s="119" t="s">
        <v>1</v>
      </c>
      <c r="BP32" s="119" t="s">
        <v>1</v>
      </c>
      <c r="BQ32" s="119" t="s">
        <v>1</v>
      </c>
      <c r="BR32" s="119" t="s">
        <v>1</v>
      </c>
      <c r="BS32" s="119" t="s">
        <v>1</v>
      </c>
      <c r="BT32" s="119" t="s">
        <v>1</v>
      </c>
      <c r="BU32" s="119" t="s">
        <v>1</v>
      </c>
      <c r="BV32" s="119" t="s">
        <v>1</v>
      </c>
      <c r="BW32" s="119" t="s">
        <v>1</v>
      </c>
      <c r="BX32" s="119" t="s">
        <v>1</v>
      </c>
      <c r="BY32" s="119" t="s">
        <v>1</v>
      </c>
      <c r="BZ32" s="119" t="s">
        <v>1</v>
      </c>
      <c r="CA32" s="119" t="s">
        <v>1</v>
      </c>
      <c r="CB32" s="119" t="s">
        <v>1</v>
      </c>
      <c r="CC32" s="119" t="s">
        <v>1</v>
      </c>
      <c r="CD32" s="119" t="s">
        <v>1</v>
      </c>
      <c r="CE32" s="119" t="s">
        <v>1</v>
      </c>
      <c r="CF32" s="119" t="s">
        <v>1</v>
      </c>
      <c r="CG32" s="119" t="s">
        <v>1</v>
      </c>
      <c r="CH32" s="119" t="s">
        <v>1</v>
      </c>
      <c r="CI32" s="119" t="s">
        <v>1</v>
      </c>
      <c r="CJ32" s="119" t="s">
        <v>1</v>
      </c>
      <c r="CK32" s="119" t="s">
        <v>1</v>
      </c>
      <c r="CL32" s="119" t="s">
        <v>1</v>
      </c>
      <c r="CM32" s="119" t="s">
        <v>1</v>
      </c>
      <c r="CN32" s="119" t="s">
        <v>1</v>
      </c>
      <c r="CO32" s="119" t="s">
        <v>1</v>
      </c>
      <c r="CP32" s="119" t="s">
        <v>1</v>
      </c>
      <c r="CQ32" s="119" t="s">
        <v>1</v>
      </c>
      <c r="CR32" s="119" t="s">
        <v>1</v>
      </c>
      <c r="CS32" s="119" t="s">
        <v>1</v>
      </c>
      <c r="CT32" s="119" t="s">
        <v>1</v>
      </c>
      <c r="CU32" s="119" t="s">
        <v>1</v>
      </c>
      <c r="CV32" s="119" t="s">
        <v>1</v>
      </c>
      <c r="CW32" s="119" t="s">
        <v>1</v>
      </c>
    </row>
    <row r="33" spans="1:288" s="19" customFormat="1" x14ac:dyDescent="0.3">
      <c r="C33" s="1" t="s">
        <v>242</v>
      </c>
      <c r="G33" s="19" t="s">
        <v>317</v>
      </c>
      <c r="H33" s="19">
        <f ca="1">H31/(1+$C$34)^G1</f>
        <v>10570.292004049554</v>
      </c>
      <c r="K33" s="19" t="s">
        <v>317</v>
      </c>
      <c r="L33" s="19">
        <f ca="1">L31/(1+$C$34)^K1</f>
        <v>9919.9027311847167</v>
      </c>
      <c r="O33" s="19" t="s">
        <v>317</v>
      </c>
      <c r="P33" s="19">
        <f t="shared" ref="P33" ca="1" si="1378">P31/(1+$C$34)^O1</f>
        <v>-14248.544855187563</v>
      </c>
      <c r="S33" s="19" t="s">
        <v>317</v>
      </c>
      <c r="T33" s="19">
        <f t="shared" ref="T33" ca="1" si="1379">T31/(1+$C$34)^S1</f>
        <v>13777.274409953263</v>
      </c>
      <c r="W33" s="19" t="s">
        <v>317</v>
      </c>
      <c r="X33" s="19">
        <f t="shared" ref="X33" ca="1" si="1380">X31/(1+$C$34)^W1</f>
        <v>10211.089177994858</v>
      </c>
      <c r="AA33" s="19" t="s">
        <v>317</v>
      </c>
      <c r="AB33" s="19">
        <f t="shared" ref="AB33" ca="1" si="1381">AB31/(1+$C$34)^AA1</f>
        <v>-15309.859990901914</v>
      </c>
      <c r="AE33" s="19" t="s">
        <v>317</v>
      </c>
      <c r="AF33" s="19">
        <f t="shared" ref="AF33" ca="1" si="1382">AF31/(1+$C$34)^AE1</f>
        <v>14072.956521078037</v>
      </c>
      <c r="AI33" s="19" t="s">
        <v>317</v>
      </c>
      <c r="AJ33" s="19">
        <f t="shared" ref="AJ33" ca="1" si="1383">AJ31/(1+$C$34)^AI1</f>
        <v>11771.198622056863</v>
      </c>
      <c r="AM33" s="19" t="s">
        <v>317</v>
      </c>
      <c r="AN33" s="19">
        <f t="shared" ref="AN33" ca="1" si="1384">AN31/(1+$C$34)^AM1</f>
        <v>-12395.579767778951</v>
      </c>
      <c r="AQ33" s="19" t="s">
        <v>317</v>
      </c>
      <c r="AR33" s="19">
        <f t="shared" ref="AR33" ca="1" si="1385">AR31/(1+$C$34)^AQ1</f>
        <v>17150.22231369076</v>
      </c>
      <c r="AU33" s="19" t="s">
        <v>317</v>
      </c>
      <c r="AV33" s="19">
        <f t="shared" ref="AV33" ca="1" si="1386">AV31/(1+$C$34)^AU1</f>
        <v>17491.768798651814</v>
      </c>
      <c r="AY33" s="19" t="s">
        <v>317</v>
      </c>
      <c r="AZ33" s="19">
        <f t="shared" ref="AZ33" ca="1" si="1387">AZ31/(1+$C$34)^AY1</f>
        <v>-6339.2797073560823</v>
      </c>
      <c r="BC33" s="19" t="s">
        <v>317</v>
      </c>
      <c r="BD33" s="19">
        <f t="shared" ref="BD33" ca="1" si="1388">BD31/(1+$C$34)^BC1</f>
        <v>13178.636169507154</v>
      </c>
      <c r="BG33" s="19" t="s">
        <v>317</v>
      </c>
      <c r="BH33" s="19">
        <f t="shared" ref="BH33" ca="1" si="1389">BH31/(1+$C$34)^BG1</f>
        <v>13904.736760233563</v>
      </c>
      <c r="BK33" s="19" t="s">
        <v>317</v>
      </c>
      <c r="BL33" s="19">
        <f t="shared" ref="BL33" ca="1" si="1390">BL31/(1+$C$34)^BK1</f>
        <v>-10032.108004544716</v>
      </c>
      <c r="BO33" s="19" t="s">
        <v>317</v>
      </c>
      <c r="BP33" s="19">
        <f t="shared" ref="BP33" ca="1" si="1391">BP31/(1+$C$34)^BO1</f>
        <v>15956.070020159021</v>
      </c>
      <c r="BS33" s="19" t="s">
        <v>317</v>
      </c>
      <c r="BT33" s="19">
        <f t="shared" ref="BT33" ca="1" si="1392">BT31/(1+$C$34)^BS1</f>
        <v>12936.986599900374</v>
      </c>
      <c r="BW33" s="19" t="s">
        <v>317</v>
      </c>
      <c r="BX33" s="19">
        <f t="shared" ref="BX33" ca="1" si="1393">BX31/(1+$C$34)^BW1</f>
        <v>-11856.520346829369</v>
      </c>
      <c r="CA33" s="19" t="s">
        <v>317</v>
      </c>
      <c r="CB33" s="19">
        <f t="shared" ref="CB33" ca="1" si="1394">CB31/(1+$C$34)^CA1</f>
        <v>18558.565342522972</v>
      </c>
      <c r="CE33" s="19" t="s">
        <v>317</v>
      </c>
      <c r="CF33" s="19">
        <f t="shared" ref="CF33" ca="1" si="1395">CF31/(1+$C$34)^CE1</f>
        <v>22300.387366390052</v>
      </c>
      <c r="CI33" s="19" t="s">
        <v>317</v>
      </c>
      <c r="CJ33" s="19">
        <f t="shared" ref="CJ33" ca="1" si="1396">CJ31/(1+$C$34)^CI1</f>
        <v>-4472.0166337528017</v>
      </c>
      <c r="CM33" s="19" t="s">
        <v>317</v>
      </c>
      <c r="CN33" s="19">
        <f t="shared" ref="CN33" ca="1" si="1397">CN31/(1+$C$34)^CM1</f>
        <v>16999.496292297983</v>
      </c>
      <c r="CQ33" s="19" t="s">
        <v>317</v>
      </c>
      <c r="CR33" s="19">
        <f t="shared" ref="CR33" ca="1" si="1398">CR31/(1+$C$34)^CQ1</f>
        <v>21488.859515866698</v>
      </c>
      <c r="CU33" s="19" t="s">
        <v>317</v>
      </c>
      <c r="CV33" s="19">
        <f t="shared" ref="CV33" ca="1" si="1399">CV31/(1+$C$34)^CU1</f>
        <v>-1306.1783314147738</v>
      </c>
      <c r="CY33" s="19" t="s">
        <v>317</v>
      </c>
      <c r="CZ33" s="19">
        <f t="shared" ref="CZ33" ca="1" si="1400">CZ31/(1+$C$34)^CY1</f>
        <v>16168.907054794316</v>
      </c>
      <c r="DC33" s="19" t="s">
        <v>317</v>
      </c>
      <c r="DD33" s="19">
        <f t="shared" ref="DD33" ca="1" si="1401">DD31/(1+$C$34)^DC1</f>
        <v>19732.482440780765</v>
      </c>
      <c r="DG33" s="19" t="s">
        <v>317</v>
      </c>
      <c r="DH33" s="19">
        <f t="shared" ref="DH33" ca="1" si="1402">DH31/(1+$C$34)^DG1</f>
        <v>-1865.0026609126605</v>
      </c>
      <c r="DK33" s="19" t="s">
        <v>317</v>
      </c>
      <c r="DL33" s="19">
        <f t="shared" ref="DL33" ca="1" si="1403">DL31/(1+$C$34)^DK1</f>
        <v>20536.797867141551</v>
      </c>
      <c r="DO33" s="19" t="s">
        <v>317</v>
      </c>
      <c r="DP33" s="19">
        <f t="shared" ref="DP33" ca="1" si="1404">DP31/(1+$C$34)^DO1</f>
        <v>20045.687835241264</v>
      </c>
      <c r="DS33" s="19" t="s">
        <v>317</v>
      </c>
      <c r="DT33" s="19">
        <f t="shared" ref="DT33" ca="1" si="1405">DT31/(1+$C$34)^DS1</f>
        <v>-7986.6807208979762</v>
      </c>
      <c r="DW33" s="19" t="s">
        <v>317</v>
      </c>
      <c r="DX33" s="19">
        <f t="shared" ref="DX33" ca="1" si="1406">DX31/(1+$C$34)^DW1</f>
        <v>19016.668532886812</v>
      </c>
      <c r="EA33" s="19" t="s">
        <v>317</v>
      </c>
      <c r="EB33" s="19">
        <f t="shared" ref="EB33" ca="1" si="1407">EB31/(1+$C$34)^EA1</f>
        <v>19558.258245780784</v>
      </c>
      <c r="EE33" s="19" t="s">
        <v>317</v>
      </c>
      <c r="EF33" s="19">
        <f t="shared" ref="EF33" ca="1" si="1408">EF31/(1+$C$34)^EE1</f>
        <v>-22359.839734412984</v>
      </c>
      <c r="EI33" s="19" t="s">
        <v>317</v>
      </c>
      <c r="EJ33" s="19">
        <f t="shared" ref="EJ33" ca="1" si="1409">EJ31/(1+$C$34)^EI1</f>
        <v>21837.721510498795</v>
      </c>
      <c r="EM33" s="19" t="s">
        <v>317</v>
      </c>
      <c r="EN33" s="19">
        <f t="shared" ref="EN33" ca="1" si="1410">EN31/(1+$C$34)^EM1</f>
        <v>22069.840113989863</v>
      </c>
      <c r="EQ33" s="19" t="s">
        <v>317</v>
      </c>
      <c r="ER33" s="19">
        <f t="shared" ref="ER33" ca="1" si="1411">ER31/(1+$C$34)^EQ1</f>
        <v>-31672.365421463084</v>
      </c>
      <c r="EU33" s="19" t="s">
        <v>317</v>
      </c>
      <c r="EV33" s="19">
        <f t="shared" ref="EV33" ca="1" si="1412">EV31/(1+$C$34)^EU1</f>
        <v>22126.791405435768</v>
      </c>
      <c r="EY33" s="19" t="s">
        <v>317</v>
      </c>
      <c r="EZ33" s="19">
        <f t="shared" ref="EZ33" ca="1" si="1413">EZ31/(1+$C$34)^EY1</f>
        <v>18127.58438429976</v>
      </c>
      <c r="FC33" s="19" t="s">
        <v>317</v>
      </c>
      <c r="FD33" s="19">
        <f t="shared" ref="FD33" ca="1" si="1414">FD31/(1+$C$34)^FC1</f>
        <v>-32077.986755675553</v>
      </c>
      <c r="FG33" s="19" t="s">
        <v>317</v>
      </c>
      <c r="FH33" s="19">
        <f t="shared" ref="FH33" ca="1" si="1415">FH31/(1+$C$34)^FG1</f>
        <v>19934.205512973542</v>
      </c>
      <c r="FK33" s="19" t="s">
        <v>317</v>
      </c>
      <c r="FL33" s="19">
        <f t="shared" ref="FL33" ca="1" si="1416">FL31/(1+$C$34)^FK1</f>
        <v>19354.97496845826</v>
      </c>
      <c r="FO33" s="19" t="s">
        <v>317</v>
      </c>
      <c r="FP33" s="19">
        <f t="shared" ref="FP33" ca="1" si="1417">FP31/(1+$C$34)^FO1</f>
        <v>-40131.211978405729</v>
      </c>
      <c r="FS33" s="19" t="s">
        <v>317</v>
      </c>
      <c r="FT33" s="19">
        <f t="shared" ref="FT33" ca="1" si="1418">FT31/(1+$C$34)^FS1</f>
        <v>15925.024703307085</v>
      </c>
      <c r="FW33" s="19" t="s">
        <v>317</v>
      </c>
      <c r="FX33" s="19">
        <f t="shared" ref="FX33" ca="1" si="1419">FX31/(1+$C$34)^FW1</f>
        <v>20395.022665019198</v>
      </c>
      <c r="GA33" s="19" t="s">
        <v>317</v>
      </c>
      <c r="GB33" s="19">
        <f t="shared" ref="GB33" ca="1" si="1420">GB31/(1+$C$34)^GA1</f>
        <v>-56543.325959418544</v>
      </c>
      <c r="GE33" s="19" t="s">
        <v>317</v>
      </c>
      <c r="GF33" s="19">
        <f t="shared" ref="GF33" ca="1" si="1421">GF31/(1+$C$34)^GE1</f>
        <v>19800.336287362657</v>
      </c>
      <c r="GI33" s="19" t="s">
        <v>317</v>
      </c>
      <c r="GJ33" s="19">
        <f t="shared" ref="GJ33" ca="1" si="1422">GJ31/(1+$C$34)^GI1</f>
        <v>19558.162386505894</v>
      </c>
      <c r="GM33" s="19" t="s">
        <v>317</v>
      </c>
      <c r="GN33" s="19">
        <f t="shared" ref="GN33" ca="1" si="1423">GN31/(1+$C$34)^GM1</f>
        <v>-49668.722461803547</v>
      </c>
      <c r="GQ33" s="19" t="s">
        <v>317</v>
      </c>
      <c r="GR33" s="19">
        <f t="shared" ref="GR33" ca="1" si="1424">GR31/(1+$C$34)^GQ1</f>
        <v>20954.374124464794</v>
      </c>
      <c r="GU33" s="19" t="s">
        <v>317</v>
      </c>
      <c r="GV33" s="19">
        <f t="shared" ref="GV33" ca="1" si="1425">GV31/(1+$C$34)^GU1</f>
        <v>21378.731137182465</v>
      </c>
      <c r="GY33" s="19" t="s">
        <v>317</v>
      </c>
      <c r="GZ33" s="19">
        <f t="shared" ref="GZ33" ca="1" si="1426">GZ31/(1+$C$34)^GY1</f>
        <v>-42065.522020119213</v>
      </c>
      <c r="HC33" s="19" t="s">
        <v>317</v>
      </c>
      <c r="HD33" s="19">
        <f t="shared" ref="HD33" ca="1" si="1427">HD31/(1+$C$34)^HC1</f>
        <v>18575.923480878577</v>
      </c>
      <c r="HG33" s="19" t="s">
        <v>317</v>
      </c>
      <c r="HH33" s="19">
        <f t="shared" ref="HH33" ca="1" si="1428">HH31/(1+$C$34)^HG1</f>
        <v>21827.394006688912</v>
      </c>
      <c r="HK33" s="19" t="s">
        <v>317</v>
      </c>
      <c r="HL33" s="19">
        <f t="shared" ref="HL33" ca="1" si="1429">HL31/(1+$C$34)^HK1</f>
        <v>-36580.746321558181</v>
      </c>
      <c r="HO33" s="19" t="s">
        <v>317</v>
      </c>
      <c r="HP33" s="19">
        <f t="shared" ref="HP33" ca="1" si="1430">HP31/(1+$C$34)^HO1</f>
        <v>23070.279159604539</v>
      </c>
      <c r="HS33" s="19" t="s">
        <v>317</v>
      </c>
      <c r="HT33" s="19">
        <f t="shared" ref="HT33" ca="1" si="1431">HT31/(1+$C$34)^HS1</f>
        <v>18215.030816583727</v>
      </c>
      <c r="HW33" s="19" t="s">
        <v>317</v>
      </c>
      <c r="HX33" s="19">
        <f t="shared" ref="HX33" ca="1" si="1432">HX31/(1+$C$34)^HW1</f>
        <v>-28266.67905516435</v>
      </c>
      <c r="IA33" s="19" t="s">
        <v>317</v>
      </c>
      <c r="IB33" s="19">
        <f t="shared" ref="IB33" ca="1" si="1433">IB31/(1+$C$34)^IA1</f>
        <v>17755.99390118368</v>
      </c>
      <c r="IE33" s="19" t="s">
        <v>317</v>
      </c>
      <c r="IF33" s="19">
        <f t="shared" ref="IF33" ca="1" si="1434">IF31/(1+$C$34)^IE1</f>
        <v>19147.558540996157</v>
      </c>
      <c r="II33" s="19" t="s">
        <v>317</v>
      </c>
      <c r="IJ33" s="19">
        <f t="shared" ref="IJ33" ca="1" si="1435">IJ31/(1+$C$34)^II1</f>
        <v>-30230.517322135227</v>
      </c>
      <c r="IM33" s="19" t="s">
        <v>317</v>
      </c>
      <c r="IN33" s="19">
        <f t="shared" ref="IN33" ca="1" si="1436">IN31/(1+$C$34)^IM1</f>
        <v>20167.902620869907</v>
      </c>
      <c r="IQ33" s="19" t="s">
        <v>317</v>
      </c>
      <c r="IR33" s="19">
        <f t="shared" ref="IR33" ca="1" si="1437">IR31/(1+$C$34)^IQ1</f>
        <v>17374.97228715368</v>
      </c>
      <c r="IU33" s="19" t="s">
        <v>317</v>
      </c>
      <c r="IV33" s="19">
        <f t="shared" ref="IV33" ca="1" si="1438">IV31/(1+$C$34)^IU1</f>
        <v>-35167.78722121381</v>
      </c>
      <c r="IY33" s="19" t="s">
        <v>317</v>
      </c>
      <c r="IZ33" s="19">
        <f t="shared" ref="IZ33" ca="1" si="1439">IZ31/(1+$C$34)^IY1</f>
        <v>20179.466993494367</v>
      </c>
      <c r="JC33" s="19" t="s">
        <v>317</v>
      </c>
      <c r="JD33" s="19">
        <f t="shared" ref="JD33" ca="1" si="1440">JD31/(1+$C$34)^JC1</f>
        <v>20849.19429603406</v>
      </c>
      <c r="JG33" s="19" t="s">
        <v>317</v>
      </c>
      <c r="JH33" s="19">
        <f t="shared" ref="JH33" ca="1" si="1441">JH31/(1+$C$34)^JG1</f>
        <v>-35269.129420648947</v>
      </c>
      <c r="JK33" s="19" t="s">
        <v>317</v>
      </c>
      <c r="JL33" s="19">
        <f t="shared" ref="JL33" ca="1" si="1442">JL31/(1+$C$34)^JK1</f>
        <v>17295.90196671848</v>
      </c>
      <c r="JO33" s="19" t="s">
        <v>317</v>
      </c>
      <c r="JP33" s="19">
        <f t="shared" ref="JP33" ca="1" si="1443">JP31/(1+$C$34)^JO1</f>
        <v>20162.930547319495</v>
      </c>
      <c r="JS33" s="19" t="s">
        <v>317</v>
      </c>
      <c r="JT33" s="19">
        <f t="shared" ref="JT33" ca="1" si="1444">JT31/(1+$C$34)^JS1</f>
        <v>-46923.993745208769</v>
      </c>
      <c r="JW33" s="19" t="s">
        <v>317</v>
      </c>
      <c r="JX33" s="19">
        <f t="shared" ref="JX33" ca="1" si="1445">JX31/(1+$C$34)^JW1</f>
        <v>16888.368953196681</v>
      </c>
      <c r="KA33" s="19" t="s">
        <v>317</v>
      </c>
      <c r="KB33" s="19">
        <f t="shared" ref="KB33" ca="1" si="1446">KB31/(1+$C$34)^KA1</f>
        <v>21092.918357678147</v>
      </c>
    </row>
    <row r="34" spans="1:288" x14ac:dyDescent="0.25">
      <c r="C34" s="122">
        <v>1.5599999999999999E-2</v>
      </c>
      <c r="G34" s="19" t="s">
        <v>318</v>
      </c>
      <c r="H34" s="19">
        <f ca="1">H33+D31</f>
        <v>-153473.3894018757</v>
      </c>
      <c r="K34" s="19" t="s">
        <v>318</v>
      </c>
      <c r="L34" s="19">
        <f ca="1">L33+H34</f>
        <v>-143553.486670691</v>
      </c>
      <c r="O34" s="19" t="s">
        <v>318</v>
      </c>
      <c r="P34" s="19">
        <f ca="1">P33+L34</f>
        <v>-157802.03152587856</v>
      </c>
      <c r="S34" s="19" t="s">
        <v>318</v>
      </c>
      <c r="T34" s="19">
        <f t="shared" ref="T34" ca="1" si="1447">T33+P34</f>
        <v>-144024.75711592528</v>
      </c>
      <c r="W34" s="19" t="s">
        <v>318</v>
      </c>
      <c r="X34" s="19">
        <f t="shared" ref="X34" ca="1" si="1448">X33+T34</f>
        <v>-133813.66793793044</v>
      </c>
      <c r="AA34" s="19" t="s">
        <v>318</v>
      </c>
      <c r="AB34" s="19">
        <f t="shared" ref="AB34" ca="1" si="1449">AB33+X34</f>
        <v>-149123.52792883237</v>
      </c>
      <c r="AE34" s="19" t="s">
        <v>318</v>
      </c>
      <c r="AF34" s="19">
        <f t="shared" ref="AF34" ca="1" si="1450">AF33+AB34</f>
        <v>-135050.57140775432</v>
      </c>
      <c r="AI34" s="19" t="s">
        <v>318</v>
      </c>
      <c r="AJ34" s="19">
        <f t="shared" ref="AJ34" ca="1" si="1451">AJ33+AF34</f>
        <v>-123279.37278569746</v>
      </c>
      <c r="AM34" s="19" t="s">
        <v>318</v>
      </c>
      <c r="AN34" s="19">
        <f t="shared" ref="AN34" ca="1" si="1452">AN33+AJ34</f>
        <v>-135674.95255347641</v>
      </c>
      <c r="AQ34" s="19" t="s">
        <v>318</v>
      </c>
      <c r="AR34" s="19">
        <f t="shared" ref="AR34" ca="1" si="1453">AR33+AN34</f>
        <v>-118524.73023978565</v>
      </c>
      <c r="AU34" s="19" t="s">
        <v>318</v>
      </c>
      <c r="AV34" s="19">
        <f t="shared" ref="AV34" ca="1" si="1454">AV33+AR34</f>
        <v>-101032.96144113384</v>
      </c>
      <c r="AY34" s="19" t="s">
        <v>318</v>
      </c>
      <c r="AZ34" s="19">
        <f t="shared" ref="AZ34" ca="1" si="1455">AZ33+AV34</f>
        <v>-107372.24114848992</v>
      </c>
      <c r="BC34" s="19" t="s">
        <v>318</v>
      </c>
      <c r="BD34" s="19">
        <f t="shared" ref="BD34" ca="1" si="1456">BD33+AZ34</f>
        <v>-94193.604978982767</v>
      </c>
      <c r="BG34" s="19" t="s">
        <v>318</v>
      </c>
      <c r="BH34" s="19">
        <f t="shared" ref="BH34" ca="1" si="1457">BH33+BD34</f>
        <v>-80288.868218749209</v>
      </c>
      <c r="BK34" s="19" t="s">
        <v>318</v>
      </c>
      <c r="BL34" s="19">
        <f t="shared" ref="BL34" ca="1" si="1458">BL33+BH34</f>
        <v>-90320.976223293925</v>
      </c>
      <c r="BO34" s="19" t="s">
        <v>318</v>
      </c>
      <c r="BP34" s="19">
        <f t="shared" ref="BP34" ca="1" si="1459">BP33+BL34</f>
        <v>-74364.906203134902</v>
      </c>
      <c r="BS34" s="19" t="s">
        <v>318</v>
      </c>
      <c r="BT34" s="19">
        <f t="shared" ref="BT34" ca="1" si="1460">BT33+BP34</f>
        <v>-61427.919603234528</v>
      </c>
      <c r="BW34" s="19" t="s">
        <v>318</v>
      </c>
      <c r="BX34" s="19">
        <f t="shared" ref="BX34" ca="1" si="1461">BX33+BT34</f>
        <v>-73284.439950063897</v>
      </c>
      <c r="CA34" s="19" t="s">
        <v>318</v>
      </c>
      <c r="CB34" s="19">
        <f t="shared" ref="CB34" ca="1" si="1462">CB33+BX34</f>
        <v>-54725.874607540929</v>
      </c>
      <c r="CE34" s="19" t="s">
        <v>318</v>
      </c>
      <c r="CF34" s="19">
        <f t="shared" ref="CF34" ca="1" si="1463">CF33+CB34</f>
        <v>-32425.487241150877</v>
      </c>
      <c r="CI34" s="19" t="s">
        <v>318</v>
      </c>
      <c r="CJ34" s="19">
        <f t="shared" ref="CJ34" ca="1" si="1464">CJ33+CF34</f>
        <v>-36897.503874903676</v>
      </c>
      <c r="CM34" s="19" t="s">
        <v>318</v>
      </c>
      <c r="CN34" s="19">
        <f t="shared" ref="CN34" ca="1" si="1465">CN33+CJ34</f>
        <v>-19898.007582605693</v>
      </c>
      <c r="CQ34" s="19" t="s">
        <v>318</v>
      </c>
      <c r="CR34" s="19">
        <f t="shared" ref="CR34" ca="1" si="1466">CR33+CN34</f>
        <v>1590.8519332610049</v>
      </c>
      <c r="CU34" s="19" t="s">
        <v>318</v>
      </c>
      <c r="CV34" s="19">
        <f t="shared" ref="CV34" ca="1" si="1467">CV33+CR34</f>
        <v>284.67360184623112</v>
      </c>
      <c r="CY34" s="19" t="s">
        <v>318</v>
      </c>
      <c r="CZ34" s="19">
        <f t="shared" ref="CZ34" ca="1" si="1468">CZ33+CV34</f>
        <v>16453.580656640548</v>
      </c>
      <c r="DC34" s="19" t="s">
        <v>318</v>
      </c>
      <c r="DD34" s="19">
        <f t="shared" ref="DD34" ca="1" si="1469">DD33+CZ34</f>
        <v>36186.063097421313</v>
      </c>
      <c r="DG34" s="19" t="s">
        <v>318</v>
      </c>
      <c r="DH34" s="19">
        <f t="shared" ref="DH34" ca="1" si="1470">DH33+DD34</f>
        <v>34321.060436508655</v>
      </c>
      <c r="DK34" s="19" t="s">
        <v>318</v>
      </c>
      <c r="DL34" s="19">
        <f t="shared" ref="DL34" ca="1" si="1471">DL33+DH34</f>
        <v>54857.85830365021</v>
      </c>
      <c r="DO34" s="19" t="s">
        <v>318</v>
      </c>
      <c r="DP34" s="19">
        <f t="shared" ref="DP34" ca="1" si="1472">DP33+DL34</f>
        <v>74903.54613889147</v>
      </c>
      <c r="DS34" s="19" t="s">
        <v>318</v>
      </c>
      <c r="DT34" s="19">
        <f t="shared" ref="DT34" ca="1" si="1473">DT33+DP34</f>
        <v>66916.865417993497</v>
      </c>
      <c r="DW34" s="19" t="s">
        <v>318</v>
      </c>
      <c r="DX34" s="19">
        <f t="shared" ref="DX34" ca="1" si="1474">DX33+DT34</f>
        <v>85933.533950880315</v>
      </c>
      <c r="EA34" s="19" t="s">
        <v>318</v>
      </c>
      <c r="EB34" s="19">
        <f t="shared" ref="EB34" ca="1" si="1475">EB33+DX34</f>
        <v>105491.7921966611</v>
      </c>
      <c r="EE34" s="19" t="s">
        <v>318</v>
      </c>
      <c r="EF34" s="19">
        <f t="shared" ref="EF34" ca="1" si="1476">EF33+EB34</f>
        <v>83131.952462248126</v>
      </c>
      <c r="EI34" s="19" t="s">
        <v>318</v>
      </c>
      <c r="EJ34" s="19">
        <f t="shared" ref="EJ34" ca="1" si="1477">EJ33+EF34</f>
        <v>104969.67397274692</v>
      </c>
      <c r="EM34" s="19" t="s">
        <v>318</v>
      </c>
      <c r="EN34" s="19">
        <f t="shared" ref="EN34" ca="1" si="1478">EN33+EJ34</f>
        <v>127039.51408673679</v>
      </c>
      <c r="EQ34" s="19" t="s">
        <v>318</v>
      </c>
      <c r="ER34" s="19">
        <f t="shared" ref="ER34" ca="1" si="1479">ER33+EN34</f>
        <v>95367.148665273708</v>
      </c>
      <c r="EU34" s="19" t="s">
        <v>318</v>
      </c>
      <c r="EV34" s="19">
        <f t="shared" ref="EV34" ca="1" si="1480">EV33+ER34</f>
        <v>117493.94007070948</v>
      </c>
      <c r="EY34" s="19" t="s">
        <v>318</v>
      </c>
      <c r="EZ34" s="19">
        <f t="shared" ref="EZ34" ca="1" si="1481">EZ33+EV34</f>
        <v>135621.52445500923</v>
      </c>
      <c r="FC34" s="19" t="s">
        <v>318</v>
      </c>
      <c r="FD34" s="19">
        <f t="shared" ref="FD34" ca="1" si="1482">FD33+EZ34</f>
        <v>103543.53769933368</v>
      </c>
      <c r="FG34" s="19" t="s">
        <v>318</v>
      </c>
      <c r="FH34" s="19">
        <f t="shared" ref="FH34" ca="1" si="1483">FH33+FD34</f>
        <v>123477.74321230722</v>
      </c>
      <c r="FK34" s="19" t="s">
        <v>318</v>
      </c>
      <c r="FL34" s="19">
        <f t="shared" ref="FL34" ca="1" si="1484">FL33+FH34</f>
        <v>142832.71818076549</v>
      </c>
      <c r="FO34" s="19" t="s">
        <v>318</v>
      </c>
      <c r="FP34" s="19">
        <f t="shared" ref="FP34" ca="1" si="1485">FP33+FL34</f>
        <v>102701.50620235976</v>
      </c>
      <c r="FS34" s="19" t="s">
        <v>318</v>
      </c>
      <c r="FT34" s="19">
        <f t="shared" ref="FT34" ca="1" si="1486">FT33+FP34</f>
        <v>118626.53090566685</v>
      </c>
      <c r="FW34" s="19" t="s">
        <v>318</v>
      </c>
      <c r="FX34" s="19">
        <f t="shared" ref="FX34" ca="1" si="1487">FX33+FT34</f>
        <v>139021.55357068605</v>
      </c>
      <c r="GA34" s="19" t="s">
        <v>318</v>
      </c>
      <c r="GB34" s="19">
        <f t="shared" ref="GB34" ca="1" si="1488">GB33+FX34</f>
        <v>82478.227611267503</v>
      </c>
      <c r="GE34" s="19" t="s">
        <v>318</v>
      </c>
      <c r="GF34" s="19">
        <f t="shared" ref="GF34" ca="1" si="1489">GF33+GB34</f>
        <v>102278.56389863016</v>
      </c>
      <c r="GI34" s="19" t="s">
        <v>318</v>
      </c>
      <c r="GJ34" s="19">
        <f t="shared" ref="GJ34" ca="1" si="1490">GJ33+GF34</f>
        <v>121836.72628513606</v>
      </c>
      <c r="GM34" s="19" t="s">
        <v>318</v>
      </c>
      <c r="GN34" s="19">
        <f t="shared" ref="GN34" ca="1" si="1491">GN33+GJ34</f>
        <v>72168.003823332518</v>
      </c>
      <c r="GQ34" s="19" t="s">
        <v>318</v>
      </c>
      <c r="GR34" s="19">
        <f t="shared" ref="GR34" ca="1" si="1492">GR33+GN34</f>
        <v>93122.377947797315</v>
      </c>
      <c r="GU34" s="19" t="s">
        <v>318</v>
      </c>
      <c r="GV34" s="19">
        <f t="shared" ref="GV34" ca="1" si="1493">GV33+GR34</f>
        <v>114501.10908497978</v>
      </c>
      <c r="GY34" s="19" t="s">
        <v>318</v>
      </c>
      <c r="GZ34" s="19">
        <f t="shared" ref="GZ34" ca="1" si="1494">GZ33+GV34</f>
        <v>72435.587064860563</v>
      </c>
      <c r="HC34" s="19" t="s">
        <v>318</v>
      </c>
      <c r="HD34" s="19">
        <f t="shared" ref="HD34" ca="1" si="1495">HD33+GZ34</f>
        <v>91011.510545739147</v>
      </c>
      <c r="HG34" s="19" t="s">
        <v>318</v>
      </c>
      <c r="HH34" s="19">
        <f t="shared" ref="HH34" ca="1" si="1496">HH33+HD34</f>
        <v>112838.90455242805</v>
      </c>
      <c r="HK34" s="19" t="s">
        <v>318</v>
      </c>
      <c r="HL34" s="19">
        <f t="shared" ref="HL34" ca="1" si="1497">HL33+HH34</f>
        <v>76258.158230869871</v>
      </c>
      <c r="HO34" s="19" t="s">
        <v>318</v>
      </c>
      <c r="HP34" s="19">
        <f t="shared" ref="HP34" ca="1" si="1498">HP33+HL34</f>
        <v>99328.437390474413</v>
      </c>
      <c r="HS34" s="19" t="s">
        <v>318</v>
      </c>
      <c r="HT34" s="19">
        <f t="shared" ref="HT34" ca="1" si="1499">HT33+HP34</f>
        <v>117543.46820705815</v>
      </c>
      <c r="HW34" s="19" t="s">
        <v>318</v>
      </c>
      <c r="HX34" s="19">
        <f t="shared" ref="HX34" ca="1" si="1500">HX33+HT34</f>
        <v>89276.789151893798</v>
      </c>
      <c r="IA34" s="19" t="s">
        <v>318</v>
      </c>
      <c r="IB34" s="19">
        <f t="shared" ref="IB34" ca="1" si="1501">IB33+HX34</f>
        <v>107032.78305307748</v>
      </c>
      <c r="IE34" s="19" t="s">
        <v>318</v>
      </c>
      <c r="IF34" s="19">
        <f t="shared" ref="IF34" ca="1" si="1502">IF33+IB34</f>
        <v>126180.34159407363</v>
      </c>
      <c r="II34" s="19" t="s">
        <v>318</v>
      </c>
      <c r="IJ34" s="19">
        <f t="shared" ref="IJ34" ca="1" si="1503">IJ33+IF34</f>
        <v>95949.8242719384</v>
      </c>
      <c r="IM34" s="19" t="s">
        <v>318</v>
      </c>
      <c r="IN34" s="19">
        <f t="shared" ref="IN34" ca="1" si="1504">IN33+IJ34</f>
        <v>116117.72689280831</v>
      </c>
      <c r="IQ34" s="19" t="s">
        <v>318</v>
      </c>
      <c r="IR34" s="19">
        <f t="shared" ref="IR34" ca="1" si="1505">IR33+IN34</f>
        <v>133492.69917996199</v>
      </c>
      <c r="IU34" s="19" t="s">
        <v>318</v>
      </c>
      <c r="IV34" s="19">
        <f t="shared" ref="IV34" ca="1" si="1506">IV33+IR34</f>
        <v>98324.911958748184</v>
      </c>
      <c r="IY34" s="19" t="s">
        <v>318</v>
      </c>
      <c r="IZ34" s="19">
        <f t="shared" ref="IZ34" ca="1" si="1507">IZ33+IV34</f>
        <v>118504.37895224255</v>
      </c>
      <c r="JC34" s="19" t="s">
        <v>318</v>
      </c>
      <c r="JD34" s="19">
        <f t="shared" ref="JD34" ca="1" si="1508">JD33+IZ34</f>
        <v>139353.5732482766</v>
      </c>
      <c r="JG34" s="19" t="s">
        <v>318</v>
      </c>
      <c r="JH34" s="19">
        <f t="shared" ref="JH34" ca="1" si="1509">JH33+JD34</f>
        <v>104084.44382762766</v>
      </c>
      <c r="JK34" s="19" t="s">
        <v>318</v>
      </c>
      <c r="JL34" s="19">
        <f t="shared" ref="JL34" ca="1" si="1510">JL33+JH34</f>
        <v>121380.34579434614</v>
      </c>
      <c r="JO34" s="19" t="s">
        <v>318</v>
      </c>
      <c r="JP34" s="19">
        <f t="shared" ref="JP34" ca="1" si="1511">JP33+JL34</f>
        <v>141543.27634166562</v>
      </c>
      <c r="JS34" s="19" t="s">
        <v>318</v>
      </c>
      <c r="JT34" s="19">
        <f t="shared" ref="JT34" ca="1" si="1512">JT33+JP34</f>
        <v>94619.282596456847</v>
      </c>
      <c r="JW34" s="19" t="s">
        <v>318</v>
      </c>
      <c r="JX34" s="19">
        <f t="shared" ref="JX34" ca="1" si="1513">JX33+JT34</f>
        <v>111507.65154965353</v>
      </c>
      <c r="KA34" s="19" t="s">
        <v>318</v>
      </c>
      <c r="KB34" s="19">
        <f t="shared" ref="KB34" ca="1" si="1514">KB33+JX34</f>
        <v>132600.56990733166</v>
      </c>
    </row>
    <row r="35" spans="1:288" x14ac:dyDescent="0.25">
      <c r="A35" s="119" t="s">
        <v>1</v>
      </c>
      <c r="B35" s="119" t="s">
        <v>1</v>
      </c>
      <c r="C35" s="121">
        <f ca="1">NPV($C$34,H31:KB31)+D31</f>
        <v>132600.56990733161</v>
      </c>
      <c r="J35" s="35"/>
    </row>
    <row r="36" spans="1:288" x14ac:dyDescent="0.25">
      <c r="E36" s="35"/>
    </row>
    <row r="39" spans="1:288" x14ac:dyDescent="0.25">
      <c r="C39" s="1" t="s">
        <v>118</v>
      </c>
      <c r="D39" s="37"/>
    </row>
    <row r="40" spans="1:288" x14ac:dyDescent="0.25">
      <c r="C40" s="122">
        <f ca="1">IRR(D31:KB31)</f>
        <v>4.4252534858779891E-2</v>
      </c>
    </row>
    <row r="41" spans="1:288" x14ac:dyDescent="0.25">
      <c r="D41" s="66"/>
    </row>
    <row r="49" spans="3:77" s="147" customFormat="1" x14ac:dyDescent="0.25">
      <c r="D49" s="147">
        <v>0</v>
      </c>
      <c r="E49" s="147">
        <v>1</v>
      </c>
      <c r="F49" s="147">
        <v>2</v>
      </c>
      <c r="G49" s="147">
        <v>3</v>
      </c>
      <c r="H49" s="147">
        <v>4</v>
      </c>
      <c r="I49" s="147">
        <v>5</v>
      </c>
      <c r="J49" s="147">
        <v>6</v>
      </c>
      <c r="K49" s="147">
        <v>7</v>
      </c>
      <c r="L49" s="147">
        <v>8</v>
      </c>
      <c r="M49" s="147">
        <v>9</v>
      </c>
      <c r="N49" s="147">
        <v>10</v>
      </c>
      <c r="O49" s="147">
        <v>11</v>
      </c>
      <c r="P49" s="147">
        <v>12</v>
      </c>
      <c r="Q49" s="147">
        <v>13</v>
      </c>
      <c r="R49" s="147">
        <v>14</v>
      </c>
      <c r="S49" s="147">
        <v>15</v>
      </c>
      <c r="T49" s="147">
        <v>16</v>
      </c>
      <c r="U49" s="147">
        <v>17</v>
      </c>
      <c r="V49" s="147">
        <v>18</v>
      </c>
      <c r="W49" s="147">
        <v>19</v>
      </c>
      <c r="X49" s="147">
        <v>20</v>
      </c>
      <c r="Y49" s="147">
        <v>21</v>
      </c>
      <c r="Z49" s="147">
        <v>22</v>
      </c>
      <c r="AA49" s="147">
        <v>23</v>
      </c>
      <c r="AB49" s="147">
        <v>24</v>
      </c>
      <c r="AC49" s="147">
        <v>25</v>
      </c>
      <c r="AD49" s="147">
        <v>26</v>
      </c>
      <c r="AE49" s="147">
        <v>27</v>
      </c>
      <c r="AF49" s="147">
        <v>28</v>
      </c>
      <c r="AG49" s="147">
        <v>29</v>
      </c>
      <c r="AH49" s="147">
        <v>30</v>
      </c>
      <c r="AI49" s="147">
        <v>31</v>
      </c>
      <c r="AJ49" s="147">
        <v>32</v>
      </c>
      <c r="AK49" s="147">
        <v>33</v>
      </c>
      <c r="AL49" s="147">
        <v>34</v>
      </c>
      <c r="AM49" s="147">
        <v>35</v>
      </c>
      <c r="AN49" s="147">
        <v>36</v>
      </c>
      <c r="AO49" s="147">
        <v>37</v>
      </c>
      <c r="AP49" s="147">
        <v>38</v>
      </c>
      <c r="AQ49" s="147">
        <v>39</v>
      </c>
      <c r="AR49" s="147">
        <v>40</v>
      </c>
      <c r="AS49" s="147">
        <v>41</v>
      </c>
      <c r="AT49" s="147">
        <v>42</v>
      </c>
      <c r="AU49" s="147">
        <v>43</v>
      </c>
      <c r="AV49" s="147">
        <v>44</v>
      </c>
      <c r="AW49" s="147">
        <v>45</v>
      </c>
      <c r="AX49" s="147">
        <v>46</v>
      </c>
      <c r="AY49" s="147">
        <v>47</v>
      </c>
      <c r="AZ49" s="147">
        <v>48</v>
      </c>
      <c r="BA49" s="147">
        <v>49</v>
      </c>
      <c r="BB49" s="147">
        <v>50</v>
      </c>
      <c r="BC49" s="147">
        <v>51</v>
      </c>
      <c r="BD49" s="147">
        <v>52</v>
      </c>
      <c r="BE49" s="147">
        <v>53</v>
      </c>
      <c r="BF49" s="147">
        <v>54</v>
      </c>
      <c r="BG49" s="147">
        <v>55</v>
      </c>
      <c r="BH49" s="147">
        <v>56</v>
      </c>
      <c r="BI49" s="147">
        <v>57</v>
      </c>
      <c r="BJ49" s="147">
        <v>58</v>
      </c>
      <c r="BK49" s="147">
        <v>59</v>
      </c>
      <c r="BL49" s="147">
        <v>60</v>
      </c>
      <c r="BM49" s="147">
        <v>61</v>
      </c>
      <c r="BN49" s="147">
        <v>62</v>
      </c>
      <c r="BO49" s="147">
        <v>63</v>
      </c>
      <c r="BP49" s="147">
        <v>64</v>
      </c>
      <c r="BQ49" s="147">
        <v>65</v>
      </c>
      <c r="BR49" s="147">
        <v>66</v>
      </c>
      <c r="BS49" s="147">
        <v>67</v>
      </c>
      <c r="BT49" s="147">
        <v>68</v>
      </c>
      <c r="BU49" s="147">
        <v>69</v>
      </c>
      <c r="BV49" s="147">
        <v>70</v>
      </c>
      <c r="BW49" s="147">
        <v>71</v>
      </c>
      <c r="BY49" s="147" t="s">
        <v>1</v>
      </c>
    </row>
    <row r="50" spans="3:77" s="147" customFormat="1" x14ac:dyDescent="0.25">
      <c r="C50" s="147" t="s">
        <v>334</v>
      </c>
      <c r="D50" s="148">
        <v>2948.2548082906578</v>
      </c>
      <c r="E50" s="147">
        <v>2758.8365282257714</v>
      </c>
      <c r="F50" s="147">
        <v>2558.031309649748</v>
      </c>
      <c r="G50" s="147">
        <v>2542.5917538815775</v>
      </c>
      <c r="H50" s="147">
        <v>2566.0520950679984</v>
      </c>
      <c r="I50" s="147">
        <v>2470.1987974725089</v>
      </c>
      <c r="J50" s="147">
        <v>2533.7598868572309</v>
      </c>
      <c r="K50" s="147">
        <v>2293.7567771685526</v>
      </c>
      <c r="L50" s="147">
        <v>2130.165956720175</v>
      </c>
      <c r="M50" s="147">
        <v>1982.7191236211993</v>
      </c>
      <c r="N50" s="147">
        <v>2024.217023718571</v>
      </c>
      <c r="O50" s="147">
        <v>2126.1502072955545</v>
      </c>
      <c r="P50" s="147">
        <v>2056.6111956334958</v>
      </c>
      <c r="Q50" s="147">
        <v>2068.3280387961581</v>
      </c>
      <c r="R50" s="147">
        <v>2007.071295997313</v>
      </c>
      <c r="S50" s="147">
        <v>2077.3381001386911</v>
      </c>
      <c r="T50" s="147">
        <v>2179.4349442969665</v>
      </c>
      <c r="U50" s="147">
        <v>2445.3623789508674</v>
      </c>
      <c r="V50" s="147">
        <v>2146.1979462756744</v>
      </c>
      <c r="W50" s="147">
        <v>2072.3816203564065</v>
      </c>
      <c r="X50" s="147">
        <v>1797.8712049693077</v>
      </c>
      <c r="Y50" s="147">
        <v>1667.1480467844219</v>
      </c>
      <c r="Z50" s="147">
        <v>1451.9897371725613</v>
      </c>
      <c r="AA50" s="147">
        <v>1470.9776156169455</v>
      </c>
      <c r="AB50" s="147">
        <v>1557.1090243089104</v>
      </c>
      <c r="AC50" s="147">
        <v>1528.8384334159402</v>
      </c>
      <c r="AD50" s="147">
        <v>1553.0410346597932</v>
      </c>
      <c r="AE50" s="147">
        <v>1536.961093662447</v>
      </c>
      <c r="AF50" s="147">
        <v>1648.4136761193035</v>
      </c>
      <c r="AG50" s="147">
        <v>1876.7369404100384</v>
      </c>
      <c r="AH50" s="147">
        <v>2060.9370206527747</v>
      </c>
      <c r="AI50" s="147">
        <v>2235.7915245433464</v>
      </c>
      <c r="AJ50" s="147">
        <v>2483.085171254661</v>
      </c>
      <c r="AK50" s="147">
        <v>2778.3823125788367</v>
      </c>
      <c r="AL50" s="147">
        <v>3404.3581195251345</v>
      </c>
      <c r="AM50" s="147">
        <v>3610.5318854097359</v>
      </c>
      <c r="AN50" s="147">
        <v>3504.9887715385421</v>
      </c>
      <c r="AO50" s="147">
        <v>3544.5377989351255</v>
      </c>
      <c r="AP50" s="147">
        <v>3628.9020992861742</v>
      </c>
      <c r="AQ50" s="147">
        <v>3637.459636246057</v>
      </c>
      <c r="AR50" s="147">
        <v>3834.0552464006587</v>
      </c>
      <c r="AS50" s="147">
        <v>4246.4584988270881</v>
      </c>
      <c r="AT50" s="147">
        <v>4191.7558216091575</v>
      </c>
      <c r="AU50" s="147">
        <v>4572.4318389219015</v>
      </c>
      <c r="AV50" s="147">
        <v>4530.7069501139358</v>
      </c>
      <c r="AW50" s="147">
        <v>4971.1340090497033</v>
      </c>
      <c r="AX50" s="147">
        <v>5596.0949827587829</v>
      </c>
      <c r="AY50" s="147">
        <v>5172.1128456316637</v>
      </c>
      <c r="AZ50" s="147">
        <v>4501.1536610746307</v>
      </c>
      <c r="BA50" s="147">
        <v>4246.8070702818268</v>
      </c>
      <c r="BB50" s="147">
        <v>4370.1737486746897</v>
      </c>
      <c r="BC50" s="147">
        <v>4212.4520974554925</v>
      </c>
      <c r="BD50" s="147">
        <v>3997.465734283498</v>
      </c>
      <c r="BE50" s="147">
        <v>3961.9595853722822</v>
      </c>
      <c r="BF50" s="147">
        <v>4006.0995642175089</v>
      </c>
      <c r="BG50" s="147">
        <v>4118.2313649384387</v>
      </c>
      <c r="BH50" s="147">
        <v>3799.3917874993272</v>
      </c>
      <c r="BI50" s="147">
        <v>3682.6672161483939</v>
      </c>
      <c r="BJ50" s="147">
        <v>3753.5524997769216</v>
      </c>
      <c r="BK50" s="147">
        <v>3696.1525206850347</v>
      </c>
      <c r="BL50" s="147">
        <v>3632.6843223055621</v>
      </c>
      <c r="BM50" s="147">
        <v>3921.0826029936979</v>
      </c>
      <c r="BN50" s="147">
        <v>4121.813438957799</v>
      </c>
      <c r="BO50" s="147">
        <v>3977.2236654685935</v>
      </c>
      <c r="BP50" s="147">
        <v>4023.8916024643895</v>
      </c>
      <c r="BQ50" s="147">
        <v>4199.4429859909596</v>
      </c>
      <c r="BR50" s="147">
        <v>4157.1863445445388</v>
      </c>
      <c r="BS50" s="147">
        <v>4635.9894165258665</v>
      </c>
      <c r="BT50" s="147">
        <v>4802.8103980468823</v>
      </c>
      <c r="BU50" s="147">
        <v>4728.0134067489789</v>
      </c>
      <c r="BV50" s="147">
        <v>4878.0358601948965</v>
      </c>
      <c r="BW50" s="147">
        <v>4776.6712323148695</v>
      </c>
      <c r="BY50" s="147" t="s">
        <v>1</v>
      </c>
    </row>
    <row r="51" spans="3:77" s="147" customFormat="1" x14ac:dyDescent="0.25">
      <c r="C51" s="147" t="s">
        <v>243</v>
      </c>
      <c r="D51" s="147">
        <v>3.1</v>
      </c>
      <c r="E51" s="147">
        <v>3.2</v>
      </c>
      <c r="F51" s="147">
        <v>3</v>
      </c>
      <c r="G51" s="147">
        <v>3.3</v>
      </c>
      <c r="H51" s="147">
        <v>3.8</v>
      </c>
      <c r="I51" s="147">
        <v>3.5</v>
      </c>
      <c r="J51" s="147">
        <v>3.8</v>
      </c>
      <c r="K51" s="147">
        <v>4.0999999999999996</v>
      </c>
      <c r="L51" s="147">
        <v>3.9</v>
      </c>
      <c r="M51" s="147">
        <v>4.0999999999999996</v>
      </c>
      <c r="N51" s="147">
        <v>5.0999999999999996</v>
      </c>
      <c r="O51" s="147">
        <v>5.3</v>
      </c>
      <c r="P51" s="147">
        <v>5</v>
      </c>
      <c r="Q51" s="147">
        <v>4.4000000000000004</v>
      </c>
      <c r="R51" s="147">
        <v>4.5</v>
      </c>
      <c r="S51" s="147">
        <v>4.5999999999999996</v>
      </c>
      <c r="T51" s="147">
        <v>5.2</v>
      </c>
      <c r="U51" s="147">
        <v>4.5999999999999996</v>
      </c>
      <c r="V51" s="147">
        <v>5.4</v>
      </c>
      <c r="W51" s="147">
        <v>5.9</v>
      </c>
      <c r="X51" s="147">
        <v>6.7</v>
      </c>
      <c r="Y51" s="147">
        <v>5.4</v>
      </c>
      <c r="Z51" s="147">
        <v>5.3</v>
      </c>
      <c r="AA51" s="147">
        <v>6.3</v>
      </c>
      <c r="AB51" s="147">
        <v>6.3</v>
      </c>
      <c r="AC51" s="147">
        <v>5.6</v>
      </c>
      <c r="AD51" s="147">
        <v>6.6</v>
      </c>
      <c r="AE51" s="147">
        <v>6.5</v>
      </c>
      <c r="AF51" s="147">
        <v>6.9</v>
      </c>
      <c r="AG51" s="147">
        <v>7</v>
      </c>
      <c r="AH51" s="147">
        <v>7.3</v>
      </c>
      <c r="AI51" s="147">
        <v>7.2</v>
      </c>
      <c r="AJ51" s="147">
        <v>7.5</v>
      </c>
      <c r="AK51" s="147">
        <v>7.8</v>
      </c>
      <c r="AL51" s="147">
        <v>8.6</v>
      </c>
      <c r="AM51" s="147">
        <v>8.5</v>
      </c>
      <c r="AN51" s="147">
        <v>7.3</v>
      </c>
      <c r="AO51" s="147">
        <v>8.9</v>
      </c>
      <c r="AP51" s="147">
        <v>7.9</v>
      </c>
      <c r="AQ51" s="147">
        <v>9.1</v>
      </c>
      <c r="AR51" s="147">
        <v>8.9</v>
      </c>
      <c r="AS51" s="147">
        <v>8.8000000000000007</v>
      </c>
      <c r="AT51" s="147">
        <v>7.9</v>
      </c>
      <c r="AU51" s="147">
        <v>8.1999999999999993</v>
      </c>
      <c r="AV51" s="147">
        <v>9.6999999999999993</v>
      </c>
      <c r="AW51" s="147">
        <v>8.4</v>
      </c>
      <c r="AX51" s="147">
        <v>10.3</v>
      </c>
      <c r="AY51" s="147">
        <v>10.3</v>
      </c>
      <c r="AZ51" s="147">
        <v>8.6999999999999993</v>
      </c>
      <c r="BA51" s="147">
        <v>10.7</v>
      </c>
      <c r="BB51" s="147">
        <v>11.1</v>
      </c>
      <c r="BC51" s="147">
        <v>9.1</v>
      </c>
      <c r="BD51" s="147">
        <v>10.1</v>
      </c>
      <c r="BE51" s="147">
        <v>11.4</v>
      </c>
      <c r="BF51" s="147">
        <v>10.5</v>
      </c>
      <c r="BG51" s="147">
        <v>11.9</v>
      </c>
      <c r="BH51" s="147">
        <v>9.6999999999999993</v>
      </c>
      <c r="BI51" s="147">
        <v>12.3</v>
      </c>
      <c r="BJ51" s="147">
        <v>10.1</v>
      </c>
      <c r="BK51" s="147">
        <v>11.4</v>
      </c>
      <c r="BL51" s="147">
        <v>10.199999999999999</v>
      </c>
      <c r="BM51" s="147">
        <v>11.4</v>
      </c>
      <c r="BN51" s="147">
        <v>11.3</v>
      </c>
      <c r="BO51" s="147">
        <v>13</v>
      </c>
      <c r="BP51" s="147">
        <v>12.1</v>
      </c>
      <c r="BQ51" s="147">
        <v>13.1</v>
      </c>
      <c r="BR51" s="147">
        <v>13.3</v>
      </c>
      <c r="BS51" s="147">
        <v>11.9</v>
      </c>
      <c r="BT51" s="147">
        <v>13</v>
      </c>
      <c r="BU51" s="147">
        <v>13.1</v>
      </c>
      <c r="BV51" s="147">
        <v>12.7</v>
      </c>
      <c r="BW51" s="147">
        <v>14.4</v>
      </c>
      <c r="BY51" s="147" t="s">
        <v>1</v>
      </c>
    </row>
    <row r="52" spans="3:77" s="147" customFormat="1" x14ac:dyDescent="0.25">
      <c r="C52" s="147" t="s">
        <v>335</v>
      </c>
      <c r="D52" s="148">
        <v>39.867628103290478</v>
      </c>
      <c r="E52" s="147">
        <v>40.750485944376038</v>
      </c>
      <c r="F52" s="147">
        <v>41.726623390903384</v>
      </c>
      <c r="G52" s="147">
        <v>41.417173232392159</v>
      </c>
      <c r="H52" s="147">
        <v>40.605371860910893</v>
      </c>
      <c r="I52" s="147">
        <v>39.589275719062123</v>
      </c>
      <c r="J52" s="147">
        <v>40.094564574372917</v>
      </c>
      <c r="K52" s="147">
        <v>40.72550367117806</v>
      </c>
      <c r="L52" s="147">
        <v>38.968950794204659</v>
      </c>
      <c r="M52" s="147">
        <v>38.742078460790452</v>
      </c>
      <c r="N52" s="147">
        <v>39.52672513885436</v>
      </c>
      <c r="O52" s="147">
        <v>39.242224458184999</v>
      </c>
      <c r="P52" s="147">
        <v>41.194993963131111</v>
      </c>
      <c r="Q52" s="147">
        <v>39.792270795476725</v>
      </c>
      <c r="R52" s="147">
        <v>40.369271158401411</v>
      </c>
      <c r="S52" s="147">
        <v>39.776868219790458</v>
      </c>
      <c r="T52" s="147">
        <v>39.609118746444111</v>
      </c>
      <c r="U52" s="147">
        <v>39.869411858796077</v>
      </c>
      <c r="V52" s="147">
        <v>40.910622402611914</v>
      </c>
      <c r="W52" s="147">
        <v>39.817909804707696</v>
      </c>
      <c r="X52" s="147">
        <v>40.02344760187016</v>
      </c>
      <c r="Y52" s="147">
        <v>39.338051175727109</v>
      </c>
      <c r="Z52" s="147">
        <v>41.344559216949804</v>
      </c>
      <c r="AA52" s="147">
        <v>41.76666162899091</v>
      </c>
      <c r="AB52" s="147">
        <v>38.711501512285302</v>
      </c>
      <c r="AC52" s="147">
        <v>39.575913996986046</v>
      </c>
      <c r="AD52" s="147">
        <v>39.400084166398692</v>
      </c>
      <c r="AE52" s="147">
        <v>39.048681357306435</v>
      </c>
      <c r="AF52" s="147">
        <v>39.855515051741783</v>
      </c>
      <c r="AG52" s="147">
        <v>39.554882967667446</v>
      </c>
      <c r="AH52" s="147">
        <v>40.080791414329155</v>
      </c>
      <c r="AI52" s="147">
        <v>39.365689848657318</v>
      </c>
      <c r="AJ52" s="147">
        <v>39.542347982894057</v>
      </c>
      <c r="AK52" s="147">
        <v>38.736928150097491</v>
      </c>
      <c r="AL52" s="147">
        <v>40.254584509226177</v>
      </c>
      <c r="AM52" s="147">
        <v>41.558488118721435</v>
      </c>
      <c r="AN52" s="147">
        <v>39.859865076466882</v>
      </c>
      <c r="AO52" s="147">
        <v>40.876093768542638</v>
      </c>
      <c r="AP52" s="147">
        <v>40.256085339597085</v>
      </c>
      <c r="AQ52" s="147">
        <v>40.124809012321144</v>
      </c>
      <c r="AR52" s="147">
        <v>40.001580290217277</v>
      </c>
      <c r="AS52" s="147">
        <v>40.678260110154284</v>
      </c>
      <c r="AT52" s="147">
        <v>40.224122857497747</v>
      </c>
      <c r="AU52" s="147">
        <v>39.633018093786077</v>
      </c>
      <c r="AV52" s="147">
        <v>40.623428727487813</v>
      </c>
      <c r="AW52" s="147">
        <v>39.450115749923285</v>
      </c>
      <c r="AX52" s="147">
        <v>40.760635910165476</v>
      </c>
      <c r="AY52" s="147">
        <v>40.138124851454151</v>
      </c>
      <c r="AZ52" s="147">
        <v>39.147781689486365</v>
      </c>
      <c r="BA52" s="147">
        <v>39.802824431890699</v>
      </c>
      <c r="BB52" s="147">
        <v>39.801621956494515</v>
      </c>
      <c r="BC52" s="147">
        <v>39.53863072668512</v>
      </c>
      <c r="BD52" s="147">
        <v>39.318638228943961</v>
      </c>
      <c r="BE52" s="147">
        <v>39.95115256310158</v>
      </c>
      <c r="BF52" s="147">
        <v>39.661636434150644</v>
      </c>
      <c r="BG52" s="147">
        <v>41.060457489295942</v>
      </c>
      <c r="BH52" s="147">
        <v>41.133195271021442</v>
      </c>
      <c r="BI52" s="147">
        <v>40.341169263984519</v>
      </c>
      <c r="BJ52" s="147">
        <v>40.012766220853663</v>
      </c>
      <c r="BK52" s="147">
        <v>38.636150948506383</v>
      </c>
      <c r="BL52" s="147">
        <v>39.223379315524163</v>
      </c>
      <c r="BM52" s="147">
        <v>40.964821259388181</v>
      </c>
      <c r="BN52" s="147">
        <v>38.437483132076672</v>
      </c>
      <c r="BO52" s="147">
        <v>40.305144082721029</v>
      </c>
      <c r="BP52" s="147">
        <v>40.559369744409111</v>
      </c>
      <c r="BQ52" s="147">
        <v>39.766170204803949</v>
      </c>
      <c r="BR52" s="147">
        <v>40.836566495089819</v>
      </c>
      <c r="BS52" s="147">
        <v>39.506450390536607</v>
      </c>
      <c r="BT52" s="147">
        <v>41.271121225342384</v>
      </c>
      <c r="BU52" s="147">
        <v>39.177372483513459</v>
      </c>
      <c r="BV52" s="147">
        <v>38.699730386878805</v>
      </c>
      <c r="BW52" s="147">
        <v>40.58131425584768</v>
      </c>
      <c r="BY52" s="147" t="s">
        <v>1</v>
      </c>
    </row>
    <row r="53" spans="3:77" s="147" customFormat="1" x14ac:dyDescent="0.25"/>
    <row r="54" spans="3:77" s="147" customFormat="1" x14ac:dyDescent="0.25"/>
  </sheetData>
  <phoneticPr fontId="22" type="noConversion"/>
  <conditionalFormatting sqref="A33:XFD33">
    <cfRule type="cellIs" dxfId="13" priority="8" operator="lessThanOrEqual">
      <formula>0</formula>
    </cfRule>
  </conditionalFormatting>
  <conditionalFormatting sqref="C29 G29 K29 O29 S29 W29 AA29 AE29 AI29 AM29 AQ29 AU29 AY29 BC29 BG29 BK29 BO29 BS29 BW29 CA29 CE29 CI29 CM29 CQ29 CU29 CY29 DC29 DG29 DK29 DO29 DS29 DW29 EA29 EE29 EI29 EM29 EQ29 EU29 EY29 FC29 FG29 FK29 FO29 FS29 FW29 GA29 GE29 GI29 GM29 GQ29 GU29 GY29 HC29 HG29 HK29 HO29 HS29 HW29 IA29 IE29 II29 IM29 IQ29 IU29 IY29 JC29 JG29 JK29 JO29 JS29 JW29 KA29">
    <cfRule type="cellIs" dxfId="12" priority="16" operator="lessThanOrEqual">
      <formula>0</formula>
    </cfRule>
  </conditionalFormatting>
  <conditionalFormatting sqref="C39">
    <cfRule type="cellIs" dxfId="11" priority="1" operator="lessThanOrEqual">
      <formula>0</formula>
    </cfRule>
  </conditionalFormatting>
  <conditionalFormatting sqref="C31:D31">
    <cfRule type="cellIs" dxfId="10" priority="12" operator="lessThanOrEqual">
      <formula>0</formula>
    </cfRule>
  </conditionalFormatting>
  <conditionalFormatting sqref="C26:XFD29 A29:B33">
    <cfRule type="cellIs" dxfId="9" priority="17" operator="lessThanOrEqual">
      <formula>0</formula>
    </cfRule>
  </conditionalFormatting>
  <conditionalFormatting sqref="G33:G34">
    <cfRule type="cellIs" dxfId="8" priority="6" operator="lessThanOrEqual">
      <formula>0</formula>
    </cfRule>
  </conditionalFormatting>
  <conditionalFormatting sqref="G31:H31 K31:L31 O31:P31 S31:T31 W31:X31 AA31:AB31 AE31:AF31 AI31:AJ31 AM31:AN31 AQ31:AR31 AU31:AV31 AY31:AZ31 BC31:BD31 BG31:BH31 BK31:BL31 BO31:BP31 BS31:BT31 BW31:BX31 CA31:CB31 CE31:CF31 CI31:CJ31 CM31:CN31 CQ31:CR31 CU31:CV31 CY31:CZ31 DC31:DD31 DG31:DH31 DK31:DL31 DO31:DP31 DS31:DT31 DW31:DX31 EA31:EB31 EE31:EF31 EI31:EJ31 EM31:EN31 EQ31:ER31 EU31:EV31 EY31:EZ31 FC31:FD31 FG31:FH31 FK31:FL31 FO31:FP31 FS31:FT31 FW31:FX31 GA31:GB31 GE31:GF31 GI31:GJ31 GM31:GN31 GQ31:GR31 GU31:GV31 GY31:GZ31 HC31:HD31 HG31:HH31 HK31:HL31 HO31:HP31 HS31:HT31 HW31:HX31 IA31:IB31 IE31:IF31 II31:IJ31 IM31:IN31 IQ31:IR31 IU31:IV31 IY31:IZ31 JC31:JD31 JG31:JH31 JK31:JL31 JO31:JP31 JS31:JT31 JW31:JX31 KA31:KB31">
    <cfRule type="cellIs" dxfId="7" priority="10" operator="lessThanOrEqual">
      <formula>0</formula>
    </cfRule>
  </conditionalFormatting>
  <conditionalFormatting sqref="H34">
    <cfRule type="cellIs" dxfId="6" priority="5" operator="lessThanOrEqual">
      <formula>0</formula>
    </cfRule>
  </conditionalFormatting>
  <conditionalFormatting sqref="K33:K34 O33:O34 S33:S34 W33:W34 AA33:AA34 AE33:AE34 AI33:AI34 AM33:AM34 AQ33:AQ34 AU33:AU34 AY33:AY34 BC33:BC34 BG33:BG34 BK33:BK34 BO33:BO34 BS33:BS34 BW33:BW34 CA33:CA34 CE33:CE34 CI33:CI34 CM33:CM34 CQ33:CQ34 CU33:CU34 CY33:CY34 DC33:DC34 DG33:DG34 DK33:DK34 DO33:DO34 DS33:DS34 DW33:DW34 EA33:EA34 EE33:EE34 EI33:EI34 EM33:EM34 EQ33:EQ34 EU33:EU34 EY33:EY34 FC33:FC34 FG33:FG34 FK33:FK34 FO33:FO34 FS33:FS34 FW33:FW34 GA33:GA34 GE33:GE34 GI33:GI34 GM33:GM34 GQ33:GQ34 GU33:GU34 GY33:GY34 HC33:HC34 HG33:HG34 HK33:HK34 HO33:HO34 HS33:HS34 HW33:HW34 IA33:IA34 IE33:IE34 II33:II34 IM33:IM34 IQ33:IQ34 IU33:IU34 IY33:IY34 JC33:JC34 JG33:JG34 JK33:JK34 JO33:JO34 JS33:JS34 JW33:JW34 KA33:KA34">
    <cfRule type="cellIs" dxfId="5" priority="3" operator="lessThanOrEqual">
      <formula>0</formula>
    </cfRule>
  </conditionalFormatting>
  <conditionalFormatting sqref="L34 P34 T34 X34 AB34 AF34 AJ34 AN34 AR34 AV34 AZ34 BD34 BH34 BL34 BP34 BT34 BX34 CB34 CF34 CJ34 CN34 CR34 CV34 CZ34 DD34 DH34 DL34 DP34 DT34 DX34 EB34 EF34 EJ34 EN34 ER34 EV34 EZ34 FD34 FH34 FL34 FP34 FT34 FX34 GB34 GF34 GJ34 GN34 GR34 GV34 GZ34 HD34 HH34 HL34 HP34 HT34 HX34 IB34 IF34 IJ34 IN34 IR34 IV34 IZ34 JD34 JH34 JL34 JP34 JT34 JX34 KB34">
    <cfRule type="cellIs" dxfId="4" priority="2" operator="lessThanOrEqual">
      <formula>0</formula>
    </cfRule>
  </conditionalFormatting>
  <pageMargins left="0.511811024" right="0.511811024" top="0.78740157499999996" bottom="0.78740157499999996" header="0.31496062000000002" footer="0.31496062000000002"/>
  <ignoredErrors>
    <ignoredError sqref="F12"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74C18-2197-4251-A2C9-9C178E45F721}">
  <dimension ref="B3:CA34"/>
  <sheetViews>
    <sheetView showGridLines="0" topLeftCell="A16" workbookViewId="0">
      <selection activeCell="G37" sqref="G37"/>
    </sheetView>
  </sheetViews>
  <sheetFormatPr defaultColWidth="9.109375" defaultRowHeight="13.8" x14ac:dyDescent="0.25"/>
  <cols>
    <col min="1" max="1" width="9.109375" style="35"/>
    <col min="2" max="2" width="23" style="35" bestFit="1" customWidth="1"/>
    <col min="3" max="3" width="20" style="35" bestFit="1" customWidth="1"/>
    <col min="4" max="4" width="28.88671875" style="35" customWidth="1"/>
    <col min="5" max="5" width="30.5546875" style="35" bestFit="1" customWidth="1"/>
    <col min="6" max="6" width="33.6640625" style="35" customWidth="1"/>
    <col min="7" max="7" width="30.44140625" style="35" customWidth="1"/>
    <col min="8" max="8" width="9.109375" style="35"/>
    <col min="9" max="9" width="18.88671875" style="35" bestFit="1" customWidth="1"/>
    <col min="10" max="12" width="11.109375" style="35" customWidth="1"/>
    <col min="13" max="13" width="16.33203125" style="35" bestFit="1" customWidth="1"/>
    <col min="14" max="14" width="15.5546875" style="35" bestFit="1" customWidth="1"/>
    <col min="15" max="18" width="9.109375" style="35"/>
    <col min="19" max="19" width="18.88671875" style="35" bestFit="1" customWidth="1"/>
    <col min="20" max="20" width="19.33203125" style="35" bestFit="1" customWidth="1"/>
    <col min="21" max="21" width="18.6640625" style="35" bestFit="1" customWidth="1"/>
    <col min="22" max="24" width="9.109375" style="35"/>
    <col min="25" max="25" width="29" style="35" customWidth="1"/>
    <col min="26" max="26" width="27.5546875" style="35" bestFit="1" customWidth="1"/>
    <col min="27" max="27" width="30.5546875" style="35" bestFit="1" customWidth="1"/>
    <col min="28" max="77" width="9.109375" style="35"/>
    <col min="78" max="78" width="24.5546875" style="35" bestFit="1" customWidth="1"/>
    <col min="79" max="79" width="10.88671875" style="35" bestFit="1" customWidth="1"/>
    <col min="80" max="16384" width="9.109375" style="35"/>
  </cols>
  <sheetData>
    <row r="3" spans="2:79" x14ac:dyDescent="0.25">
      <c r="B3" s="123" t="s">
        <v>250</v>
      </c>
      <c r="C3" s="123" t="s">
        <v>251</v>
      </c>
      <c r="D3" s="123" t="s">
        <v>252</v>
      </c>
      <c r="E3" s="123" t="s">
        <v>265</v>
      </c>
    </row>
    <row r="4" spans="2:79" ht="30" customHeight="1" x14ac:dyDescent="0.25">
      <c r="B4" s="44" t="s">
        <v>191</v>
      </c>
      <c r="C4" s="44" t="s">
        <v>253</v>
      </c>
      <c r="D4" s="44" t="s">
        <v>277</v>
      </c>
      <c r="E4" s="44" t="s">
        <v>266</v>
      </c>
      <c r="Y4" s="123" t="s">
        <v>287</v>
      </c>
      <c r="Z4" s="123" t="s">
        <v>252</v>
      </c>
      <c r="AA4" s="123" t="s">
        <v>289</v>
      </c>
    </row>
    <row r="5" spans="2:79" ht="30" customHeight="1" x14ac:dyDescent="0.25">
      <c r="B5" s="44" t="s">
        <v>254</v>
      </c>
      <c r="C5" s="44" t="s">
        <v>253</v>
      </c>
      <c r="D5" s="44" t="s">
        <v>261</v>
      </c>
      <c r="E5" s="128" t="s">
        <v>267</v>
      </c>
      <c r="G5" s="35" t="s">
        <v>255</v>
      </c>
      <c r="Y5" s="44" t="s">
        <v>187</v>
      </c>
      <c r="Z5" s="44" t="s">
        <v>296</v>
      </c>
      <c r="AA5" s="50">
        <v>30000</v>
      </c>
      <c r="AC5" s="35" t="s">
        <v>295</v>
      </c>
    </row>
    <row r="6" spans="2:79" ht="30" customHeight="1" x14ac:dyDescent="0.25">
      <c r="B6" s="44" t="s">
        <v>256</v>
      </c>
      <c r="C6" s="44" t="s">
        <v>253</v>
      </c>
      <c r="D6" s="129" t="s">
        <v>279</v>
      </c>
      <c r="E6" s="44" t="s">
        <v>268</v>
      </c>
      <c r="G6" s="35" t="s">
        <v>278</v>
      </c>
      <c r="Y6" s="44" t="s">
        <v>293</v>
      </c>
      <c r="Z6" s="44" t="s">
        <v>296</v>
      </c>
      <c r="AA6" s="50">
        <v>15000</v>
      </c>
      <c r="AC6" s="35" t="s">
        <v>297</v>
      </c>
    </row>
    <row r="7" spans="2:79" ht="30" customHeight="1" x14ac:dyDescent="0.25">
      <c r="B7" s="44" t="s">
        <v>216</v>
      </c>
      <c r="C7" s="44" t="s">
        <v>253</v>
      </c>
      <c r="D7" s="44" t="s">
        <v>257</v>
      </c>
      <c r="E7" s="44" t="s">
        <v>269</v>
      </c>
      <c r="Y7" s="44" t="s">
        <v>188</v>
      </c>
      <c r="Z7" s="44" t="s">
        <v>299</v>
      </c>
      <c r="AA7" s="50">
        <v>200</v>
      </c>
      <c r="AC7" s="35" t="s">
        <v>298</v>
      </c>
    </row>
    <row r="8" spans="2:79" ht="30" customHeight="1" x14ac:dyDescent="0.25">
      <c r="B8" s="44" t="s">
        <v>206</v>
      </c>
      <c r="C8" s="44" t="s">
        <v>258</v>
      </c>
      <c r="D8" s="44" t="s">
        <v>259</v>
      </c>
      <c r="E8" s="44" t="s">
        <v>270</v>
      </c>
      <c r="Y8" s="44" t="s">
        <v>192</v>
      </c>
      <c r="Z8" s="44" t="s">
        <v>277</v>
      </c>
      <c r="AA8" s="50">
        <v>3000</v>
      </c>
    </row>
    <row r="9" spans="2:79" ht="30" customHeight="1" x14ac:dyDescent="0.25">
      <c r="B9" s="44" t="s">
        <v>210</v>
      </c>
      <c r="C9" s="44" t="s">
        <v>258</v>
      </c>
      <c r="D9" s="44" t="s">
        <v>263</v>
      </c>
      <c r="E9" s="44" t="s">
        <v>274</v>
      </c>
      <c r="G9" s="35" t="s">
        <v>262</v>
      </c>
      <c r="Y9" s="44" t="s">
        <v>193</v>
      </c>
      <c r="Z9" s="44" t="s">
        <v>277</v>
      </c>
      <c r="AA9" s="50">
        <v>2000</v>
      </c>
      <c r="BZ9" s="134" t="s">
        <v>304</v>
      </c>
      <c r="CA9" s="134" t="s">
        <v>305</v>
      </c>
    </row>
    <row r="10" spans="2:79" ht="30" customHeight="1" x14ac:dyDescent="0.25">
      <c r="B10" s="44" t="s">
        <v>218</v>
      </c>
      <c r="C10" s="44" t="s">
        <v>258</v>
      </c>
      <c r="D10" s="44" t="s">
        <v>260</v>
      </c>
      <c r="E10" s="44" t="s">
        <v>271</v>
      </c>
      <c r="Y10" s="44" t="s">
        <v>189</v>
      </c>
      <c r="Z10" s="44" t="s">
        <v>261</v>
      </c>
      <c r="AA10" s="50">
        <f>5000*6</f>
        <v>30000</v>
      </c>
      <c r="BZ10" s="133" t="s">
        <v>306</v>
      </c>
      <c r="CA10" s="133">
        <v>0</v>
      </c>
    </row>
    <row r="11" spans="2:79" ht="30" customHeight="1" x14ac:dyDescent="0.25">
      <c r="B11" s="44" t="s">
        <v>215</v>
      </c>
      <c r="C11" s="44" t="s">
        <v>258</v>
      </c>
      <c r="D11" s="44" t="s">
        <v>275</v>
      </c>
      <c r="E11" s="44" t="s">
        <v>272</v>
      </c>
      <c r="G11" s="35" t="s">
        <v>276</v>
      </c>
      <c r="Y11" s="44" t="s">
        <v>288</v>
      </c>
      <c r="Z11" s="44" t="s">
        <v>300</v>
      </c>
      <c r="AA11" s="50">
        <f>3*3*3100</f>
        <v>27900</v>
      </c>
      <c r="BZ11" s="133" t="s">
        <v>307</v>
      </c>
      <c r="CA11" s="133">
        <v>8.3960000000000007E-3</v>
      </c>
    </row>
    <row r="12" spans="2:79" ht="30" customHeight="1" x14ac:dyDescent="0.25">
      <c r="B12" s="44" t="s">
        <v>217</v>
      </c>
      <c r="C12" s="44" t="s">
        <v>258</v>
      </c>
      <c r="D12" s="44" t="s">
        <v>264</v>
      </c>
      <c r="E12" s="44" t="s">
        <v>273</v>
      </c>
      <c r="Y12" s="44" t="s">
        <v>290</v>
      </c>
      <c r="Z12" s="44" t="s">
        <v>302</v>
      </c>
      <c r="AA12" s="50">
        <v>3500</v>
      </c>
      <c r="AC12" s="35" t="s">
        <v>301</v>
      </c>
      <c r="BZ12" s="133" t="s">
        <v>308</v>
      </c>
      <c r="CA12" s="133">
        <v>0.642432</v>
      </c>
    </row>
    <row r="13" spans="2:79" ht="30" customHeight="1" x14ac:dyDescent="0.25">
      <c r="B13" s="44" t="s">
        <v>219</v>
      </c>
      <c r="C13" s="44" t="s">
        <v>258</v>
      </c>
      <c r="D13" s="44" t="s">
        <v>260</v>
      </c>
      <c r="E13" s="46" t="s">
        <v>281</v>
      </c>
      <c r="Y13" s="44" t="s">
        <v>292</v>
      </c>
      <c r="Z13" s="44" t="s">
        <v>260</v>
      </c>
      <c r="AA13" s="50">
        <v>15000</v>
      </c>
      <c r="BZ13" s="133" t="s">
        <v>309</v>
      </c>
      <c r="CA13" s="133">
        <v>-3.9300000000000001E-4</v>
      </c>
    </row>
    <row r="14" spans="2:79" ht="30" customHeight="1" x14ac:dyDescent="0.25">
      <c r="B14" s="44" t="s">
        <v>212</v>
      </c>
      <c r="C14" s="44" t="s">
        <v>258</v>
      </c>
      <c r="D14" s="44" t="s">
        <v>260</v>
      </c>
      <c r="E14" s="44" t="s">
        <v>280</v>
      </c>
      <c r="Y14" s="44" t="s">
        <v>291</v>
      </c>
      <c r="Z14" s="44" t="s">
        <v>260</v>
      </c>
      <c r="AA14" s="50">
        <v>20000</v>
      </c>
      <c r="BZ14" s="133" t="s">
        <v>310</v>
      </c>
      <c r="CA14" s="133">
        <v>1.9949000000000001E-2</v>
      </c>
    </row>
    <row r="15" spans="2:79" ht="30" customHeight="1" x14ac:dyDescent="0.25">
      <c r="Y15" s="130" t="s">
        <v>194</v>
      </c>
      <c r="Z15" s="130" t="s">
        <v>294</v>
      </c>
      <c r="AA15" s="131">
        <f>SUM(AA5:AA14)</f>
        <v>146600</v>
      </c>
    </row>
    <row r="16" spans="2:79" ht="30" customHeight="1" x14ac:dyDescent="0.3">
      <c r="AC16" s="132" t="s">
        <v>304</v>
      </c>
      <c r="AD16" s="132" t="s">
        <v>305</v>
      </c>
    </row>
    <row r="17" spans="2:30" ht="14.4" x14ac:dyDescent="0.3">
      <c r="AC17" s="132" t="s">
        <v>306</v>
      </c>
      <c r="AD17" s="132">
        <v>0</v>
      </c>
    </row>
    <row r="18" spans="2:30" ht="20.25" customHeight="1" x14ac:dyDescent="0.3">
      <c r="B18" s="123" t="s">
        <v>159</v>
      </c>
      <c r="C18" s="123" t="s">
        <v>282</v>
      </c>
      <c r="D18" s="123" t="s">
        <v>283</v>
      </c>
      <c r="E18" s="123" t="s">
        <v>284</v>
      </c>
      <c r="F18" s="123" t="s">
        <v>285</v>
      </c>
      <c r="G18" s="123" t="s">
        <v>286</v>
      </c>
      <c r="H18" s="44"/>
      <c r="I18" s="44"/>
      <c r="AC18" s="132" t="s">
        <v>307</v>
      </c>
      <c r="AD18" s="132">
        <v>8.3960000000000007E-3</v>
      </c>
    </row>
    <row r="19" spans="2:30" ht="20.25" customHeight="1" x14ac:dyDescent="0.3">
      <c r="B19" s="44">
        <v>0</v>
      </c>
      <c r="C19" s="50">
        <v>100000</v>
      </c>
      <c r="D19" s="50">
        <v>100000</v>
      </c>
      <c r="E19" s="44">
        <v>0</v>
      </c>
      <c r="F19" s="44">
        <v>0</v>
      </c>
      <c r="G19" s="50">
        <v>100000</v>
      </c>
      <c r="H19" s="44"/>
      <c r="I19" s="44"/>
      <c r="AC19" s="132" t="s">
        <v>308</v>
      </c>
      <c r="AD19" s="132">
        <v>0.642432</v>
      </c>
    </row>
    <row r="20" spans="2:30" ht="20.25" customHeight="1" x14ac:dyDescent="0.3">
      <c r="B20" s="44">
        <v>1</v>
      </c>
      <c r="C20" s="50">
        <v>30000</v>
      </c>
      <c r="D20" s="50">
        <v>130000</v>
      </c>
      <c r="E20" s="50">
        <v>10000</v>
      </c>
      <c r="F20" s="50">
        <v>10000</v>
      </c>
      <c r="G20" s="50">
        <v>120000</v>
      </c>
      <c r="H20" s="44"/>
      <c r="I20" s="44"/>
      <c r="AC20" s="132" t="s">
        <v>309</v>
      </c>
      <c r="AD20" s="132">
        <v>-3.9300000000000001E-4</v>
      </c>
    </row>
    <row r="21" spans="2:30" ht="20.25" customHeight="1" x14ac:dyDescent="0.3">
      <c r="B21" s="44">
        <v>2</v>
      </c>
      <c r="C21" s="50">
        <v>30000</v>
      </c>
      <c r="D21" s="50">
        <v>160000</v>
      </c>
      <c r="E21" s="50">
        <v>13000</v>
      </c>
      <c r="F21" s="50">
        <v>23000</v>
      </c>
      <c r="G21" s="50">
        <v>137000</v>
      </c>
      <c r="H21" s="44"/>
      <c r="I21" s="44"/>
      <c r="AC21" s="132" t="s">
        <v>310</v>
      </c>
      <c r="AD21" s="132">
        <v>1.9949000000000001E-2</v>
      </c>
    </row>
    <row r="22" spans="2:30" ht="20.25" customHeight="1" x14ac:dyDescent="0.25">
      <c r="B22" s="44">
        <v>3</v>
      </c>
      <c r="C22" s="50">
        <v>30000</v>
      </c>
      <c r="D22" s="50">
        <v>190000</v>
      </c>
      <c r="E22" s="50">
        <v>16000</v>
      </c>
      <c r="F22" s="50">
        <v>39000</v>
      </c>
      <c r="G22" s="50">
        <v>151000</v>
      </c>
      <c r="H22" s="44"/>
      <c r="I22" s="44"/>
    </row>
    <row r="23" spans="2:30" ht="20.25" customHeight="1" x14ac:dyDescent="0.25">
      <c r="B23" s="44">
        <v>4</v>
      </c>
      <c r="C23" s="50">
        <v>30000</v>
      </c>
      <c r="D23" s="50">
        <v>220000</v>
      </c>
      <c r="E23" s="50">
        <v>19000</v>
      </c>
      <c r="F23" s="50">
        <v>58000</v>
      </c>
      <c r="G23" s="50">
        <v>162000</v>
      </c>
      <c r="H23" s="44"/>
      <c r="I23" s="44"/>
    </row>
    <row r="24" spans="2:30" ht="20.25" customHeight="1" x14ac:dyDescent="0.25">
      <c r="B24" s="44">
        <v>5</v>
      </c>
      <c r="C24" s="50">
        <v>30000</v>
      </c>
      <c r="D24" s="50">
        <v>250000</v>
      </c>
      <c r="E24" s="50">
        <v>22000</v>
      </c>
      <c r="F24" s="50">
        <v>80000</v>
      </c>
      <c r="G24" s="50">
        <v>170000</v>
      </c>
      <c r="H24" s="44"/>
      <c r="I24" s="44"/>
    </row>
    <row r="26" spans="2:30" x14ac:dyDescent="0.25">
      <c r="K26" s="125" t="s">
        <v>324</v>
      </c>
    </row>
    <row r="27" spans="2:30" x14ac:dyDescent="0.25">
      <c r="I27" s="138"/>
      <c r="J27" s="140"/>
      <c r="K27" s="139"/>
      <c r="L27" s="141"/>
      <c r="M27" s="139"/>
      <c r="N27" s="139"/>
    </row>
    <row r="28" spans="2:30" ht="20.25" customHeight="1" x14ac:dyDescent="0.25">
      <c r="B28" s="123" t="s">
        <v>159</v>
      </c>
      <c r="C28" s="123" t="s">
        <v>321</v>
      </c>
      <c r="E28" s="123" t="s">
        <v>319</v>
      </c>
      <c r="F28" s="123" t="s">
        <v>320</v>
      </c>
      <c r="G28" s="123" t="s">
        <v>332</v>
      </c>
      <c r="I28" s="137" t="s">
        <v>333</v>
      </c>
      <c r="J28" s="143">
        <v>-0.1</v>
      </c>
      <c r="K28" s="1" t="s">
        <v>322</v>
      </c>
      <c r="L28" s="144" t="s">
        <v>331</v>
      </c>
      <c r="M28" s="1" t="s">
        <v>329</v>
      </c>
      <c r="N28" s="1" t="s">
        <v>330</v>
      </c>
      <c r="T28" s="125" t="s">
        <v>327</v>
      </c>
      <c r="U28" s="125" t="s">
        <v>326</v>
      </c>
    </row>
    <row r="29" spans="2:30" ht="20.25" customHeight="1" x14ac:dyDescent="0.25">
      <c r="B29" s="44">
        <v>1</v>
      </c>
      <c r="C29" s="19">
        <f ca="1">SUM(Distribuições!H31:AZ31)</f>
        <v>62816.322491838269</v>
      </c>
      <c r="E29" s="46">
        <v>0.01</v>
      </c>
      <c r="F29" s="63">
        <f ca="1">NPV($E29,Distribuições!$H$31:$KB$31)+Distribuições!$D$31</f>
        <v>176443.8745592403</v>
      </c>
      <c r="G29" s="66">
        <f ca="1">(F29-$F$30)/$F$30</f>
        <v>0.33064190208645972</v>
      </c>
      <c r="I29" s="49" t="s">
        <v>325</v>
      </c>
      <c r="J29" s="19">
        <v>-66157.315572904772</v>
      </c>
      <c r="K29" s="50">
        <v>155485.2683507551</v>
      </c>
      <c r="L29" s="142">
        <v>376022.08777234709</v>
      </c>
      <c r="M29" s="66">
        <f>(L29-K29)/K29</f>
        <v>1.4183775849689426</v>
      </c>
      <c r="N29" s="66">
        <f>(J29-K29)/K29</f>
        <v>-1.4254892844488793</v>
      </c>
      <c r="S29" s="44" t="s">
        <v>325</v>
      </c>
      <c r="T29" s="145">
        <f>J29-K29</f>
        <v>-221642.58392365987</v>
      </c>
      <c r="U29" s="145">
        <f>L29-K29</f>
        <v>220536.81942159199</v>
      </c>
    </row>
    <row r="30" spans="2:30" ht="20.25" customHeight="1" x14ac:dyDescent="0.25">
      <c r="B30" s="44">
        <v>2</v>
      </c>
      <c r="C30" s="50">
        <f ca="1">SUM(Distribuições!BD31:CV31)</f>
        <v>144125.43994419134</v>
      </c>
      <c r="E30" s="61">
        <v>1.5599999999999999E-2</v>
      </c>
      <c r="F30" s="63">
        <f ca="1">NPV($E30,Distribuições!$H$31:$KB$31)+Distribuições!$D$31</f>
        <v>132600.56990733161</v>
      </c>
      <c r="G30" s="66" t="s">
        <v>322</v>
      </c>
      <c r="I30" s="49" t="s">
        <v>328</v>
      </c>
      <c r="J30" s="50">
        <v>278297.43432886415</v>
      </c>
      <c r="K30" s="50">
        <v>155485.2683507551</v>
      </c>
      <c r="L30" s="142">
        <v>32673.102372645983</v>
      </c>
      <c r="M30" s="66">
        <f>(L30-K30)/K30</f>
        <v>-0.78986367828147164</v>
      </c>
      <c r="N30" s="66">
        <f>(J30-K30)/K30</f>
        <v>0.7898636782814713</v>
      </c>
      <c r="S30" s="44" t="s">
        <v>328</v>
      </c>
      <c r="T30" s="145">
        <f>J30-K30</f>
        <v>122812.16597810906</v>
      </c>
      <c r="U30" s="145">
        <f>L30-K30</f>
        <v>-122812.16597810911</v>
      </c>
    </row>
    <row r="31" spans="2:30" ht="20.25" customHeight="1" x14ac:dyDescent="0.25">
      <c r="B31" s="44">
        <v>3</v>
      </c>
      <c r="C31" s="50">
        <f ca="1">SUM(Distribuições!CZ31:ER31)</f>
        <v>146027.5324794632</v>
      </c>
      <c r="E31" s="46">
        <v>0.02</v>
      </c>
      <c r="F31" s="63">
        <f ca="1">NPV($E31,Distribuições!$H$31:$KB$31)+Distribuições!$D$31</f>
        <v>103766.53559202352</v>
      </c>
      <c r="G31" s="66">
        <f t="shared" ref="G31:G34" ca="1" si="0">(F31-$F$30)/$F$30</f>
        <v>-0.21745030459114059</v>
      </c>
      <c r="I31" s="49" t="s">
        <v>323</v>
      </c>
      <c r="J31" s="50">
        <v>86282.77738967631</v>
      </c>
      <c r="K31" s="50">
        <v>155485.2683507551</v>
      </c>
      <c r="L31" s="142">
        <v>223581.99480976618</v>
      </c>
      <c r="M31" s="66">
        <f>(L31-K31)/K31</f>
        <v>0.43796256186401844</v>
      </c>
      <c r="N31" s="66">
        <f>(J31-K31)/K31</f>
        <v>-0.44507426134395395</v>
      </c>
      <c r="S31" s="44" t="s">
        <v>323</v>
      </c>
      <c r="T31" s="145">
        <f>L31-K31</f>
        <v>68096.726459011086</v>
      </c>
      <c r="U31" s="145">
        <f>J31-K31</f>
        <v>-69202.490961078787</v>
      </c>
    </row>
    <row r="32" spans="2:30" ht="20.25" customHeight="1" x14ac:dyDescent="0.25">
      <c r="B32" s="44">
        <v>4</v>
      </c>
      <c r="C32" s="50">
        <f ca="1">SUM(Distribuições!EV31:GN31)</f>
        <v>-55900.307824362346</v>
      </c>
      <c r="E32" s="46">
        <v>0.03</v>
      </c>
      <c r="F32" s="63">
        <f ca="1">NPV($E32,Distribuições!$H$31:$KB$31)+Distribuições!$D$31</f>
        <v>51834.255473437719</v>
      </c>
      <c r="G32" s="66">
        <f t="shared" ca="1" si="0"/>
        <v>-0.60909477606572671</v>
      </c>
      <c r="I32" s="44"/>
      <c r="P32" s="146"/>
    </row>
    <row r="33" spans="2:7" ht="20.25" customHeight="1" x14ac:dyDescent="0.25">
      <c r="B33" s="44">
        <v>5</v>
      </c>
      <c r="C33" s="50">
        <f ca="1">SUM(Distribuições!GR31:IJ31)</f>
        <v>49059.540198998031</v>
      </c>
      <c r="E33" s="46">
        <v>0.04</v>
      </c>
      <c r="F33" s="19">
        <f ca="1">NPV($E33,Distribuições!$H$31:$KB$31)+Distribuições!$D$31</f>
        <v>13386.01577099046</v>
      </c>
      <c r="G33" s="66">
        <f t="shared" ca="1" si="0"/>
        <v>-0.89905008869610947</v>
      </c>
    </row>
    <row r="34" spans="2:7" ht="20.25" customHeight="1" x14ac:dyDescent="0.25">
      <c r="B34" s="44">
        <v>6</v>
      </c>
      <c r="C34" s="50">
        <f ca="1">SUM(Distribuições!IN31:KB31)</f>
        <v>100598.1692427238</v>
      </c>
      <c r="E34" s="46">
        <v>0.05</v>
      </c>
      <c r="F34" s="19">
        <f ca="1">NPV($E34,Distribuições!$H$31:$KB$31)+Distribuições!$D$31</f>
        <v>-15884.612567252363</v>
      </c>
      <c r="G34" s="66">
        <f t="shared" ca="1" si="0"/>
        <v>-1.119792943411581</v>
      </c>
    </row>
  </sheetData>
  <sortState xmlns:xlrd2="http://schemas.microsoft.com/office/spreadsheetml/2017/richdata2" ref="I29:N31">
    <sortCondition ref="I29:I31"/>
  </sortState>
  <conditionalFormatting sqref="C29">
    <cfRule type="cellIs" dxfId="3" priority="2" operator="lessThanOrEqual">
      <formula>0</formula>
    </cfRule>
  </conditionalFormatting>
  <conditionalFormatting sqref="F29:F32">
    <cfRule type="cellIs" dxfId="2" priority="5" operator="lessThanOrEqual">
      <formula>0</formula>
    </cfRule>
  </conditionalFormatting>
  <conditionalFormatting sqref="F33:F34">
    <cfRule type="cellIs" dxfId="1" priority="3" operator="lessThanOrEqual">
      <formula>0</formula>
    </cfRule>
  </conditionalFormatting>
  <conditionalFormatting sqref="J29:J30">
    <cfRule type="cellIs" dxfId="0" priority="1" operator="lessThanOrEqual">
      <formula>0</formula>
    </cfRule>
  </conditionalFormatting>
  <hyperlinks>
    <hyperlink ref="G5" r:id="rId1" xr:uid="{389D10E3-06B4-4AD3-AE91-44FCE82AB2E2}"/>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3 Demonstrações</vt:lpstr>
      <vt:lpstr>Fontes</vt:lpstr>
      <vt:lpstr>Simulação Empréstimo</vt:lpstr>
      <vt:lpstr>Investimento Inicial</vt:lpstr>
      <vt:lpstr>Precificação</vt:lpstr>
      <vt:lpstr>Fluxo de Caixa</vt:lpstr>
      <vt:lpstr>Tabela Simples</vt:lpstr>
      <vt:lpstr>Ponto de Equilíbrio</vt:lpstr>
      <vt:lpstr>Distribuições</vt:lpstr>
      <vt:lpstr>Tabelas TCC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Lucas Goettems Bohrer</cp:lastModifiedBy>
  <dcterms:created xsi:type="dcterms:W3CDTF">2015-06-05T18:19:34Z</dcterms:created>
  <dcterms:modified xsi:type="dcterms:W3CDTF">2026-05-24T17:44:53Z</dcterms:modified>
</cp:coreProperties>
</file>